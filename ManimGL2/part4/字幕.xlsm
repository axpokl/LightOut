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B868A555-884F-4BDF-8540-1E06D028E7C8}" xr6:coauthVersionLast="47" xr6:coauthVersionMax="47" xr10:uidLastSave="{00000000-0000-0000-0000-000000000000}"/>
  <bookViews>
    <workbookView xWindow="-110" yWindow="-110" windowWidth="25820" windowHeight="15500" activeTab="5" xr2:uid="{B0B0A297-E80A-46EC-8D14-DCFA6AB1B097}"/>
  </bookViews>
  <sheets>
    <sheet name="srt_raw" sheetId="12" r:id="rId1"/>
    <sheet name="srt" sheetId="14" r:id="rId2"/>
    <sheet name="sil" sheetId="16" r:id="rId3"/>
    <sheet name="sub" sheetId="13" r:id="rId4"/>
    <sheet name="sub_copy" sheetId="15" r:id="rId5"/>
    <sheet name="title" sheetId="17" r:id="rId6"/>
  </sheets>
  <functionGroups builtInGroupCount="19"/>
  <definedNames>
    <definedName name="_xlnm._FilterDatabase" localSheetId="1" hidden="1">srt!$A$1:$L$584</definedName>
    <definedName name="_xlnm._FilterDatabase" localSheetId="3" hidden="1">sub!$A$1:$Z$205</definedName>
    <definedName name="_xlnm._FilterDatabase" localSheetId="5" hidden="1">title!$A$1:$J$22</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20" i="17" l="1"/>
  <c r="K19" i="17"/>
  <c r="K18" i="17"/>
  <c r="K17" i="17"/>
  <c r="K16" i="17"/>
  <c r="K15" i="17"/>
  <c r="K14" i="17"/>
  <c r="K12" i="17"/>
  <c r="K9" i="17"/>
  <c r="K7" i="17"/>
  <c r="K5" i="17"/>
  <c r="K3" i="17"/>
  <c r="K1" i="17"/>
  <c r="E33" i="17"/>
  <c r="E28" i="17"/>
  <c r="A15" i="17"/>
  <c r="B15" i="17" s="1"/>
  <c r="C15" i="17"/>
  <c r="E35" i="17"/>
  <c r="E36" i="17"/>
  <c r="E31" i="17"/>
  <c r="E32" i="17"/>
  <c r="G20" i="17"/>
  <c r="E30" i="17"/>
  <c r="G15" i="17" s="1"/>
  <c r="E29" i="17"/>
  <c r="G14" i="17" s="1"/>
  <c r="D29" i="17"/>
  <c r="A13" i="17"/>
  <c r="B13" i="17" s="1"/>
  <c r="A22" i="17"/>
  <c r="A21" i="17"/>
  <c r="C21" i="17" s="1"/>
  <c r="A20" i="17"/>
  <c r="A16" i="17"/>
  <c r="B16" i="17" s="1"/>
  <c r="A14" i="17"/>
  <c r="B14" i="17" s="1"/>
  <c r="A12" i="17"/>
  <c r="B12" i="17" s="1"/>
  <c r="A7" i="17"/>
  <c r="B7" i="17" s="1"/>
  <c r="A5" i="17"/>
  <c r="B5" i="17" s="1"/>
  <c r="A2" i="17"/>
  <c r="C2" i="17" s="1"/>
  <c r="A1" i="17"/>
  <c r="C1" i="17" s="1"/>
  <c r="D323" i="16"/>
  <c r="C323" i="16"/>
  <c r="A19" i="17"/>
  <c r="C19" i="17" s="1"/>
  <c r="A18" i="17"/>
  <c r="B18" i="17" s="1"/>
  <c r="A17" i="17"/>
  <c r="B17" i="17" s="1"/>
  <c r="A11" i="17"/>
  <c r="C11" i="17" s="1"/>
  <c r="A10" i="17"/>
  <c r="C10" i="17" s="1"/>
  <c r="A9" i="17"/>
  <c r="B9" i="17" s="1"/>
  <c r="A8" i="17"/>
  <c r="B8" i="17" s="1"/>
  <c r="A6" i="17"/>
  <c r="B6" i="17" s="1"/>
  <c r="A4" i="17"/>
  <c r="B4" i="17" s="1"/>
  <c r="A3" i="17"/>
  <c r="B3" i="17" s="1"/>
  <c r="D36" i="17"/>
  <c r="G16" i="17" s="1"/>
  <c r="G5" i="17"/>
  <c r="D35" i="17"/>
  <c r="B22" i="17"/>
  <c r="C22" i="17"/>
  <c r="E34" i="17"/>
  <c r="G19" i="17" s="1"/>
  <c r="E25" i="17"/>
  <c r="G1" i="17" s="1"/>
  <c r="E26" i="17"/>
  <c r="G7" i="17" s="1"/>
  <c r="E24" i="17"/>
  <c r="G9" i="17" s="1"/>
  <c r="E27" i="17"/>
  <c r="G3" i="17" s="1"/>
  <c r="D24" i="17"/>
  <c r="D25" i="17"/>
  <c r="D26" i="17"/>
  <c r="D27" i="17"/>
  <c r="D28" i="17"/>
  <c r="D30" i="17"/>
  <c r="D31" i="17"/>
  <c r="D32" i="17"/>
  <c r="D33" i="17"/>
  <c r="D34" i="17"/>
  <c r="C13" i="17"/>
  <c r="C20" i="17"/>
  <c r="B20" i="17"/>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L1" i="13"/>
  <c r="M1" i="13"/>
  <c r="I1" i="13"/>
  <c r="J1" i="13"/>
  <c r="N1" i="13"/>
  <c r="H1" i="13"/>
  <c r="G1" i="13"/>
  <c r="K1" i="13"/>
  <c r="D15" i="17" l="1"/>
  <c r="E15" i="17" s="1"/>
  <c r="H15" i="17" s="1"/>
  <c r="D14" i="17"/>
  <c r="E14" i="17" s="1"/>
  <c r="H14" i="17" s="1"/>
  <c r="G18" i="17"/>
  <c r="G17" i="17"/>
  <c r="C16" i="17"/>
  <c r="G12" i="17"/>
  <c r="C17" i="17"/>
  <c r="C7" i="17"/>
  <c r="C12" i="17"/>
  <c r="C14" i="17"/>
  <c r="C5" i="17"/>
  <c r="B1" i="17"/>
  <c r="B21" i="17"/>
  <c r="D20" i="17" s="1"/>
  <c r="E323" i="16"/>
  <c r="D8" i="17"/>
  <c r="D16" i="17"/>
  <c r="E16" i="17" s="1"/>
  <c r="H16" i="17" s="1"/>
  <c r="B2" i="17"/>
  <c r="D2" i="17" s="1"/>
  <c r="D17" i="17"/>
  <c r="E17" i="17" s="1"/>
  <c r="B11" i="17"/>
  <c r="D11" i="17" s="1"/>
  <c r="C18" i="17"/>
  <c r="B19" i="17"/>
  <c r="D18" i="17" s="1"/>
  <c r="E18" i="17" s="1"/>
  <c r="H18" i="17" s="1"/>
  <c r="B10" i="17"/>
  <c r="D9" i="17" s="1"/>
  <c r="D4" i="17"/>
  <c r="C9" i="17"/>
  <c r="C8" i="17"/>
  <c r="D13" i="17"/>
  <c r="D12" i="17"/>
  <c r="C4" i="17"/>
  <c r="C3" i="17"/>
  <c r="D7" i="17"/>
  <c r="D6" i="17"/>
  <c r="D5" i="17"/>
  <c r="C6" i="17"/>
  <c r="E322" i="16"/>
  <c r="D3" i="17"/>
  <c r="E3" i="17" s="1"/>
  <c r="H3" i="17" s="1"/>
  <c r="E584" i="14"/>
  <c r="G584" i="14" s="1"/>
  <c r="H584" i="14" s="1"/>
  <c r="J584" i="14" s="1"/>
  <c r="E586" i="14"/>
  <c r="G586" i="14" s="1"/>
  <c r="H586" i="14" s="1"/>
  <c r="J586" i="14" s="1"/>
  <c r="D585" i="14"/>
  <c r="F585" i="14" s="1"/>
  <c r="H585" i="14" s="1"/>
  <c r="J585" i="14" s="1"/>
  <c r="E588" i="14"/>
  <c r="G588" i="14" s="1"/>
  <c r="H588" i="14" s="1"/>
  <c r="J588"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H17" i="17" l="1"/>
  <c r="E7" i="17"/>
  <c r="H7" i="17" s="1"/>
  <c r="D21" i="17"/>
  <c r="E20" i="17" s="1"/>
  <c r="H20" i="17" s="1"/>
  <c r="D1" i="17"/>
  <c r="E1" i="17" s="1"/>
  <c r="H1" i="17" s="1"/>
  <c r="D19" i="17"/>
  <c r="E19" i="17" s="1"/>
  <c r="H19" i="17" s="1"/>
  <c r="D10" i="17"/>
  <c r="E9" i="17" s="1"/>
  <c r="H9" i="17" s="1"/>
  <c r="E12" i="17"/>
  <c r="H12" i="17" s="1"/>
  <c r="E5" i="17"/>
  <c r="H5" i="17" s="1"/>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a="1"/>
  <c r="Q1" i="13" s="1"/>
  <c r="L2" i="13"/>
  <c r="M2" i="13"/>
  <c r="I2" i="13"/>
  <c r="J2" i="13"/>
  <c r="H2" i="13"/>
  <c r="K2" i="13"/>
  <c r="G2" i="13"/>
  <c r="N2" i="13"/>
  <c r="E2" i="13" l="1"/>
  <c r="D3" i="13" s="1"/>
  <c r="F2" i="13" l="1"/>
  <c r="O2" i="13"/>
  <c r="P1" i="13"/>
  <c r="J3" i="13"/>
  <c r="L3" i="13"/>
  <c r="M3" i="13"/>
  <c r="N3" i="13"/>
  <c r="G3" i="13"/>
  <c r="I3" i="13"/>
  <c r="H3" i="13"/>
  <c r="K3" i="13"/>
  <c r="R2" i="13" l="1"/>
  <c r="S2" i="13" s="1"/>
  <c r="A2" i="15" s="1"/>
  <c r="T1" i="13"/>
  <c r="E3" i="13"/>
  <c r="D4" i="13" s="1"/>
  <c r="W1" i="13"/>
  <c r="U1" i="13"/>
  <c r="T2" i="13" l="1"/>
  <c r="X1" i="13"/>
  <c r="Y1" i="13" s="1"/>
  <c r="F3" i="13"/>
  <c r="O3" i="13"/>
  <c r="P2" i="13"/>
  <c r="H4" i="13"/>
  <c r="M4" i="13"/>
  <c r="N4" i="13"/>
  <c r="L4" i="13"/>
  <c r="G4" i="13"/>
  <c r="K4" i="13"/>
  <c r="I4" i="13"/>
  <c r="J4" i="13"/>
  <c r="R3" i="13" l="1"/>
  <c r="S3" i="13" s="1"/>
  <c r="A3" i="15" s="1"/>
  <c r="B2" i="15"/>
  <c r="E4" i="13"/>
  <c r="D5" i="13" s="1"/>
  <c r="W2" i="13"/>
  <c r="U2" i="13"/>
  <c r="F4" i="13" l="1"/>
  <c r="T3" i="13"/>
  <c r="X2" i="13"/>
  <c r="Y2" i="13" s="1"/>
  <c r="K4" i="14"/>
  <c r="L3" i="14" s="1"/>
  <c r="M3" i="14" s="1"/>
  <c r="O4" i="13"/>
  <c r="P3" i="13"/>
  <c r="L5" i="13"/>
  <c r="I5" i="13"/>
  <c r="K5" i="13"/>
  <c r="H5" i="13"/>
  <c r="M5" i="13"/>
  <c r="J5" i="13"/>
  <c r="G5" i="13"/>
  <c r="N5" i="13"/>
  <c r="R4" i="13" l="1"/>
  <c r="S4" i="13" s="1"/>
  <c r="A4" i="15" s="1"/>
  <c r="B3" i="15"/>
  <c r="E5" i="13"/>
  <c r="D6" i="13" s="1"/>
  <c r="W3" i="13"/>
  <c r="U3" i="13"/>
  <c r="T4" i="13" l="1"/>
  <c r="X3" i="13"/>
  <c r="Y3" i="13" s="1"/>
  <c r="F5" i="13"/>
  <c r="B4" i="15" l="1"/>
  <c r="O5" i="13"/>
  <c r="P4" i="13"/>
  <c r="K6" i="13"/>
  <c r="I6" i="13"/>
  <c r="M6" i="13"/>
  <c r="L6" i="13"/>
  <c r="H6" i="13"/>
  <c r="N6" i="13"/>
  <c r="G6" i="13"/>
  <c r="J6" i="13"/>
  <c r="R5" i="13" l="1"/>
  <c r="S5" i="13" s="1"/>
  <c r="A5" i="15" s="1"/>
  <c r="E6" i="13"/>
  <c r="D7" i="13" s="1"/>
  <c r="W4" i="13"/>
  <c r="U4" i="13"/>
  <c r="T5" i="13" l="1"/>
  <c r="X4" i="13"/>
  <c r="Y4" i="13" s="1"/>
  <c r="P5" i="13"/>
  <c r="I7" i="13"/>
  <c r="H7" i="13"/>
  <c r="K7" i="13"/>
  <c r="M7" i="13"/>
  <c r="L7" i="13"/>
  <c r="G7" i="13"/>
  <c r="N7" i="13"/>
  <c r="J7" i="13"/>
  <c r="B5" i="15" l="1"/>
  <c r="O6" i="13"/>
  <c r="F6" i="13"/>
  <c r="E7" i="13"/>
  <c r="D8" i="13" s="1"/>
  <c r="R6" i="13" l="1"/>
  <c r="S6" i="13" s="1"/>
  <c r="A6" i="15" s="1"/>
  <c r="K7" i="14"/>
  <c r="L6" i="14" s="1"/>
  <c r="M6" i="14" s="1"/>
  <c r="W5" i="13"/>
  <c r="U5" i="13"/>
  <c r="F7" i="13"/>
  <c r="O7" i="13"/>
  <c r="P6" i="13"/>
  <c r="I8" i="13"/>
  <c r="J8" i="13"/>
  <c r="M8" i="13"/>
  <c r="H8" i="13"/>
  <c r="G8" i="13"/>
  <c r="L8" i="13"/>
  <c r="N8" i="13"/>
  <c r="K8" i="13"/>
  <c r="R7" i="13" l="1"/>
  <c r="S7" i="13" s="1"/>
  <c r="A7" i="15" s="1"/>
  <c r="E8" i="13"/>
  <c r="D9" i="13" s="1"/>
  <c r="W6" i="13"/>
  <c r="U6" i="13"/>
  <c r="T6" i="13" l="1"/>
  <c r="X5" i="13"/>
  <c r="Y5" i="13" s="1"/>
  <c r="T7" i="13"/>
  <c r="X6" i="13"/>
  <c r="Y6" i="13" s="1"/>
  <c r="O8" i="13"/>
  <c r="L9" i="13"/>
  <c r="H9" i="13"/>
  <c r="M9" i="13"/>
  <c r="I9" i="13"/>
  <c r="G9" i="13"/>
  <c r="R8" i="13" l="1"/>
  <c r="S8" i="13" s="1"/>
  <c r="A8" i="15" s="1"/>
  <c r="B7" i="15"/>
  <c r="B6" i="15"/>
  <c r="P7" i="13"/>
  <c r="U7" i="13" s="1"/>
  <c r="F8" i="13"/>
  <c r="W7" i="13"/>
  <c r="K9" i="13"/>
  <c r="N9" i="13"/>
  <c r="J9" i="13"/>
  <c r="E9" i="13" l="1"/>
  <c r="T8" i="13"/>
  <c r="X7" i="13"/>
  <c r="Y7" i="13" s="1"/>
  <c r="D10" i="13" l="1"/>
  <c r="F9" i="13" s="1"/>
  <c r="R9" i="13"/>
  <c r="S9" i="13" s="1"/>
  <c r="A9" i="15" s="1"/>
  <c r="B8" i="15"/>
  <c r="J10" i="13"/>
  <c r="L10" i="13"/>
  <c r="G10" i="13"/>
  <c r="I10" i="13"/>
  <c r="K10" i="13"/>
  <c r="H10" i="13"/>
  <c r="M10" i="13"/>
  <c r="N10" i="13"/>
  <c r="P8" i="13" l="1"/>
  <c r="E10" i="13"/>
  <c r="D11" i="13" s="1"/>
  <c r="O9" i="13"/>
  <c r="W8" i="13" s="1"/>
  <c r="X8" i="13"/>
  <c r="Y8" i="13" s="1"/>
  <c r="I11" i="13"/>
  <c r="H11" i="13"/>
  <c r="G11" i="13"/>
  <c r="K11" i="13"/>
  <c r="J11" i="13"/>
  <c r="M11" i="13"/>
  <c r="N11" i="13"/>
  <c r="L11" i="13"/>
  <c r="O10" i="13" l="1"/>
  <c r="W9" i="13" s="1"/>
  <c r="P9" i="13"/>
  <c r="F10" i="13"/>
  <c r="T9" i="13"/>
  <c r="U8" i="13"/>
  <c r="E11" i="13"/>
  <c r="D12" i="13" s="1"/>
  <c r="R10" i="13"/>
  <c r="S10" i="13" s="1"/>
  <c r="A10" i="15" s="1"/>
  <c r="B9" i="15"/>
  <c r="U9" i="13" l="1"/>
  <c r="T10" i="13"/>
  <c r="X9" i="13"/>
  <c r="Y9" i="13" s="1"/>
  <c r="O11" i="13"/>
  <c r="N12" i="13"/>
  <c r="L12" i="13"/>
  <c r="J12" i="13"/>
  <c r="H12" i="13"/>
  <c r="K12" i="13"/>
  <c r="M12" i="13"/>
  <c r="I12" i="13"/>
  <c r="G12" i="13"/>
  <c r="E12" i="13" l="1"/>
  <c r="D13" i="13" s="1"/>
  <c r="R11" i="13"/>
  <c r="S11" i="13" s="1"/>
  <c r="A11" i="15" s="1"/>
  <c r="B10" i="15"/>
  <c r="P10" i="13"/>
  <c r="U10" i="13" s="1"/>
  <c r="F11" i="13"/>
  <c r="W10" i="13"/>
  <c r="T11" i="13" l="1"/>
  <c r="X10" i="13"/>
  <c r="Y10" i="13" s="1"/>
  <c r="O12" i="13"/>
  <c r="N13" i="13"/>
  <c r="G13" i="13"/>
  <c r="K13" i="13"/>
  <c r="H13" i="13"/>
  <c r="R12" i="13" l="1"/>
  <c r="S12" i="13" s="1"/>
  <c r="A12" i="15" s="1"/>
  <c r="B11" i="15"/>
  <c r="P11" i="13"/>
  <c r="U11" i="13" s="1"/>
  <c r="F12" i="13"/>
  <c r="W11" i="13"/>
  <c r="J13" i="13"/>
  <c r="M13" i="13"/>
  <c r="L13" i="13"/>
  <c r="I13" i="13"/>
  <c r="E13" i="13" l="1"/>
  <c r="D14" i="13" s="1"/>
  <c r="T12" i="13"/>
  <c r="X11" i="13"/>
  <c r="Y11" i="13" s="1"/>
  <c r="O13" i="13" l="1"/>
  <c r="B12" i="15"/>
  <c r="P12" i="13"/>
  <c r="F13" i="13"/>
  <c r="G14" i="13"/>
  <c r="K14" i="13"/>
  <c r="M14" i="13"/>
  <c r="I14" i="13"/>
  <c r="L14" i="13"/>
  <c r="H14" i="13"/>
  <c r="N14" i="13"/>
  <c r="J14" i="13"/>
  <c r="E14" i="13" l="1"/>
  <c r="D15" i="13" s="1"/>
  <c r="W12" i="13"/>
  <c r="R13" i="13"/>
  <c r="S13" i="13" s="1"/>
  <c r="A13" i="15" s="1"/>
  <c r="U12" i="13"/>
  <c r="X12" i="13" l="1"/>
  <c r="Y12" i="13" s="1"/>
  <c r="B13" i="15" s="1"/>
  <c r="T13" i="13"/>
  <c r="O14" i="13"/>
  <c r="P13" i="13"/>
  <c r="F14" i="13"/>
  <c r="M15" i="13"/>
  <c r="L15" i="13"/>
  <c r="N15" i="13"/>
  <c r="K15" i="13"/>
  <c r="I15" i="13"/>
  <c r="G15" i="13"/>
  <c r="H15" i="13"/>
  <c r="J15" i="13"/>
  <c r="E15" i="13" l="1"/>
  <c r="D16" i="13" s="1"/>
  <c r="W13" i="13"/>
  <c r="R14" i="13"/>
  <c r="S14" i="13" s="1"/>
  <c r="A14" i="15" s="1"/>
  <c r="U13" i="13"/>
  <c r="X13" i="13" l="1"/>
  <c r="Y13" i="13" s="1"/>
  <c r="B14" i="15" s="1"/>
  <c r="T14" i="13"/>
  <c r="O15" i="13"/>
  <c r="P14" i="13"/>
  <c r="F15" i="13"/>
  <c r="L16" i="13"/>
  <c r="J16" i="13"/>
  <c r="I16" i="13"/>
  <c r="H16" i="13"/>
  <c r="N16" i="13"/>
  <c r="K16" i="13"/>
  <c r="M16" i="13"/>
  <c r="G16" i="13"/>
  <c r="E16" i="13" l="1"/>
  <c r="D17" i="13" s="1"/>
  <c r="F16" i="13" s="1"/>
  <c r="W14" i="13"/>
  <c r="R15" i="13"/>
  <c r="S15" i="13" s="1"/>
  <c r="A15" i="15" s="1"/>
  <c r="U14" i="13"/>
  <c r="T15" i="13" l="1"/>
  <c r="X14" i="13"/>
  <c r="Y14" i="13" s="1"/>
  <c r="B15" i="15" s="1"/>
  <c r="O16" i="13"/>
  <c r="P15" i="13"/>
  <c r="L17" i="13"/>
  <c r="N17" i="13"/>
  <c r="G17" i="13"/>
  <c r="H17" i="13"/>
  <c r="K17" i="13"/>
  <c r="I17" i="13"/>
  <c r="J17" i="13"/>
  <c r="M17" i="13"/>
  <c r="E17" i="13" l="1"/>
  <c r="D18" i="13" s="1"/>
  <c r="F17" i="13" s="1"/>
  <c r="R16" i="13"/>
  <c r="S16" i="13" s="1"/>
  <c r="A16" i="15" s="1"/>
  <c r="W15" i="13"/>
  <c r="U15" i="13"/>
  <c r="T16" i="13" l="1"/>
  <c r="X15" i="13"/>
  <c r="Y15" i="13" s="1"/>
  <c r="O17" i="13"/>
  <c r="P16" i="13"/>
  <c r="K18" i="13"/>
  <c r="G18" i="13"/>
  <c r="J18" i="13"/>
  <c r="M18" i="13"/>
  <c r="N18" i="13"/>
  <c r="H18" i="13"/>
  <c r="L18" i="13"/>
  <c r="I18" i="13"/>
  <c r="E18" i="13" l="1"/>
  <c r="D19" i="13" s="1"/>
  <c r="R17" i="13"/>
  <c r="S17" i="13" s="1"/>
  <c r="A17" i="15" s="1"/>
  <c r="B16" i="15"/>
  <c r="W16" i="13"/>
  <c r="U16" i="13"/>
  <c r="T17" i="13" l="1"/>
  <c r="X16" i="13"/>
  <c r="Y16" i="13" s="1"/>
  <c r="F18" i="13"/>
  <c r="B17" i="15" l="1"/>
  <c r="O18" i="13"/>
  <c r="P17" i="13"/>
  <c r="J19" i="13"/>
  <c r="H19" i="13"/>
  <c r="M19" i="13"/>
  <c r="N19" i="13"/>
  <c r="G19" i="13"/>
  <c r="L19" i="13"/>
  <c r="I19" i="13"/>
  <c r="K19" i="13"/>
  <c r="E19" i="13" l="1"/>
  <c r="D20" i="13" s="1"/>
  <c r="R18" i="13"/>
  <c r="S18" i="13" s="1"/>
  <c r="A18" i="15" s="1"/>
  <c r="W17" i="13"/>
  <c r="U17" i="13"/>
  <c r="T18" i="13" l="1"/>
  <c r="X17" i="13"/>
  <c r="Y17" i="13" s="1"/>
  <c r="F19" i="13"/>
  <c r="B18" i="15" l="1"/>
  <c r="O19" i="13"/>
  <c r="P18" i="13"/>
  <c r="L20" i="13"/>
  <c r="N20" i="13"/>
  <c r="K20" i="13"/>
  <c r="H20" i="13"/>
  <c r="J20" i="13"/>
  <c r="G20" i="13"/>
  <c r="M20" i="13"/>
  <c r="I20" i="13"/>
  <c r="E20" i="13" l="1"/>
  <c r="D21" i="13" s="1"/>
  <c r="R19" i="13"/>
  <c r="S19" i="13" s="1"/>
  <c r="A19" i="15" s="1"/>
  <c r="W18" i="13"/>
  <c r="U18" i="13"/>
  <c r="T19" i="13" l="1"/>
  <c r="X18" i="13"/>
  <c r="Y18" i="13" s="1"/>
  <c r="F20" i="13"/>
  <c r="B19" i="15" l="1"/>
  <c r="O20" i="13"/>
  <c r="P19" i="13"/>
  <c r="L21" i="13"/>
  <c r="N21" i="13"/>
  <c r="M21" i="13"/>
  <c r="H21" i="13"/>
  <c r="J21" i="13"/>
  <c r="I21" i="13"/>
  <c r="K21" i="13"/>
  <c r="G21" i="13"/>
  <c r="E21" i="13" l="1"/>
  <c r="D22" i="13" s="1"/>
  <c r="R20" i="13"/>
  <c r="S20" i="13" s="1"/>
  <c r="A20" i="15" s="1"/>
  <c r="W19" i="13"/>
  <c r="U19" i="13"/>
  <c r="T20" i="13" l="1"/>
  <c r="X19" i="13"/>
  <c r="Y19" i="13" s="1"/>
  <c r="F21" i="13"/>
  <c r="B20" i="15" l="1"/>
  <c r="O21" i="13"/>
  <c r="P20" i="13"/>
  <c r="M22" i="13"/>
  <c r="L22" i="13"/>
  <c r="H22" i="13"/>
  <c r="J22" i="13"/>
  <c r="I22" i="13"/>
  <c r="G22" i="13"/>
  <c r="N22" i="13"/>
  <c r="K22" i="13"/>
  <c r="E22" i="13" l="1"/>
  <c r="D23" i="13" s="1"/>
  <c r="R21" i="13"/>
  <c r="S21" i="13" s="1"/>
  <c r="A21" i="15" s="1"/>
  <c r="W20" i="13"/>
  <c r="U20" i="13"/>
  <c r="T21" i="13" l="1"/>
  <c r="X20" i="13"/>
  <c r="Y20" i="13" s="1"/>
  <c r="F22" i="13"/>
  <c r="B21" i="15" l="1"/>
  <c r="O22" i="13"/>
  <c r="P21" i="13"/>
  <c r="J23" i="13"/>
  <c r="H23" i="13"/>
  <c r="L23" i="13"/>
  <c r="G23" i="13"/>
  <c r="K23" i="13"/>
  <c r="M23" i="13"/>
  <c r="N23" i="13"/>
  <c r="I23" i="13"/>
  <c r="E23" i="13" l="1"/>
  <c r="D24" i="13" s="1"/>
  <c r="R22" i="13"/>
  <c r="S22" i="13" s="1"/>
  <c r="A22" i="15" s="1"/>
  <c r="W21" i="13"/>
  <c r="U21" i="13"/>
  <c r="T22" i="13" l="1"/>
  <c r="X21" i="13"/>
  <c r="Y21" i="13" s="1"/>
  <c r="F23" i="13"/>
  <c r="B22" i="15" l="1"/>
  <c r="O23" i="13"/>
  <c r="P22" i="13"/>
  <c r="M24" i="13"/>
  <c r="J24" i="13"/>
  <c r="I24" i="13"/>
  <c r="L24" i="13"/>
  <c r="G24" i="13"/>
  <c r="H24" i="13"/>
  <c r="K24" i="13"/>
  <c r="N24" i="13"/>
  <c r="E24" i="13" l="1"/>
  <c r="D25" i="13" s="1"/>
  <c r="R23" i="13"/>
  <c r="S23" i="13" s="1"/>
  <c r="A23" i="15" s="1"/>
  <c r="W22" i="13"/>
  <c r="U22" i="13"/>
  <c r="T23" i="13" l="1"/>
  <c r="X22" i="13"/>
  <c r="Y22" i="13" s="1"/>
  <c r="F24" i="13"/>
  <c r="B23" i="15" l="1"/>
  <c r="O24" i="13"/>
  <c r="P23" i="13"/>
  <c r="L25" i="13"/>
  <c r="M25" i="13"/>
  <c r="H25" i="13"/>
  <c r="N25" i="13"/>
  <c r="I25" i="13"/>
  <c r="J25" i="13"/>
  <c r="G25" i="13"/>
  <c r="K25" i="13"/>
  <c r="E25" i="13" l="1"/>
  <c r="D26" i="13" s="1"/>
  <c r="R24" i="13"/>
  <c r="S24" i="13" s="1"/>
  <c r="A24" i="15" s="1"/>
  <c r="W23" i="13"/>
  <c r="U23" i="13"/>
  <c r="T24" i="13" l="1"/>
  <c r="X23" i="13"/>
  <c r="Y23" i="13" s="1"/>
  <c r="F25" i="13"/>
  <c r="B24" i="15" l="1"/>
  <c r="O25" i="13"/>
  <c r="P24" i="13"/>
  <c r="J26" i="13"/>
  <c r="G26" i="13"/>
  <c r="H26" i="13"/>
  <c r="L26" i="13"/>
  <c r="K26" i="13"/>
  <c r="I26" i="13"/>
  <c r="M26" i="13"/>
  <c r="N26" i="13"/>
  <c r="E26" i="13" l="1"/>
  <c r="D27" i="13" s="1"/>
  <c r="R25" i="13"/>
  <c r="S25" i="13" s="1"/>
  <c r="A25" i="15" s="1"/>
  <c r="W24" i="13"/>
  <c r="U24" i="13"/>
  <c r="T25" i="13" l="1"/>
  <c r="X24" i="13"/>
  <c r="Y24" i="13" s="1"/>
  <c r="F26" i="13"/>
  <c r="B25" i="15" l="1"/>
  <c r="O26" i="13"/>
  <c r="P25" i="13"/>
  <c r="L27" i="13"/>
  <c r="H27" i="13"/>
  <c r="N27" i="13"/>
  <c r="K27" i="13"/>
  <c r="M27" i="13"/>
  <c r="G27" i="13"/>
  <c r="I27" i="13"/>
  <c r="J27" i="13"/>
  <c r="E27" i="13" l="1"/>
  <c r="D28" i="13" s="1"/>
  <c r="R26" i="13"/>
  <c r="S26" i="13" s="1"/>
  <c r="A26" i="15" s="1"/>
  <c r="W25" i="13"/>
  <c r="U25" i="13"/>
  <c r="T26" i="13" l="1"/>
  <c r="X25" i="13"/>
  <c r="Y25" i="13" s="1"/>
  <c r="F27" i="13"/>
  <c r="B26" i="15" l="1"/>
  <c r="O27" i="13"/>
  <c r="P26" i="13"/>
  <c r="N28" i="13"/>
  <c r="M28" i="13"/>
  <c r="I28" i="13"/>
  <c r="L28" i="13"/>
  <c r="G28" i="13"/>
  <c r="J28" i="13"/>
  <c r="K28" i="13"/>
  <c r="H28" i="13"/>
  <c r="E28" i="13" l="1"/>
  <c r="D29" i="13" s="1"/>
  <c r="R27" i="13"/>
  <c r="S27" i="13" s="1"/>
  <c r="A27" i="15" s="1"/>
  <c r="W26" i="13"/>
  <c r="U26" i="13"/>
  <c r="T27" i="13" l="1"/>
  <c r="X26" i="13"/>
  <c r="Y26" i="13" s="1"/>
  <c r="F28" i="13"/>
  <c r="B27" i="15" l="1"/>
  <c r="O28" i="13"/>
  <c r="P27" i="13"/>
  <c r="G29" i="13"/>
  <c r="J29" i="13"/>
  <c r="N29" i="13"/>
  <c r="I29" i="13"/>
  <c r="H29" i="13"/>
  <c r="L29" i="13"/>
  <c r="K29" i="13"/>
  <c r="M29" i="13"/>
  <c r="E29" i="13" l="1"/>
  <c r="D30" i="13" s="1"/>
  <c r="R28" i="13"/>
  <c r="S28" i="13" s="1"/>
  <c r="A28" i="15" s="1"/>
  <c r="W27" i="13"/>
  <c r="U27" i="13"/>
  <c r="T28" i="13" l="1"/>
  <c r="X27" i="13"/>
  <c r="Y27" i="13" s="1"/>
  <c r="F29" i="13"/>
  <c r="B28" i="15" l="1"/>
  <c r="O29" i="13"/>
  <c r="P28" i="13"/>
  <c r="I30" i="13"/>
  <c r="K30" i="13"/>
  <c r="N30" i="13"/>
  <c r="L30" i="13"/>
  <c r="M30" i="13"/>
  <c r="G30" i="13"/>
  <c r="H30" i="13"/>
  <c r="J30" i="13"/>
  <c r="E30" i="13" l="1"/>
  <c r="D31" i="13" s="1"/>
  <c r="R29" i="13"/>
  <c r="S29" i="13" s="1"/>
  <c r="A29" i="15" s="1"/>
  <c r="W28" i="13"/>
  <c r="U28" i="13"/>
  <c r="T29" i="13" l="1"/>
  <c r="X28" i="13"/>
  <c r="F30" i="13"/>
  <c r="Y28" i="13" l="1"/>
  <c r="B29" i="15" s="1"/>
  <c r="O30" i="13"/>
  <c r="P29" i="13"/>
  <c r="N31" i="13"/>
  <c r="M31" i="13"/>
  <c r="I31" i="13"/>
  <c r="G31" i="13"/>
  <c r="H31" i="13"/>
  <c r="J31" i="13"/>
  <c r="K31" i="13"/>
  <c r="L31" i="13"/>
  <c r="E31" i="13" l="1"/>
  <c r="D32" i="13" s="1"/>
  <c r="R30" i="13"/>
  <c r="S30" i="13" s="1"/>
  <c r="A30" i="15" s="1"/>
  <c r="W29" i="13"/>
  <c r="U29" i="13"/>
  <c r="T30" i="13" l="1"/>
  <c r="X29" i="13"/>
  <c r="Y29" i="13" s="1"/>
  <c r="F31" i="13"/>
  <c r="B30" i="15" l="1"/>
  <c r="O31" i="13"/>
  <c r="P30" i="13"/>
  <c r="N32" i="13"/>
  <c r="M32" i="13"/>
  <c r="H32" i="13"/>
  <c r="L32" i="13"/>
  <c r="G32" i="13"/>
  <c r="I32" i="13"/>
  <c r="J32" i="13"/>
  <c r="K32" i="13"/>
  <c r="E32" i="13" l="1"/>
  <c r="D33" i="13" s="1"/>
  <c r="R31" i="13"/>
  <c r="S31" i="13" s="1"/>
  <c r="A31" i="15" s="1"/>
  <c r="W30" i="13"/>
  <c r="U30" i="13"/>
  <c r="T31" i="13" l="1"/>
  <c r="X30" i="13"/>
  <c r="Y30" i="13" s="1"/>
  <c r="F32" i="13"/>
  <c r="B31" i="15" l="1"/>
  <c r="O32" i="13"/>
  <c r="P31" i="13"/>
  <c r="K33" i="13"/>
  <c r="H33" i="13"/>
  <c r="G33" i="13"/>
  <c r="M33" i="13"/>
  <c r="I33" i="13"/>
  <c r="N33" i="13"/>
  <c r="L33" i="13"/>
  <c r="J33" i="13"/>
  <c r="E33" i="13" l="1"/>
  <c r="D34" i="13" s="1"/>
  <c r="R32" i="13"/>
  <c r="S32" i="13" s="1"/>
  <c r="A32" i="15" s="1"/>
  <c r="W31" i="13"/>
  <c r="U31" i="13"/>
  <c r="T32" i="13" l="1"/>
  <c r="X31" i="13"/>
  <c r="Y31" i="13" s="1"/>
  <c r="F33" i="13"/>
  <c r="B32" i="15" l="1"/>
  <c r="O33" i="13"/>
  <c r="P32" i="13"/>
  <c r="G34" i="13"/>
  <c r="M34" i="13"/>
  <c r="J34" i="13"/>
  <c r="N34" i="13"/>
  <c r="H34" i="13"/>
  <c r="K34" i="13"/>
  <c r="L34" i="13"/>
  <c r="I34" i="13"/>
  <c r="E34" i="13" l="1"/>
  <c r="D35" i="13" s="1"/>
  <c r="R33" i="13"/>
  <c r="S33" i="13" s="1"/>
  <c r="A33" i="15" s="1"/>
  <c r="W32" i="13"/>
  <c r="U32" i="13"/>
  <c r="T33" i="13" l="1"/>
  <c r="X32" i="13"/>
  <c r="Y32" i="13" s="1"/>
  <c r="F34" i="13"/>
  <c r="B33" i="15" l="1"/>
  <c r="O34" i="13"/>
  <c r="P33" i="13"/>
  <c r="K35" i="13"/>
  <c r="I35" i="13"/>
  <c r="M35" i="13"/>
  <c r="J35" i="13"/>
  <c r="H35" i="13"/>
  <c r="G35" i="13"/>
  <c r="L35" i="13"/>
  <c r="N35" i="13"/>
  <c r="E35" i="13" l="1"/>
  <c r="D36" i="13" s="1"/>
  <c r="R34" i="13"/>
  <c r="S34" i="13" s="1"/>
  <c r="A34" i="15" s="1"/>
  <c r="W33" i="13"/>
  <c r="U33" i="13"/>
  <c r="T34" i="13" l="1"/>
  <c r="X33" i="13"/>
  <c r="Y33" i="13" s="1"/>
  <c r="F35" i="13"/>
  <c r="B34" i="15" l="1"/>
  <c r="O35" i="13"/>
  <c r="P34" i="13"/>
  <c r="N36" i="13"/>
  <c r="K36" i="13"/>
  <c r="H36" i="13"/>
  <c r="I36" i="13"/>
  <c r="L36" i="13"/>
  <c r="G36" i="13"/>
  <c r="M36" i="13"/>
  <c r="J36" i="13"/>
  <c r="E36" i="13" l="1"/>
  <c r="D37" i="13" s="1"/>
  <c r="R35" i="13"/>
  <c r="S35" i="13" s="1"/>
  <c r="A35" i="15" s="1"/>
  <c r="W34" i="13"/>
  <c r="U34" i="13"/>
  <c r="T35" i="13" l="1"/>
  <c r="X34" i="13"/>
  <c r="Y34" i="13" s="1"/>
  <c r="F36" i="13"/>
  <c r="B35" i="15" l="1"/>
  <c r="O36" i="13"/>
  <c r="P35" i="13"/>
  <c r="N37" i="13"/>
  <c r="G37" i="13"/>
  <c r="L37" i="13"/>
  <c r="K37" i="13"/>
  <c r="J37" i="13"/>
  <c r="I37" i="13"/>
  <c r="H37" i="13"/>
  <c r="M37" i="13"/>
  <c r="E37" i="13" l="1"/>
  <c r="D38" i="13" s="1"/>
  <c r="R36" i="13"/>
  <c r="S36" i="13" s="1"/>
  <c r="A36" i="15" s="1"/>
  <c r="W35" i="13"/>
  <c r="U35" i="13"/>
  <c r="T36" i="13" l="1"/>
  <c r="X35" i="13"/>
  <c r="Y35" i="13" s="1"/>
  <c r="F37" i="13"/>
  <c r="B36" i="15" l="1"/>
  <c r="O37" i="13"/>
  <c r="P36" i="13"/>
  <c r="J38" i="13"/>
  <c r="G38" i="13"/>
  <c r="N38" i="13"/>
  <c r="H38" i="13"/>
  <c r="K38" i="13"/>
  <c r="I38" i="13"/>
  <c r="L38" i="13"/>
  <c r="M38" i="13"/>
  <c r="E38" i="13" l="1"/>
  <c r="D39" i="13" s="1"/>
  <c r="R37" i="13"/>
  <c r="S37" i="13" s="1"/>
  <c r="A37" i="15" s="1"/>
  <c r="W36" i="13"/>
  <c r="U36" i="13"/>
  <c r="T37" i="13" l="1"/>
  <c r="X36" i="13"/>
  <c r="Y36" i="13" s="1"/>
  <c r="F38" i="13"/>
  <c r="B37" i="15" l="1"/>
  <c r="O38" i="13"/>
  <c r="P37" i="13"/>
  <c r="J39" i="13"/>
  <c r="H39" i="13"/>
  <c r="K39" i="13"/>
  <c r="L39" i="13"/>
  <c r="M39" i="13"/>
  <c r="G39" i="13"/>
  <c r="N39" i="13"/>
  <c r="I39" i="13"/>
  <c r="E39" i="13" l="1"/>
  <c r="D40" i="13" s="1"/>
  <c r="R38" i="13"/>
  <c r="S38" i="13" s="1"/>
  <c r="A38" i="15" s="1"/>
  <c r="W37" i="13"/>
  <c r="U37" i="13"/>
  <c r="T38" i="13" l="1"/>
  <c r="X37" i="13"/>
  <c r="Y37" i="13" s="1"/>
  <c r="F39" i="13"/>
  <c r="B38" i="15" l="1"/>
  <c r="O39" i="13"/>
  <c r="P38" i="13"/>
  <c r="L40" i="13"/>
  <c r="J40" i="13"/>
  <c r="H40" i="13"/>
  <c r="G40" i="13"/>
  <c r="I40" i="13"/>
  <c r="K40" i="13"/>
  <c r="M40" i="13"/>
  <c r="N40" i="13"/>
  <c r="E40" i="13" l="1"/>
  <c r="D41" i="13" s="1"/>
  <c r="R39" i="13"/>
  <c r="S39" i="13" s="1"/>
  <c r="A39" i="15" s="1"/>
  <c r="W38" i="13"/>
  <c r="U38" i="13"/>
  <c r="T39" i="13" l="1"/>
  <c r="X38" i="13"/>
  <c r="Y38" i="13" s="1"/>
  <c r="F40" i="13"/>
  <c r="B39" i="15" l="1"/>
  <c r="O40" i="13"/>
  <c r="P39" i="13"/>
  <c r="J41" i="13"/>
  <c r="N41" i="13"/>
  <c r="G41" i="13"/>
  <c r="I41" i="13"/>
  <c r="M41" i="13"/>
  <c r="L41" i="13"/>
  <c r="H41" i="13"/>
  <c r="K41" i="13"/>
  <c r="E41" i="13" l="1"/>
  <c r="D42" i="13" s="1"/>
  <c r="R40" i="13"/>
  <c r="S40" i="13" s="1"/>
  <c r="A40" i="15" s="1"/>
  <c r="W39" i="13"/>
  <c r="U39" i="13"/>
  <c r="T40" i="13" l="1"/>
  <c r="X39" i="13"/>
  <c r="Y39" i="13" s="1"/>
  <c r="F41" i="13"/>
  <c r="B40" i="15" l="1"/>
  <c r="O41" i="13"/>
  <c r="P40" i="13"/>
  <c r="J42" i="13"/>
  <c r="K42" i="13"/>
  <c r="I42" i="13"/>
  <c r="L42" i="13"/>
  <c r="H42" i="13"/>
  <c r="M42" i="13"/>
  <c r="N42" i="13"/>
  <c r="G42" i="13"/>
  <c r="E42" i="13" l="1"/>
  <c r="D43" i="13" s="1"/>
  <c r="R41" i="13"/>
  <c r="S41" i="13" s="1"/>
  <c r="A41" i="15" s="1"/>
  <c r="W40" i="13"/>
  <c r="U40" i="13"/>
  <c r="T41" i="13" l="1"/>
  <c r="X40" i="13"/>
  <c r="Y40" i="13" s="1"/>
  <c r="F42" i="13"/>
  <c r="B41" i="15" l="1"/>
  <c r="O42" i="13"/>
  <c r="P41" i="13"/>
  <c r="M43" i="13"/>
  <c r="L43" i="13"/>
  <c r="H43" i="13"/>
  <c r="K43" i="13"/>
  <c r="I43" i="13"/>
  <c r="J43" i="13"/>
  <c r="N43" i="13"/>
  <c r="G43" i="13"/>
  <c r="E43" i="13" l="1"/>
  <c r="D44" i="13" s="1"/>
  <c r="R42" i="13"/>
  <c r="S42" i="13" s="1"/>
  <c r="A42" i="15" s="1"/>
  <c r="W41" i="13"/>
  <c r="U41" i="13"/>
  <c r="T42" i="13" l="1"/>
  <c r="X41" i="13"/>
  <c r="Y41" i="13" s="1"/>
  <c r="F43" i="13"/>
  <c r="B42" i="15" l="1"/>
  <c r="O43" i="13"/>
  <c r="P42" i="13"/>
  <c r="M44" i="13"/>
  <c r="K44" i="13"/>
  <c r="N44" i="13"/>
  <c r="G44" i="13"/>
  <c r="J44" i="13"/>
  <c r="I44" i="13"/>
  <c r="L44" i="13"/>
  <c r="H44" i="13"/>
  <c r="E44" i="13" l="1"/>
  <c r="D45" i="13" s="1"/>
  <c r="R43" i="13"/>
  <c r="S43" i="13" s="1"/>
  <c r="A43" i="15" s="1"/>
  <c r="W42" i="13"/>
  <c r="U42" i="13"/>
  <c r="T43" i="13" l="1"/>
  <c r="X42" i="13"/>
  <c r="Y42" i="13" s="1"/>
  <c r="F44" i="13"/>
  <c r="B43" i="15" l="1"/>
  <c r="O44" i="13"/>
  <c r="P43" i="13"/>
  <c r="J45" i="13"/>
  <c r="H45" i="13"/>
  <c r="G45" i="13"/>
  <c r="L45" i="13"/>
  <c r="M45" i="13"/>
  <c r="I45" i="13"/>
  <c r="K45" i="13"/>
  <c r="N45" i="13"/>
  <c r="E45" i="13" l="1"/>
  <c r="D46" i="13" s="1"/>
  <c r="R44" i="13"/>
  <c r="S44" i="13" s="1"/>
  <c r="A44" i="15" s="1"/>
  <c r="W43" i="13"/>
  <c r="U43" i="13"/>
  <c r="T44" i="13" l="1"/>
  <c r="X43" i="13"/>
  <c r="Y43" i="13" s="1"/>
  <c r="F45" i="13"/>
  <c r="B44" i="15" l="1"/>
  <c r="O45" i="13"/>
  <c r="P44" i="13"/>
  <c r="G46" i="13"/>
  <c r="J46" i="13"/>
  <c r="N46" i="13"/>
  <c r="H46" i="13"/>
  <c r="I46" i="13"/>
  <c r="K46" i="13"/>
  <c r="L46" i="13"/>
  <c r="M46" i="13"/>
  <c r="E46" i="13" l="1"/>
  <c r="D47" i="13" s="1"/>
  <c r="R45" i="13"/>
  <c r="S45" i="13" s="1"/>
  <c r="A45" i="15" s="1"/>
  <c r="W44" i="13"/>
  <c r="U44" i="13"/>
  <c r="T45" i="13" l="1"/>
  <c r="X44" i="13"/>
  <c r="Y44" i="13" s="1"/>
  <c r="F46" i="13"/>
  <c r="B45" i="15" l="1"/>
  <c r="O46" i="13"/>
  <c r="P45" i="13"/>
  <c r="G47" i="13"/>
  <c r="K47" i="13"/>
  <c r="L47" i="13"/>
  <c r="H47" i="13"/>
  <c r="N47" i="13"/>
  <c r="M47" i="13"/>
  <c r="J47" i="13"/>
  <c r="I47" i="13"/>
  <c r="E47" i="13" l="1"/>
  <c r="D48" i="13" s="1"/>
  <c r="R46" i="13"/>
  <c r="S46" i="13" s="1"/>
  <c r="A46" i="15" s="1"/>
  <c r="W45" i="13"/>
  <c r="U45" i="13"/>
  <c r="T46" i="13" l="1"/>
  <c r="X45" i="13"/>
  <c r="Y45" i="13" s="1"/>
  <c r="F47" i="13"/>
  <c r="B46" i="15" l="1"/>
  <c r="O47" i="13"/>
  <c r="P46" i="13"/>
  <c r="M48" i="13"/>
  <c r="G48" i="13"/>
  <c r="J48" i="13"/>
  <c r="L48" i="13"/>
  <c r="K48" i="13"/>
  <c r="I48" i="13"/>
  <c r="H48" i="13"/>
  <c r="N48" i="13"/>
  <c r="E48" i="13" l="1"/>
  <c r="D49" i="13" s="1"/>
  <c r="R47" i="13"/>
  <c r="S47" i="13" s="1"/>
  <c r="A47" i="15" s="1"/>
  <c r="W46" i="13"/>
  <c r="U46" i="13"/>
  <c r="T47" i="13" l="1"/>
  <c r="X46" i="13"/>
  <c r="Y46" i="13" s="1"/>
  <c r="F48" i="13"/>
  <c r="B47" i="15" l="1"/>
  <c r="O48" i="13"/>
  <c r="P47" i="13"/>
  <c r="L49" i="13"/>
  <c r="J49" i="13"/>
  <c r="I49" i="13"/>
  <c r="K49" i="13"/>
  <c r="M49" i="13"/>
  <c r="G49" i="13"/>
  <c r="N49" i="13"/>
  <c r="H49" i="13"/>
  <c r="E49" i="13" l="1"/>
  <c r="D50" i="13" s="1"/>
  <c r="R48" i="13"/>
  <c r="S48" i="13" s="1"/>
  <c r="A48" i="15" s="1"/>
  <c r="W47" i="13"/>
  <c r="U47" i="13"/>
  <c r="T48" i="13" l="1"/>
  <c r="X47" i="13"/>
  <c r="Y47" i="13" s="1"/>
  <c r="F49" i="13"/>
  <c r="B48" i="15" l="1"/>
  <c r="O49" i="13"/>
  <c r="P48" i="13"/>
  <c r="K50" i="13"/>
  <c r="M50" i="13"/>
  <c r="G50" i="13"/>
  <c r="I50" i="13"/>
  <c r="J50" i="13"/>
  <c r="H50" i="13"/>
  <c r="L50" i="13"/>
  <c r="N50" i="13"/>
  <c r="E50" i="13" l="1"/>
  <c r="D51" i="13" s="1"/>
  <c r="R49" i="13"/>
  <c r="S49" i="13" s="1"/>
  <c r="A49" i="15" s="1"/>
  <c r="W48" i="13"/>
  <c r="U48" i="13"/>
  <c r="T49" i="13" l="1"/>
  <c r="X48" i="13"/>
  <c r="Y48" i="13" s="1"/>
  <c r="F50" i="13"/>
  <c r="B49" i="15" l="1"/>
  <c r="O50" i="13"/>
  <c r="P49" i="13"/>
  <c r="I51" i="13"/>
  <c r="M51" i="13"/>
  <c r="N51" i="13"/>
  <c r="G51" i="13"/>
  <c r="L51" i="13"/>
  <c r="J51" i="13"/>
  <c r="K51" i="13"/>
  <c r="H51" i="13"/>
  <c r="E51" i="13" l="1"/>
  <c r="D52" i="13" s="1"/>
  <c r="R50" i="13"/>
  <c r="S50" i="13" s="1"/>
  <c r="A50" i="15" s="1"/>
  <c r="W49" i="13"/>
  <c r="U49" i="13"/>
  <c r="T50" i="13" l="1"/>
  <c r="X49" i="13"/>
  <c r="Y49" i="13" s="1"/>
  <c r="F51" i="13"/>
  <c r="B50" i="15" l="1"/>
  <c r="O51" i="13"/>
  <c r="P50" i="13"/>
  <c r="L52" i="13"/>
  <c r="G52" i="13"/>
  <c r="H52" i="13"/>
  <c r="M52" i="13"/>
  <c r="K52" i="13"/>
  <c r="I52" i="13"/>
  <c r="J52" i="13"/>
  <c r="N52" i="13"/>
  <c r="E52" i="13" l="1"/>
  <c r="D53" i="13" s="1"/>
  <c r="R51" i="13"/>
  <c r="S51" i="13" s="1"/>
  <c r="A51" i="15" s="1"/>
  <c r="W50" i="13"/>
  <c r="U50" i="13"/>
  <c r="T51" i="13" l="1"/>
  <c r="X50" i="13"/>
  <c r="F52" i="13"/>
  <c r="Y50" i="13" l="1"/>
  <c r="B51" i="15" s="1"/>
  <c r="O52" i="13"/>
  <c r="P51" i="13"/>
  <c r="G53" i="13"/>
  <c r="J53" i="13"/>
  <c r="I53" i="13"/>
  <c r="K53" i="13"/>
  <c r="L53" i="13"/>
  <c r="N53" i="13"/>
  <c r="M53" i="13"/>
  <c r="H53" i="13"/>
  <c r="E53" i="13" l="1"/>
  <c r="D54" i="13" s="1"/>
  <c r="R52" i="13"/>
  <c r="S52" i="13" s="1"/>
  <c r="A52" i="15" s="1"/>
  <c r="W51" i="13"/>
  <c r="U51" i="13"/>
  <c r="T52" i="13" l="1"/>
  <c r="X51" i="13"/>
  <c r="Y51" i="13" s="1"/>
  <c r="F53" i="13"/>
  <c r="B52" i="15" l="1"/>
  <c r="O53" i="13"/>
  <c r="P52" i="13"/>
  <c r="M54" i="13"/>
  <c r="I54" i="13"/>
  <c r="K54" i="13"/>
  <c r="N54" i="13"/>
  <c r="G54" i="13"/>
  <c r="L54" i="13"/>
  <c r="H54" i="13"/>
  <c r="J54" i="13"/>
  <c r="E54" i="13" l="1"/>
  <c r="D55" i="13" s="1"/>
  <c r="R53" i="13"/>
  <c r="S53" i="13" s="1"/>
  <c r="A53" i="15" s="1"/>
  <c r="W52" i="13"/>
  <c r="U52" i="13"/>
  <c r="T53" i="13" l="1"/>
  <c r="X52" i="13"/>
  <c r="Y52" i="13" s="1"/>
  <c r="F54" i="13"/>
  <c r="B53" i="15" l="1"/>
  <c r="O54" i="13"/>
  <c r="P53" i="13"/>
  <c r="I55" i="13"/>
  <c r="J55" i="13"/>
  <c r="M55" i="13"/>
  <c r="H55" i="13"/>
  <c r="L55" i="13"/>
  <c r="K55" i="13"/>
  <c r="G55" i="13"/>
  <c r="N55" i="13"/>
  <c r="E55" i="13" l="1"/>
  <c r="D56" i="13" s="1"/>
  <c r="R54" i="13"/>
  <c r="S54" i="13" s="1"/>
  <c r="A54" i="15" s="1"/>
  <c r="W53" i="13"/>
  <c r="U53" i="13"/>
  <c r="T54" i="13" l="1"/>
  <c r="X53" i="13"/>
  <c r="Y53" i="13" s="1"/>
  <c r="F55" i="13"/>
  <c r="B54" i="15" l="1"/>
  <c r="O55" i="13"/>
  <c r="P54" i="13"/>
  <c r="K56" i="13"/>
  <c r="N56" i="13"/>
  <c r="J56" i="13"/>
  <c r="H56" i="13"/>
  <c r="L56" i="13"/>
  <c r="M56" i="13"/>
  <c r="I56" i="13"/>
  <c r="G56" i="13"/>
  <c r="E56" i="13" l="1"/>
  <c r="D57" i="13" s="1"/>
  <c r="R55" i="13"/>
  <c r="S55" i="13" s="1"/>
  <c r="A55" i="15" s="1"/>
  <c r="W54" i="13"/>
  <c r="U54" i="13"/>
  <c r="T55" i="13" l="1"/>
  <c r="X54" i="13"/>
  <c r="Y54" i="13" s="1"/>
  <c r="F56" i="13"/>
  <c r="B55" i="15" l="1"/>
  <c r="O56" i="13"/>
  <c r="P55" i="13"/>
  <c r="L57" i="13"/>
  <c r="M57" i="13"/>
  <c r="J57" i="13"/>
  <c r="H57" i="13"/>
  <c r="G57" i="13"/>
  <c r="I57" i="13"/>
  <c r="N57" i="13"/>
  <c r="K57" i="13"/>
  <c r="E57" i="13" l="1"/>
  <c r="D58" i="13" s="1"/>
  <c r="R56" i="13"/>
  <c r="S56" i="13" s="1"/>
  <c r="A56" i="15" s="1"/>
  <c r="W55" i="13"/>
  <c r="U55" i="13"/>
  <c r="T56" i="13" l="1"/>
  <c r="X55" i="13"/>
  <c r="Y55" i="13" s="1"/>
  <c r="F57" i="13"/>
  <c r="B56" i="15" l="1"/>
  <c r="O57" i="13"/>
  <c r="P56" i="13"/>
  <c r="L58" i="13"/>
  <c r="H58" i="13"/>
  <c r="M58" i="13"/>
  <c r="K58" i="13"/>
  <c r="N58" i="13"/>
  <c r="J58" i="13"/>
  <c r="G58" i="13"/>
  <c r="I58" i="13"/>
  <c r="E58" i="13" l="1"/>
  <c r="D59" i="13" s="1"/>
  <c r="R57" i="13"/>
  <c r="S57" i="13" s="1"/>
  <c r="A57" i="15" s="1"/>
  <c r="W56" i="13"/>
  <c r="U56" i="13"/>
  <c r="T57" i="13" l="1"/>
  <c r="X56" i="13"/>
  <c r="Y56" i="13" s="1"/>
  <c r="F58" i="13"/>
  <c r="B57" i="15" l="1"/>
  <c r="O58" i="13"/>
  <c r="P57" i="13"/>
  <c r="J59" i="13"/>
  <c r="G59" i="13"/>
  <c r="I59" i="13"/>
  <c r="H59" i="13"/>
  <c r="N59" i="13"/>
  <c r="K59" i="13"/>
  <c r="M59" i="13"/>
  <c r="L59" i="13"/>
  <c r="E59" i="13" l="1"/>
  <c r="D60" i="13" s="1"/>
  <c r="R58" i="13"/>
  <c r="S58" i="13" s="1"/>
  <c r="A58" i="15" s="1"/>
  <c r="W57" i="13"/>
  <c r="U57" i="13"/>
  <c r="T58" i="13" l="1"/>
  <c r="X57" i="13"/>
  <c r="Y57" i="13" s="1"/>
  <c r="F59" i="13"/>
  <c r="B58" i="15" l="1"/>
  <c r="O59" i="13"/>
  <c r="P58" i="13"/>
  <c r="L60" i="13"/>
  <c r="G60" i="13"/>
  <c r="M60" i="13"/>
  <c r="N60" i="13"/>
  <c r="K60" i="13"/>
  <c r="H60" i="13"/>
  <c r="J60" i="13"/>
  <c r="I60" i="13"/>
  <c r="E60" i="13" l="1"/>
  <c r="D61" i="13" s="1"/>
  <c r="R59" i="13"/>
  <c r="S59" i="13" s="1"/>
  <c r="A59" i="15" s="1"/>
  <c r="W58" i="13"/>
  <c r="U58" i="13"/>
  <c r="T59" i="13" l="1"/>
  <c r="X58" i="13"/>
  <c r="Y58" i="13" s="1"/>
  <c r="F60" i="13"/>
  <c r="B59" i="15" l="1"/>
  <c r="O60" i="13"/>
  <c r="P59" i="13"/>
  <c r="M61" i="13"/>
  <c r="H61" i="13"/>
  <c r="I61" i="13"/>
  <c r="K61" i="13"/>
  <c r="N61" i="13"/>
  <c r="J61" i="13"/>
  <c r="L61" i="13"/>
  <c r="G61" i="13"/>
  <c r="E61" i="13" l="1"/>
  <c r="D62" i="13" s="1"/>
  <c r="R60" i="13"/>
  <c r="S60" i="13" s="1"/>
  <c r="A60" i="15" s="1"/>
  <c r="W59" i="13"/>
  <c r="U59" i="13"/>
  <c r="T60" i="13" l="1"/>
  <c r="X59" i="13"/>
  <c r="Y59" i="13" s="1"/>
  <c r="F61" i="13"/>
  <c r="B60" i="15" l="1"/>
  <c r="O61" i="13"/>
  <c r="P60" i="13"/>
  <c r="K62" i="13"/>
  <c r="J62" i="13"/>
  <c r="N62" i="13"/>
  <c r="G62" i="13"/>
  <c r="H62" i="13"/>
  <c r="L62" i="13"/>
  <c r="M62" i="13"/>
  <c r="I62" i="13"/>
  <c r="E62" i="13" l="1"/>
  <c r="D63" i="13" s="1"/>
  <c r="R61" i="13"/>
  <c r="S61" i="13" s="1"/>
  <c r="A61" i="15" s="1"/>
  <c r="W60" i="13"/>
  <c r="U60" i="13"/>
  <c r="T61" i="13" l="1"/>
  <c r="X60" i="13"/>
  <c r="Y60" i="13" s="1"/>
  <c r="F62" i="13"/>
  <c r="B61" i="15" l="1"/>
  <c r="O62" i="13"/>
  <c r="P61" i="13"/>
  <c r="M63" i="13"/>
  <c r="N63" i="13"/>
  <c r="I63" i="13"/>
  <c r="L63" i="13"/>
  <c r="J63" i="13"/>
  <c r="K63" i="13"/>
  <c r="H63" i="13"/>
  <c r="G63" i="13"/>
  <c r="E63" i="13" l="1"/>
  <c r="D64" i="13" s="1"/>
  <c r="R62" i="13"/>
  <c r="S62" i="13" s="1"/>
  <c r="A62" i="15" s="1"/>
  <c r="W61" i="13"/>
  <c r="U61" i="13"/>
  <c r="T62" i="13" l="1"/>
  <c r="X61" i="13"/>
  <c r="Y61" i="13" s="1"/>
  <c r="F63" i="13"/>
  <c r="B62" i="15" l="1"/>
  <c r="O63" i="13"/>
  <c r="P62" i="13"/>
  <c r="K64" i="13"/>
  <c r="H64" i="13"/>
  <c r="M64" i="13"/>
  <c r="N64" i="13"/>
  <c r="J64" i="13"/>
  <c r="I64" i="13"/>
  <c r="L64" i="13"/>
  <c r="G64" i="13"/>
  <c r="E64" i="13" l="1"/>
  <c r="D65" i="13" s="1"/>
  <c r="R63" i="13"/>
  <c r="S63" i="13" s="1"/>
  <c r="A63" i="15" s="1"/>
  <c r="W62" i="13"/>
  <c r="U62" i="13"/>
  <c r="T63" i="13" l="1"/>
  <c r="X62" i="13"/>
  <c r="Y62" i="13" s="1"/>
  <c r="L65" i="13"/>
  <c r="I65" i="13"/>
  <c r="G65" i="13"/>
  <c r="M65" i="13"/>
  <c r="N65" i="13"/>
  <c r="J65" i="13"/>
  <c r="H65" i="13"/>
  <c r="K65" i="13"/>
  <c r="E65" i="13" l="1"/>
  <c r="D66" i="13" s="1"/>
  <c r="B63" i="15"/>
  <c r="P63" i="13"/>
  <c r="O64" i="13"/>
  <c r="F64" i="13"/>
  <c r="R64" i="13" l="1"/>
  <c r="S64" i="13" s="1"/>
  <c r="A64" i="15" s="1"/>
  <c r="W63" i="13"/>
  <c r="U63" i="13"/>
  <c r="F65" i="13"/>
  <c r="O65" i="13"/>
  <c r="P64" i="13"/>
  <c r="M66" i="13"/>
  <c r="I66" i="13"/>
  <c r="K66" i="13"/>
  <c r="J66" i="13"/>
  <c r="L66" i="13"/>
  <c r="G66" i="13"/>
  <c r="H66" i="13"/>
  <c r="N66" i="13"/>
  <c r="E66" i="13" l="1"/>
  <c r="D67" i="13" s="1"/>
  <c r="R65" i="13"/>
  <c r="S65" i="13" s="1"/>
  <c r="A65" i="15" s="1"/>
  <c r="U64" i="13"/>
  <c r="W64" i="13"/>
  <c r="T64" i="13" l="1"/>
  <c r="X63" i="13"/>
  <c r="Y63" i="13" s="1"/>
  <c r="T65" i="13"/>
  <c r="X64" i="13"/>
  <c r="Y64" i="13" s="1"/>
  <c r="O66" i="13"/>
  <c r="P65" i="13"/>
  <c r="M67" i="13"/>
  <c r="J67" i="13"/>
  <c r="N67" i="13"/>
  <c r="I67" i="13"/>
  <c r="K67" i="13"/>
  <c r="H67" i="13"/>
  <c r="G67" i="13"/>
  <c r="L67" i="13"/>
  <c r="E67" i="13" l="1"/>
  <c r="D68" i="13" s="1"/>
  <c r="R66" i="13"/>
  <c r="S66" i="13" s="1"/>
  <c r="A66" i="15" s="1"/>
  <c r="B65" i="15"/>
  <c r="B64" i="15"/>
  <c r="F66" i="13"/>
  <c r="W65" i="13"/>
  <c r="U65" i="13"/>
  <c r="T66" i="13" l="1"/>
  <c r="X65" i="13"/>
  <c r="Y65" i="13" s="1"/>
  <c r="F67" i="13"/>
  <c r="O67" i="13"/>
  <c r="P66" i="13"/>
  <c r="J68" i="13"/>
  <c r="I68" i="13"/>
  <c r="K68" i="13"/>
  <c r="N68" i="13"/>
  <c r="G68" i="13"/>
  <c r="M68" i="13"/>
  <c r="H68" i="13"/>
  <c r="L68" i="13"/>
  <c r="E68" i="13" l="1"/>
  <c r="D69" i="13" s="1"/>
  <c r="R67" i="13"/>
  <c r="S67" i="13" s="1"/>
  <c r="A67" i="15" s="1"/>
  <c r="B66" i="15"/>
  <c r="W66" i="13"/>
  <c r="U66" i="13"/>
  <c r="F68" i="13" l="1"/>
  <c r="T67" i="13"/>
  <c r="X66" i="13"/>
  <c r="Y66" i="13" s="1"/>
  <c r="O68" i="13"/>
  <c r="P67" i="13"/>
  <c r="M69" i="13"/>
  <c r="G69" i="13"/>
  <c r="L69" i="13"/>
  <c r="I69" i="13"/>
  <c r="N69" i="13"/>
  <c r="J69" i="13"/>
  <c r="H69" i="13"/>
  <c r="K69" i="13"/>
  <c r="E69" i="13" l="1"/>
  <c r="D70" i="13" s="1"/>
  <c r="R68" i="13"/>
  <c r="S68" i="13" s="1"/>
  <c r="A68" i="15" s="1"/>
  <c r="B67" i="15"/>
  <c r="W67" i="13"/>
  <c r="U67" i="13"/>
  <c r="T68" i="13" l="1"/>
  <c r="X67" i="13"/>
  <c r="Y67" i="13" s="1"/>
  <c r="P68" i="13"/>
  <c r="N70" i="13"/>
  <c r="J70" i="13"/>
  <c r="K70" i="13"/>
  <c r="M70" i="13"/>
  <c r="G70" i="13"/>
  <c r="I70" i="13"/>
  <c r="L70" i="13"/>
  <c r="H70" i="13"/>
  <c r="E70" i="13" l="1"/>
  <c r="D71" i="13" s="1"/>
  <c r="B68" i="15"/>
  <c r="O69" i="13"/>
  <c r="F69" i="13"/>
  <c r="R69" i="13" l="1"/>
  <c r="S69" i="13" s="1"/>
  <c r="A69" i="15" s="1"/>
  <c r="U68" i="13"/>
  <c r="W68" i="13"/>
  <c r="O70" i="13"/>
  <c r="P69" i="13"/>
  <c r="N71" i="13"/>
  <c r="H71" i="13"/>
  <c r="G71" i="13"/>
  <c r="K71" i="13"/>
  <c r="L71" i="13"/>
  <c r="I71" i="13"/>
  <c r="M71" i="13"/>
  <c r="J71" i="13"/>
  <c r="E71" i="13" l="1"/>
  <c r="D72" i="13" s="1"/>
  <c r="R70" i="13"/>
  <c r="S70" i="13" s="1"/>
  <c r="A70" i="15" s="1"/>
  <c r="F70" i="13"/>
  <c r="W69" i="13"/>
  <c r="U69" i="13"/>
  <c r="T69" i="13" l="1"/>
  <c r="X68" i="13"/>
  <c r="Y68" i="13" s="1"/>
  <c r="T70" i="13"/>
  <c r="X69" i="13"/>
  <c r="Y69" i="13" s="1"/>
  <c r="P70" i="13"/>
  <c r="G72" i="13"/>
  <c r="I72" i="13"/>
  <c r="K72" i="13"/>
  <c r="N72" i="13"/>
  <c r="J72" i="13"/>
  <c r="H72" i="13"/>
  <c r="M72" i="13"/>
  <c r="L72" i="13"/>
  <c r="E72" i="13" l="1"/>
  <c r="D73" i="13" s="1"/>
  <c r="B70" i="15"/>
  <c r="B69" i="15"/>
  <c r="O71" i="13"/>
  <c r="F71" i="13"/>
  <c r="R71" i="13" l="1"/>
  <c r="S71" i="13" s="1"/>
  <c r="A71" i="15" s="1"/>
  <c r="W70" i="13"/>
  <c r="U70" i="13"/>
  <c r="M73" i="13"/>
  <c r="N73" i="13"/>
  <c r="H73" i="13"/>
  <c r="K73" i="13"/>
  <c r="J73" i="13"/>
  <c r="I73" i="13"/>
  <c r="G73" i="13"/>
  <c r="L73" i="13"/>
  <c r="E73" i="13" l="1"/>
  <c r="D74" i="13" s="1"/>
  <c r="T71" i="13"/>
  <c r="X70" i="13"/>
  <c r="Y70" i="13" s="1"/>
  <c r="P71" i="13"/>
  <c r="O72" i="13"/>
  <c r="F72" i="13"/>
  <c r="R72" i="13" l="1"/>
  <c r="S72" i="13" s="1"/>
  <c r="A72" i="15" s="1"/>
  <c r="B71" i="15"/>
  <c r="W71" i="13"/>
  <c r="U71" i="13"/>
  <c r="F73" i="13"/>
  <c r="O73" i="13"/>
  <c r="P72" i="13"/>
  <c r="L74" i="13"/>
  <c r="M74" i="13"/>
  <c r="G74" i="13"/>
  <c r="K74" i="13"/>
  <c r="H74" i="13"/>
  <c r="I74" i="13"/>
  <c r="N74" i="13"/>
  <c r="J74" i="13"/>
  <c r="E74" i="13" l="1"/>
  <c r="D75" i="13" s="1"/>
  <c r="R73" i="13"/>
  <c r="S73" i="13" s="1"/>
  <c r="A73" i="15" s="1"/>
  <c r="W72" i="13"/>
  <c r="U72" i="13"/>
  <c r="T72" i="13" l="1"/>
  <c r="X71" i="13"/>
  <c r="Y71" i="13" s="1"/>
  <c r="T73" i="13"/>
  <c r="X72" i="13"/>
  <c r="Y72" i="13" s="1"/>
  <c r="J75" i="13"/>
  <c r="G75" i="13"/>
  <c r="I75" i="13"/>
  <c r="K75" i="13"/>
  <c r="H75" i="13"/>
  <c r="L75" i="13"/>
  <c r="M75" i="13"/>
  <c r="N75" i="13"/>
  <c r="E75" i="13" l="1"/>
  <c r="D76" i="13" s="1"/>
  <c r="B73" i="15"/>
  <c r="B72" i="15"/>
  <c r="P73" i="13"/>
  <c r="O74" i="13"/>
  <c r="F74" i="13"/>
  <c r="R74" i="13" l="1"/>
  <c r="S74" i="13" s="1"/>
  <c r="A74" i="15" s="1"/>
  <c r="U73" i="13"/>
  <c r="W73" i="13"/>
  <c r="O75" i="13"/>
  <c r="P74" i="13"/>
  <c r="J76" i="13"/>
  <c r="I76" i="13"/>
  <c r="L76" i="13"/>
  <c r="K76" i="13"/>
  <c r="M76" i="13"/>
  <c r="H76" i="13"/>
  <c r="G76" i="13"/>
  <c r="N76" i="13"/>
  <c r="E76" i="13" l="1"/>
  <c r="D77" i="13" s="1"/>
  <c r="R75" i="13"/>
  <c r="S75" i="13" s="1"/>
  <c r="A75" i="15" s="1"/>
  <c r="F75" i="13"/>
  <c r="W74" i="13"/>
  <c r="U74" i="13"/>
  <c r="T74" i="13" l="1"/>
  <c r="X73" i="13"/>
  <c r="Y73" i="13" s="1"/>
  <c r="T75" i="13"/>
  <c r="X74" i="13"/>
  <c r="Y74" i="13" s="1"/>
  <c r="F76" i="13"/>
  <c r="O76" i="13"/>
  <c r="P75" i="13"/>
  <c r="K77" i="13"/>
  <c r="N77" i="13"/>
  <c r="G77" i="13"/>
  <c r="M77" i="13"/>
  <c r="L77" i="13"/>
  <c r="I77" i="13"/>
  <c r="H77" i="13"/>
  <c r="J77" i="13"/>
  <c r="E77" i="13" l="1"/>
  <c r="D78" i="13" s="1"/>
  <c r="R76" i="13"/>
  <c r="S76" i="13" s="1"/>
  <c r="A76" i="15" s="1"/>
  <c r="B75" i="15"/>
  <c r="B74" i="15"/>
  <c r="W75" i="13"/>
  <c r="U75" i="13"/>
  <c r="T76" i="13" l="1"/>
  <c r="X75" i="13"/>
  <c r="Y75" i="13" s="1"/>
  <c r="O77" i="13"/>
  <c r="P76" i="13"/>
  <c r="K78" i="13"/>
  <c r="I78" i="13"/>
  <c r="H78" i="13"/>
  <c r="M78" i="13"/>
  <c r="L78" i="13"/>
  <c r="J78" i="13"/>
  <c r="N78" i="13"/>
  <c r="G78" i="13"/>
  <c r="E78" i="13" l="1"/>
  <c r="D79" i="13" s="1"/>
  <c r="R77" i="13"/>
  <c r="S77" i="13" s="1"/>
  <c r="A77" i="15" s="1"/>
  <c r="B76" i="15"/>
  <c r="F77" i="13"/>
  <c r="U76" i="13"/>
  <c r="W76" i="13"/>
  <c r="T77" i="13" l="1"/>
  <c r="X76" i="13"/>
  <c r="F78" i="13"/>
  <c r="O78" i="13"/>
  <c r="P77" i="13"/>
  <c r="H79" i="13"/>
  <c r="I79" i="13"/>
  <c r="K79" i="13"/>
  <c r="J79" i="13"/>
  <c r="G79" i="13"/>
  <c r="N79" i="13"/>
  <c r="L79" i="13"/>
  <c r="M79" i="13"/>
  <c r="E79" i="13" l="1"/>
  <c r="D80" i="13" s="1"/>
  <c r="R78" i="13"/>
  <c r="S78" i="13" s="1"/>
  <c r="A78" i="15" s="1"/>
  <c r="Y76" i="13"/>
  <c r="B77" i="15" s="1"/>
  <c r="W77" i="13"/>
  <c r="U77" i="13"/>
  <c r="T78" i="13" l="1"/>
  <c r="X77" i="13"/>
  <c r="Y77" i="13" s="1"/>
  <c r="O79" i="13"/>
  <c r="P78" i="13"/>
  <c r="I80" i="13"/>
  <c r="J80" i="13"/>
  <c r="H80" i="13"/>
  <c r="L80" i="13"/>
  <c r="G80" i="13"/>
  <c r="K80" i="13"/>
  <c r="M80" i="13"/>
  <c r="N80" i="13"/>
  <c r="E80" i="13" l="1"/>
  <c r="D81" i="13" s="1"/>
  <c r="R79" i="13"/>
  <c r="S79" i="13" s="1"/>
  <c r="A79" i="15" s="1"/>
  <c r="B78" i="15"/>
  <c r="F79" i="13"/>
  <c r="U78" i="13"/>
  <c r="W78" i="13"/>
  <c r="T79" i="13" l="1"/>
  <c r="X78" i="13"/>
  <c r="Y78" i="13" s="1"/>
  <c r="F80" i="13"/>
  <c r="O80" i="13"/>
  <c r="P79" i="13"/>
  <c r="G81" i="13"/>
  <c r="H81" i="13"/>
  <c r="N81" i="13"/>
  <c r="M81" i="13"/>
  <c r="I81" i="13"/>
  <c r="L81" i="13"/>
  <c r="J81" i="13"/>
  <c r="K81" i="13"/>
  <c r="E81" i="13" l="1"/>
  <c r="D82" i="13" s="1"/>
  <c r="R80" i="13"/>
  <c r="S80" i="13" s="1"/>
  <c r="A80" i="15" s="1"/>
  <c r="B79" i="15"/>
  <c r="W79" i="13"/>
  <c r="U79" i="13"/>
  <c r="T80" i="13" l="1"/>
  <c r="X79" i="13"/>
  <c r="Y79" i="13" s="1"/>
  <c r="O81" i="13"/>
  <c r="P80" i="13"/>
  <c r="L82" i="13"/>
  <c r="G82" i="13"/>
  <c r="M82" i="13"/>
  <c r="J82" i="13"/>
  <c r="K82" i="13"/>
  <c r="H82" i="13"/>
  <c r="I82" i="13"/>
  <c r="N82" i="13"/>
  <c r="E82" i="13" l="1"/>
  <c r="D83" i="13" s="1"/>
  <c r="R81" i="13"/>
  <c r="S81" i="13" s="1"/>
  <c r="A81" i="15" s="1"/>
  <c r="B80" i="15"/>
  <c r="F81" i="13"/>
  <c r="W80" i="13"/>
  <c r="U80" i="13"/>
  <c r="T81" i="13" l="1"/>
  <c r="X80" i="13"/>
  <c r="Y80" i="13" s="1"/>
  <c r="F82" i="13"/>
  <c r="O82" i="13"/>
  <c r="P81" i="13"/>
  <c r="K83" i="13"/>
  <c r="G83" i="13"/>
  <c r="I83" i="13"/>
  <c r="M83" i="13"/>
  <c r="N83" i="13"/>
  <c r="L83" i="13"/>
  <c r="H83" i="13"/>
  <c r="J83" i="13"/>
  <c r="E83" i="13" l="1"/>
  <c r="D84" i="13" s="1"/>
  <c r="R82" i="13"/>
  <c r="S82" i="13" s="1"/>
  <c r="A82" i="15" s="1"/>
  <c r="B81" i="15"/>
  <c r="W81" i="13"/>
  <c r="U81" i="13"/>
  <c r="T82" i="13" l="1"/>
  <c r="X81" i="13"/>
  <c r="Y81" i="13" s="1"/>
  <c r="O83" i="13"/>
  <c r="P82" i="13"/>
  <c r="H84" i="13"/>
  <c r="N84" i="13"/>
  <c r="M84" i="13"/>
  <c r="K84" i="13"/>
  <c r="J84" i="13"/>
  <c r="I84" i="13"/>
  <c r="L84" i="13"/>
  <c r="G84" i="13"/>
  <c r="E84" i="13" l="1"/>
  <c r="D85" i="13" s="1"/>
  <c r="R83" i="13"/>
  <c r="S83" i="13" s="1"/>
  <c r="A83" i="15" s="1"/>
  <c r="B82" i="15"/>
  <c r="F83" i="13"/>
  <c r="W82" i="13"/>
  <c r="U82" i="13"/>
  <c r="T83" i="13" l="1"/>
  <c r="X82" i="13"/>
  <c r="Y82" i="13" s="1"/>
  <c r="O84" i="13"/>
  <c r="P83" i="13"/>
  <c r="I85" i="13"/>
  <c r="J85" i="13"/>
  <c r="N85" i="13"/>
  <c r="M85" i="13"/>
  <c r="H85" i="13"/>
  <c r="L85" i="13"/>
  <c r="G85" i="13"/>
  <c r="K85" i="13"/>
  <c r="E85" i="13" l="1"/>
  <c r="D86" i="13" s="1"/>
  <c r="R84" i="13"/>
  <c r="S84" i="13" s="1"/>
  <c r="A84" i="15" s="1"/>
  <c r="B83" i="15"/>
  <c r="F84" i="13"/>
  <c r="W83" i="13"/>
  <c r="U83" i="13"/>
  <c r="T84" i="13" l="1"/>
  <c r="X83" i="13"/>
  <c r="Y83" i="13" s="1"/>
  <c r="O85" i="13"/>
  <c r="P84" i="13"/>
  <c r="H86" i="13"/>
  <c r="L86" i="13"/>
  <c r="G86" i="13"/>
  <c r="J86" i="13"/>
  <c r="M86" i="13"/>
  <c r="I86" i="13"/>
  <c r="N86" i="13"/>
  <c r="K86" i="13"/>
  <c r="E86" i="13" l="1"/>
  <c r="D87" i="13" s="1"/>
  <c r="R85" i="13"/>
  <c r="S85" i="13" s="1"/>
  <c r="A85" i="15" s="1"/>
  <c r="B84" i="15"/>
  <c r="F85" i="13"/>
  <c r="U84" i="13"/>
  <c r="W84" i="13"/>
  <c r="T85" i="13" l="1"/>
  <c r="X84" i="13"/>
  <c r="Y84" i="13" s="1"/>
  <c r="F86" i="13"/>
  <c r="O86" i="13"/>
  <c r="P85" i="13"/>
  <c r="K87" i="13"/>
  <c r="I87" i="13"/>
  <c r="L87" i="13"/>
  <c r="M87" i="13"/>
  <c r="N87" i="13"/>
  <c r="J87" i="13"/>
  <c r="H87" i="13"/>
  <c r="G87" i="13"/>
  <c r="E87" i="13" l="1"/>
  <c r="D88" i="13" s="1"/>
  <c r="R86" i="13"/>
  <c r="S86" i="13" s="1"/>
  <c r="A86" i="15" s="1"/>
  <c r="B85" i="15"/>
  <c r="W85" i="13"/>
  <c r="U85" i="13"/>
  <c r="T86" i="13" l="1"/>
  <c r="X85" i="13"/>
  <c r="Y85" i="13" s="1"/>
  <c r="O87" i="13"/>
  <c r="P86" i="13"/>
  <c r="G88" i="13"/>
  <c r="H88" i="13"/>
  <c r="L88" i="13"/>
  <c r="N88" i="13"/>
  <c r="J88" i="13"/>
  <c r="I88" i="13"/>
  <c r="M88" i="13"/>
  <c r="K88" i="13"/>
  <c r="E88" i="13" l="1"/>
  <c r="D89" i="13" s="1"/>
  <c r="R87" i="13"/>
  <c r="S87" i="13" s="1"/>
  <c r="A87" i="15" s="1"/>
  <c r="B86" i="15"/>
  <c r="F87" i="13"/>
  <c r="W86" i="13"/>
  <c r="U86" i="13"/>
  <c r="T87" i="13" l="1"/>
  <c r="X86" i="13"/>
  <c r="Y86" i="13" s="1"/>
  <c r="O88" i="13"/>
  <c r="P87" i="13"/>
  <c r="N89" i="13"/>
  <c r="M89" i="13"/>
  <c r="I89" i="13"/>
  <c r="G89" i="13"/>
  <c r="L89" i="13"/>
  <c r="J89" i="13"/>
  <c r="K89" i="13"/>
  <c r="H89" i="13"/>
  <c r="E89" i="13" l="1"/>
  <c r="D90" i="13" s="1"/>
  <c r="R88" i="13"/>
  <c r="S88" i="13" s="1"/>
  <c r="A88" i="15" s="1"/>
  <c r="B87" i="15"/>
  <c r="F88" i="13"/>
  <c r="W87" i="13"/>
  <c r="U87" i="13"/>
  <c r="T88" i="13" l="1"/>
  <c r="X87" i="13"/>
  <c r="Y87" i="13" s="1"/>
  <c r="F89" i="13"/>
  <c r="O89" i="13"/>
  <c r="P88" i="13"/>
  <c r="K90" i="13"/>
  <c r="J90" i="13"/>
  <c r="I90" i="13"/>
  <c r="H90" i="13"/>
  <c r="L90" i="13"/>
  <c r="M90" i="13"/>
  <c r="N90" i="13"/>
  <c r="G90" i="13"/>
  <c r="E90" i="13" l="1"/>
  <c r="D91" i="13" s="1"/>
  <c r="F90" i="13" s="1"/>
  <c r="R89" i="13"/>
  <c r="S89" i="13" s="1"/>
  <c r="A89" i="15" s="1"/>
  <c r="B88" i="15"/>
  <c r="U88" i="13"/>
  <c r="W88" i="13"/>
  <c r="T89" i="13" l="1"/>
  <c r="X88" i="13"/>
  <c r="Y88" i="13" s="1"/>
  <c r="O90" i="13"/>
  <c r="P89" i="13"/>
  <c r="M91" i="13"/>
  <c r="H91" i="13"/>
  <c r="G91" i="13"/>
  <c r="J91" i="13"/>
  <c r="I91" i="13"/>
  <c r="N91" i="13"/>
  <c r="K91" i="13"/>
  <c r="L91" i="13"/>
  <c r="E91" i="13" l="1"/>
  <c r="D92" i="13" s="1"/>
  <c r="R90" i="13"/>
  <c r="S90" i="13" s="1"/>
  <c r="A90" i="15" s="1"/>
  <c r="B89" i="15"/>
  <c r="W89" i="13"/>
  <c r="U89" i="13"/>
  <c r="T90" i="13" l="1"/>
  <c r="X89" i="13"/>
  <c r="Y89" i="13" s="1"/>
  <c r="O91" i="13"/>
  <c r="P90" i="13"/>
  <c r="G92" i="13"/>
  <c r="J92" i="13"/>
  <c r="N92" i="13"/>
  <c r="K92" i="13"/>
  <c r="I92" i="13"/>
  <c r="L92" i="13"/>
  <c r="M92" i="13"/>
  <c r="H92" i="13"/>
  <c r="E92" i="13" l="1"/>
  <c r="D93" i="13" s="1"/>
  <c r="R91" i="13"/>
  <c r="S91" i="13" s="1"/>
  <c r="A91" i="15" s="1"/>
  <c r="B90" i="15"/>
  <c r="F91" i="13"/>
  <c r="W90" i="13"/>
  <c r="U90" i="13"/>
  <c r="T91" i="13" l="1"/>
  <c r="X90" i="13"/>
  <c r="Y90" i="13" s="1"/>
  <c r="F92" i="13"/>
  <c r="O92" i="13"/>
  <c r="P91" i="13"/>
  <c r="J93" i="13"/>
  <c r="I93" i="13"/>
  <c r="L93" i="13"/>
  <c r="G93" i="13"/>
  <c r="K93" i="13"/>
  <c r="H93" i="13"/>
  <c r="N93" i="13"/>
  <c r="M93" i="13"/>
  <c r="E93" i="13" l="1"/>
  <c r="D94" i="13" s="1"/>
  <c r="R92" i="13"/>
  <c r="S92" i="13" s="1"/>
  <c r="A92" i="15" s="1"/>
  <c r="B91" i="15"/>
  <c r="W91" i="13"/>
  <c r="U91" i="13"/>
  <c r="T92" i="13" l="1"/>
  <c r="X91" i="13"/>
  <c r="Y91" i="13" s="1"/>
  <c r="O93" i="13"/>
  <c r="L94" i="13"/>
  <c r="I94" i="13"/>
  <c r="J94" i="13"/>
  <c r="N94" i="13"/>
  <c r="K94" i="13"/>
  <c r="H94" i="13"/>
  <c r="R93" i="13" l="1"/>
  <c r="S93" i="13" s="1"/>
  <c r="A93" i="15" s="1"/>
  <c r="B92" i="15"/>
  <c r="P92" i="13"/>
  <c r="U92" i="13" s="1"/>
  <c r="F93" i="13"/>
  <c r="W92" i="13"/>
  <c r="G94" i="13"/>
  <c r="M94" i="13"/>
  <c r="E94" i="13" l="1"/>
  <c r="D95" i="13" s="1"/>
  <c r="F94" i="13" s="1"/>
  <c r="T93" i="13"/>
  <c r="X92" i="13"/>
  <c r="Y92" i="13" s="1"/>
  <c r="M95" i="13"/>
  <c r="J95" i="13"/>
  <c r="I95" i="13"/>
  <c r="L95" i="13"/>
  <c r="K95" i="13"/>
  <c r="G95" i="13"/>
  <c r="H95" i="13"/>
  <c r="N95" i="13"/>
  <c r="E95" i="13" l="1"/>
  <c r="D96" i="13" s="1"/>
  <c r="P93" i="13"/>
  <c r="O94" i="13"/>
  <c r="B93" i="15"/>
  <c r="F95" i="13" l="1"/>
  <c r="R94" i="13"/>
  <c r="S94" i="13" s="1"/>
  <c r="U93" i="13"/>
  <c r="W93" i="13"/>
  <c r="O95" i="13"/>
  <c r="P94" i="13"/>
  <c r="J96" i="13"/>
  <c r="H96" i="13"/>
  <c r="I96" i="13"/>
  <c r="M96" i="13"/>
  <c r="G96" i="13"/>
  <c r="L96" i="13"/>
  <c r="K96" i="13"/>
  <c r="N96" i="13"/>
  <c r="E96" i="13" l="1"/>
  <c r="D97" i="13" s="1"/>
  <c r="A94" i="15"/>
  <c r="T94" i="13"/>
  <c r="X93" i="13"/>
  <c r="Y93" i="13" s="1"/>
  <c r="B94" i="15" s="1"/>
  <c r="R95" i="13"/>
  <c r="S95" i="13" s="1"/>
  <c r="A95" i="15" s="1"/>
  <c r="W94" i="13"/>
  <c r="U94" i="13"/>
  <c r="T95" i="13" l="1"/>
  <c r="X94" i="13"/>
  <c r="Y94" i="13" s="1"/>
  <c r="P95" i="13"/>
  <c r="I97" i="13"/>
  <c r="G97" i="13"/>
  <c r="L97" i="13"/>
  <c r="K97" i="13"/>
  <c r="H97" i="13"/>
  <c r="N97" i="13"/>
  <c r="M97" i="13"/>
  <c r="J97" i="13"/>
  <c r="E97" i="13" l="1"/>
  <c r="D98" i="13" s="1"/>
  <c r="B95" i="15"/>
  <c r="O96" i="13"/>
  <c r="F96" i="13"/>
  <c r="R96" i="13" l="1"/>
  <c r="S96" i="13" s="1"/>
  <c r="A96" i="15" s="1"/>
  <c r="W95" i="13"/>
  <c r="U95" i="13"/>
  <c r="O97" i="13"/>
  <c r="P96" i="13"/>
  <c r="I98" i="13"/>
  <c r="L98" i="13"/>
  <c r="N98" i="13"/>
  <c r="H98" i="13"/>
  <c r="K98" i="13"/>
  <c r="G98" i="13"/>
  <c r="J98" i="13"/>
  <c r="M98" i="13"/>
  <c r="E98" i="13" l="1"/>
  <c r="D99" i="13" s="1"/>
  <c r="R97" i="13"/>
  <c r="S97" i="13" s="1"/>
  <c r="A97" i="15" s="1"/>
  <c r="T96" i="13"/>
  <c r="X95" i="13"/>
  <c r="Y95" i="13" s="1"/>
  <c r="F97" i="13"/>
  <c r="W96" i="13"/>
  <c r="U96" i="13"/>
  <c r="B96" i="15" l="1"/>
  <c r="T97" i="13"/>
  <c r="X96" i="13"/>
  <c r="Y96" i="13" s="1"/>
  <c r="F98" i="13"/>
  <c r="O98" i="13"/>
  <c r="P97" i="13"/>
  <c r="M99" i="13"/>
  <c r="N99" i="13"/>
  <c r="J99" i="13"/>
  <c r="I99" i="13"/>
  <c r="K99" i="13"/>
  <c r="G99" i="13"/>
  <c r="L99" i="13"/>
  <c r="H99" i="13"/>
  <c r="E99" i="13" l="1"/>
  <c r="D100" i="13" s="1"/>
  <c r="R98" i="13"/>
  <c r="S98" i="13" s="1"/>
  <c r="A98" i="15" s="1"/>
  <c r="B97" i="15"/>
  <c r="W97" i="13"/>
  <c r="U97" i="13"/>
  <c r="T98" i="13" l="1"/>
  <c r="X97" i="13"/>
  <c r="Y97" i="13" s="1"/>
  <c r="O99" i="13"/>
  <c r="P98" i="13"/>
  <c r="L100" i="13"/>
  <c r="N100" i="13"/>
  <c r="G100" i="13"/>
  <c r="I100" i="13"/>
  <c r="J100" i="13"/>
  <c r="M100" i="13"/>
  <c r="K100" i="13"/>
  <c r="H100" i="13"/>
  <c r="E100" i="13" l="1"/>
  <c r="D101" i="13" s="1"/>
  <c r="R99" i="13"/>
  <c r="S99" i="13" s="1"/>
  <c r="A99" i="15" s="1"/>
  <c r="B98" i="15"/>
  <c r="F99" i="13"/>
  <c r="W98" i="13"/>
  <c r="U98" i="13"/>
  <c r="T99" i="13" l="1"/>
  <c r="X98" i="13"/>
  <c r="Y98" i="13" s="1"/>
  <c r="F100" i="13"/>
  <c r="O100" i="13"/>
  <c r="P99" i="13"/>
  <c r="J101" i="13"/>
  <c r="I101" i="13"/>
  <c r="K101" i="13"/>
  <c r="N101" i="13"/>
  <c r="L101" i="13"/>
  <c r="G101" i="13"/>
  <c r="M101" i="13"/>
  <c r="H101" i="13"/>
  <c r="E101" i="13" l="1"/>
  <c r="D102" i="13" s="1"/>
  <c r="F101" i="13" s="1"/>
  <c r="R100" i="13"/>
  <c r="S100" i="13" s="1"/>
  <c r="A100" i="15" s="1"/>
  <c r="B99" i="15"/>
  <c r="U99" i="13"/>
  <c r="W99" i="13"/>
  <c r="T100" i="13" l="1"/>
  <c r="X99" i="13"/>
  <c r="Y99" i="13" s="1"/>
  <c r="O101" i="13"/>
  <c r="P100" i="13"/>
  <c r="N102" i="13"/>
  <c r="G102" i="13"/>
  <c r="K102" i="13"/>
  <c r="H102" i="13"/>
  <c r="J102" i="13"/>
  <c r="M102" i="13"/>
  <c r="I102" i="13"/>
  <c r="L102" i="13"/>
  <c r="E102" i="13" l="1"/>
  <c r="D103" i="13" s="1"/>
  <c r="R101" i="13"/>
  <c r="S101" i="13" s="1"/>
  <c r="A101" i="15" s="1"/>
  <c r="B100" i="15"/>
  <c r="U100" i="13"/>
  <c r="W100" i="13"/>
  <c r="T101" i="13" l="1"/>
  <c r="X100" i="13"/>
  <c r="Y100" i="13" s="1"/>
  <c r="O102" i="13"/>
  <c r="P101" i="13"/>
  <c r="N103" i="13"/>
  <c r="L103" i="13"/>
  <c r="J103" i="13"/>
  <c r="M103" i="13"/>
  <c r="K103" i="13"/>
  <c r="G103" i="13"/>
  <c r="H103" i="13"/>
  <c r="I103" i="13"/>
  <c r="E103" i="13" l="1"/>
  <c r="D104" i="13" s="1"/>
  <c r="R102" i="13"/>
  <c r="S102" i="13" s="1"/>
  <c r="A102" i="15" s="1"/>
  <c r="B101" i="15"/>
  <c r="F102" i="13"/>
  <c r="W101" i="13"/>
  <c r="U101" i="13"/>
  <c r="T102" i="13" l="1"/>
  <c r="X101" i="13"/>
  <c r="Y101" i="13" s="1"/>
  <c r="O103" i="13"/>
  <c r="P102" i="13"/>
  <c r="L104" i="13"/>
  <c r="N104" i="13"/>
  <c r="M104" i="13"/>
  <c r="H104" i="13"/>
  <c r="G104" i="13"/>
  <c r="I104" i="13"/>
  <c r="K104" i="13"/>
  <c r="J104" i="13"/>
  <c r="E104" i="13" l="1"/>
  <c r="D105" i="13" s="1"/>
  <c r="R103" i="13"/>
  <c r="S103" i="13" s="1"/>
  <c r="A103" i="15" s="1"/>
  <c r="B102" i="15"/>
  <c r="F103" i="13"/>
  <c r="W102" i="13"/>
  <c r="U102" i="13"/>
  <c r="T103" i="13" l="1"/>
  <c r="X102" i="13"/>
  <c r="Y102" i="13" s="1"/>
  <c r="P103" i="13"/>
  <c r="K105" i="13"/>
  <c r="H105" i="13"/>
  <c r="J105" i="13"/>
  <c r="G105" i="13"/>
  <c r="I105" i="13"/>
  <c r="M105" i="13"/>
  <c r="N105" i="13"/>
  <c r="L105" i="13"/>
  <c r="E105" i="13" l="1"/>
  <c r="D106" i="13" s="1"/>
  <c r="B103" i="15"/>
  <c r="O104" i="13"/>
  <c r="F104" i="13"/>
  <c r="R104" i="13" l="1"/>
  <c r="S104" i="13" s="1"/>
  <c r="A104" i="15" s="1"/>
  <c r="U103" i="13"/>
  <c r="W103" i="13"/>
  <c r="O105" i="13"/>
  <c r="P104" i="13"/>
  <c r="K106" i="13"/>
  <c r="L106" i="13"/>
  <c r="G106" i="13"/>
  <c r="M106" i="13"/>
  <c r="H106" i="13"/>
  <c r="I106" i="13"/>
  <c r="J106" i="13"/>
  <c r="N106" i="13"/>
  <c r="E106" i="13" l="1"/>
  <c r="D107" i="13" s="1"/>
  <c r="R105" i="13"/>
  <c r="S105" i="13" s="1"/>
  <c r="A105" i="15" s="1"/>
  <c r="T104" i="13"/>
  <c r="X103" i="13"/>
  <c r="Y103" i="13" s="1"/>
  <c r="F105" i="13"/>
  <c r="W104" i="13"/>
  <c r="U104" i="13"/>
  <c r="B104" i="15" l="1"/>
  <c r="T105" i="13"/>
  <c r="X104" i="13"/>
  <c r="Y104" i="13" s="1"/>
  <c r="F106" i="13"/>
  <c r="O106" i="13"/>
  <c r="P105" i="13"/>
  <c r="L107" i="13"/>
  <c r="N107" i="13"/>
  <c r="K107" i="13"/>
  <c r="H107" i="13"/>
  <c r="G107" i="13"/>
  <c r="M107" i="13"/>
  <c r="J107" i="13"/>
  <c r="I107" i="13"/>
  <c r="E107" i="13" l="1"/>
  <c r="D108" i="13" s="1"/>
  <c r="R106" i="13"/>
  <c r="S106" i="13" s="1"/>
  <c r="A106" i="15" s="1"/>
  <c r="B105" i="15"/>
  <c r="W105" i="13"/>
  <c r="U105" i="13"/>
  <c r="T106" i="13" l="1"/>
  <c r="X105" i="13"/>
  <c r="Y105" i="13" s="1"/>
  <c r="O107" i="13"/>
  <c r="P106" i="13"/>
  <c r="K108" i="13"/>
  <c r="J108" i="13"/>
  <c r="L108" i="13"/>
  <c r="N108" i="13"/>
  <c r="H108" i="13"/>
  <c r="I108" i="13"/>
  <c r="G108" i="13"/>
  <c r="M108" i="13"/>
  <c r="E108" i="13" l="1"/>
  <c r="D109" i="13" s="1"/>
  <c r="R107" i="13"/>
  <c r="S107" i="13" s="1"/>
  <c r="A107" i="15" s="1"/>
  <c r="B106" i="15"/>
  <c r="F107" i="13"/>
  <c r="W106" i="13"/>
  <c r="U106" i="13"/>
  <c r="T107" i="13" l="1"/>
  <c r="X106" i="13"/>
  <c r="Y106" i="13" s="1"/>
  <c r="O108" i="13"/>
  <c r="P107" i="13"/>
  <c r="L109" i="13"/>
  <c r="M109" i="13"/>
  <c r="I109" i="13"/>
  <c r="K109" i="13"/>
  <c r="J109" i="13"/>
  <c r="N109" i="13"/>
  <c r="H109" i="13"/>
  <c r="G109" i="13"/>
  <c r="E109" i="13" l="1"/>
  <c r="D110" i="13" s="1"/>
  <c r="R108" i="13"/>
  <c r="S108" i="13" s="1"/>
  <c r="A108" i="15" s="1"/>
  <c r="B107" i="15"/>
  <c r="F108" i="13"/>
  <c r="W107" i="13"/>
  <c r="U107" i="13"/>
  <c r="T108" i="13" l="1"/>
  <c r="X107" i="13"/>
  <c r="Y107" i="13" s="1"/>
  <c r="O109" i="13"/>
  <c r="P108" i="13"/>
  <c r="N110" i="13"/>
  <c r="M110" i="13"/>
  <c r="K110" i="13"/>
  <c r="J110" i="13"/>
  <c r="L110" i="13"/>
  <c r="H110" i="13"/>
  <c r="G110" i="13"/>
  <c r="I110" i="13"/>
  <c r="E110" i="13" l="1"/>
  <c r="D111" i="13" s="1"/>
  <c r="R109" i="13"/>
  <c r="S109" i="13" s="1"/>
  <c r="A109" i="15" s="1"/>
  <c r="B108" i="15"/>
  <c r="F109" i="13"/>
  <c r="W108" i="13"/>
  <c r="U108" i="13"/>
  <c r="T109" i="13" l="1"/>
  <c r="X108" i="13"/>
  <c r="Y108" i="13" s="1"/>
  <c r="F110" i="13"/>
  <c r="O110" i="13"/>
  <c r="P109" i="13"/>
  <c r="G111" i="13"/>
  <c r="H111" i="13"/>
  <c r="K111" i="13"/>
  <c r="L111" i="13"/>
  <c r="J111" i="13"/>
  <c r="M111" i="13"/>
  <c r="I111" i="13"/>
  <c r="N111" i="13"/>
  <c r="E111" i="13" l="1"/>
  <c r="D112" i="13" s="1"/>
  <c r="R110" i="13"/>
  <c r="S110" i="13" s="1"/>
  <c r="A110" i="15" s="1"/>
  <c r="B109" i="15"/>
  <c r="U109" i="13"/>
  <c r="W109" i="13"/>
  <c r="T110" i="13" l="1"/>
  <c r="X109" i="13"/>
  <c r="Y109" i="13" s="1"/>
  <c r="O111" i="13"/>
  <c r="P110" i="13"/>
  <c r="M112" i="13"/>
  <c r="L112" i="13"/>
  <c r="N112" i="13"/>
  <c r="G112" i="13"/>
  <c r="K112" i="13"/>
  <c r="H112" i="13"/>
  <c r="J112" i="13"/>
  <c r="I112" i="13"/>
  <c r="E112" i="13" l="1"/>
  <c r="D113" i="13" s="1"/>
  <c r="R111" i="13"/>
  <c r="S111" i="13" s="1"/>
  <c r="A111" i="15" s="1"/>
  <c r="B110" i="15"/>
  <c r="F111" i="13"/>
  <c r="W110" i="13"/>
  <c r="U110" i="13"/>
  <c r="T111" i="13" l="1"/>
  <c r="X110" i="13"/>
  <c r="Y110" i="13" s="1"/>
  <c r="O112" i="13"/>
  <c r="P111" i="13"/>
  <c r="N113" i="13"/>
  <c r="K113" i="13"/>
  <c r="L113" i="13"/>
  <c r="I113" i="13"/>
  <c r="H113" i="13"/>
  <c r="G113" i="13"/>
  <c r="J113" i="13"/>
  <c r="M113" i="13"/>
  <c r="E113" i="13" l="1"/>
  <c r="D114" i="13" s="1"/>
  <c r="R112" i="13"/>
  <c r="S112" i="13" s="1"/>
  <c r="A112" i="15" s="1"/>
  <c r="B111" i="15"/>
  <c r="F112" i="13"/>
  <c r="W111" i="13"/>
  <c r="U111" i="13"/>
  <c r="T112" i="13" l="1"/>
  <c r="X111" i="13"/>
  <c r="Y111" i="13" s="1"/>
  <c r="O113" i="13"/>
  <c r="P112" i="13"/>
  <c r="J114" i="13"/>
  <c r="I114" i="13"/>
  <c r="H114" i="13"/>
  <c r="G114" i="13"/>
  <c r="N114" i="13"/>
  <c r="L114" i="13"/>
  <c r="M114" i="13"/>
  <c r="K114" i="13"/>
  <c r="E114" i="13" l="1"/>
  <c r="D115" i="13" s="1"/>
  <c r="R113" i="13"/>
  <c r="S113" i="13" s="1"/>
  <c r="A113" i="15" s="1"/>
  <c r="B112" i="15"/>
  <c r="F113" i="13"/>
  <c r="W112" i="13"/>
  <c r="U112" i="13"/>
  <c r="T113" i="13" l="1"/>
  <c r="X112" i="13"/>
  <c r="Y112" i="13" s="1"/>
  <c r="F114" i="13"/>
  <c r="O114" i="13"/>
  <c r="P113" i="13"/>
  <c r="G115" i="13"/>
  <c r="L115" i="13"/>
  <c r="K115" i="13"/>
  <c r="I115" i="13"/>
  <c r="N115" i="13"/>
  <c r="J115" i="13"/>
  <c r="H115" i="13"/>
  <c r="M115" i="13"/>
  <c r="E115" i="13" l="1"/>
  <c r="D116" i="13" s="1"/>
  <c r="R114" i="13"/>
  <c r="S114" i="13" s="1"/>
  <c r="A114" i="15" s="1"/>
  <c r="B113" i="15"/>
  <c r="U113" i="13"/>
  <c r="W113" i="13"/>
  <c r="T114" i="13" l="1"/>
  <c r="X113" i="13"/>
  <c r="Y113" i="13" s="1"/>
  <c r="O115" i="13"/>
  <c r="P114" i="13"/>
  <c r="I116" i="13"/>
  <c r="H116" i="13"/>
  <c r="M116" i="13"/>
  <c r="L116" i="13"/>
  <c r="G116" i="13"/>
  <c r="J116" i="13"/>
  <c r="K116" i="13"/>
  <c r="N116" i="13"/>
  <c r="E116" i="13" l="1"/>
  <c r="D117" i="13" s="1"/>
  <c r="R115" i="13"/>
  <c r="S115" i="13" s="1"/>
  <c r="A115" i="15" s="1"/>
  <c r="B114" i="15"/>
  <c r="F115" i="13"/>
  <c r="W114" i="13"/>
  <c r="U114" i="13"/>
  <c r="T115" i="13" l="1"/>
  <c r="X114" i="13"/>
  <c r="Y114" i="13" s="1"/>
  <c r="F116" i="13"/>
  <c r="O116" i="13"/>
  <c r="P115" i="13"/>
  <c r="M117" i="13"/>
  <c r="H117" i="13"/>
  <c r="N117" i="13"/>
  <c r="L117" i="13"/>
  <c r="G117" i="13"/>
  <c r="K117" i="13"/>
  <c r="J117" i="13"/>
  <c r="I117" i="13"/>
  <c r="E117" i="13" l="1"/>
  <c r="D118" i="13" s="1"/>
  <c r="R116" i="13"/>
  <c r="S116" i="13" s="1"/>
  <c r="A116" i="15" s="1"/>
  <c r="B115" i="15"/>
  <c r="W115" i="13"/>
  <c r="U115" i="13"/>
  <c r="T116" i="13" l="1"/>
  <c r="X115" i="13"/>
  <c r="Y115" i="13" s="1"/>
  <c r="O117" i="13"/>
  <c r="I118" i="13"/>
  <c r="N118" i="13"/>
  <c r="L118" i="13"/>
  <c r="M118" i="13"/>
  <c r="G118" i="13"/>
  <c r="J118" i="13"/>
  <c r="H118" i="13"/>
  <c r="R117" i="13" l="1"/>
  <c r="S117" i="13" s="1"/>
  <c r="A117" i="15" s="1"/>
  <c r="B116" i="15"/>
  <c r="P116" i="13"/>
  <c r="U116" i="13" s="1"/>
  <c r="F117" i="13"/>
  <c r="W116" i="13"/>
  <c r="K118" i="13"/>
  <c r="E118" i="13" l="1"/>
  <c r="D119" i="13" s="1"/>
  <c r="T117" i="13"/>
  <c r="X116" i="13"/>
  <c r="Y116" i="13" s="1"/>
  <c r="B117" i="15" l="1"/>
  <c r="P117" i="13"/>
  <c r="O118" i="13"/>
  <c r="F118" i="13"/>
  <c r="M119" i="13"/>
  <c r="J119" i="13"/>
  <c r="G119" i="13"/>
  <c r="I119" i="13"/>
  <c r="H119" i="13"/>
  <c r="K119" i="13"/>
  <c r="L119" i="13"/>
  <c r="N119" i="13"/>
  <c r="E119" i="13" l="1"/>
  <c r="D120" i="13" s="1"/>
  <c r="F119" i="13" s="1"/>
  <c r="R118" i="13"/>
  <c r="S118" i="13" s="1"/>
  <c r="A118" i="15" s="1"/>
  <c r="U117" i="13"/>
  <c r="W117" i="13"/>
  <c r="P118" i="13" l="1"/>
  <c r="O119" i="13"/>
  <c r="J120" i="13"/>
  <c r="K120" i="13"/>
  <c r="N120" i="13"/>
  <c r="M120" i="13"/>
  <c r="L120" i="13"/>
  <c r="H120" i="13"/>
  <c r="I120" i="13"/>
  <c r="G120" i="13"/>
  <c r="E120" i="13" l="1"/>
  <c r="D121" i="13" s="1"/>
  <c r="R119" i="13"/>
  <c r="S119" i="13" s="1"/>
  <c r="U118" i="13"/>
  <c r="W118" i="13"/>
  <c r="T118" i="13"/>
  <c r="X117" i="13"/>
  <c r="Y117" i="13" s="1"/>
  <c r="G121" i="13"/>
  <c r="K121" i="13"/>
  <c r="A119" i="15" l="1"/>
  <c r="T119" i="13"/>
  <c r="X118" i="13"/>
  <c r="Y118" i="13" s="1"/>
  <c r="B119" i="15" s="1"/>
  <c r="B118" i="15"/>
  <c r="P119" i="13"/>
  <c r="O120" i="13"/>
  <c r="F120" i="13"/>
  <c r="J121" i="13"/>
  <c r="M121" i="13"/>
  <c r="I121" i="13"/>
  <c r="L121" i="13"/>
  <c r="H121" i="13"/>
  <c r="N121" i="13"/>
  <c r="E121" i="13" l="1"/>
  <c r="D122" i="13" s="1"/>
  <c r="O121" i="13" s="1"/>
  <c r="R120" i="13"/>
  <c r="S120" i="13" s="1"/>
  <c r="A120" i="15" s="1"/>
  <c r="W119" i="13"/>
  <c r="U119" i="13"/>
  <c r="J122" i="13"/>
  <c r="L122" i="13"/>
  <c r="N122" i="13"/>
  <c r="M122" i="13"/>
  <c r="G122" i="13"/>
  <c r="H122" i="13"/>
  <c r="I122" i="13"/>
  <c r="R121" i="13" l="1"/>
  <c r="S121" i="13" s="1"/>
  <c r="A121" i="15" s="1"/>
  <c r="P120" i="13"/>
  <c r="U120" i="13" s="1"/>
  <c r="F121" i="13"/>
  <c r="W120" i="13"/>
  <c r="K122" i="13"/>
  <c r="E122" i="13" l="1"/>
  <c r="D123" i="13" s="1"/>
  <c r="P121" i="13" s="1"/>
  <c r="T120" i="13"/>
  <c r="X119" i="13"/>
  <c r="Y119" i="13" s="1"/>
  <c r="T121" i="13"/>
  <c r="X120" i="13"/>
  <c r="Y120" i="13" s="1"/>
  <c r="K123" i="13"/>
  <c r="N123" i="13"/>
  <c r="G123" i="13"/>
  <c r="L123" i="13"/>
  <c r="J123" i="13"/>
  <c r="I123" i="13"/>
  <c r="M123" i="13"/>
  <c r="H123" i="13"/>
  <c r="E123" i="13" l="1"/>
  <c r="D124" i="13" s="1"/>
  <c r="O122" i="13"/>
  <c r="B121" i="15"/>
  <c r="B120" i="15"/>
  <c r="F122" i="13"/>
  <c r="R122" i="13" l="1"/>
  <c r="S122" i="13" s="1"/>
  <c r="W121" i="13"/>
  <c r="U121" i="13"/>
  <c r="O123" i="13"/>
  <c r="P122" i="13"/>
  <c r="G124" i="13"/>
  <c r="I124" i="13"/>
  <c r="L124" i="13"/>
  <c r="N124" i="13"/>
  <c r="K124" i="13"/>
  <c r="J124" i="13"/>
  <c r="H124" i="13"/>
  <c r="M124" i="13"/>
  <c r="E124" i="13" l="1"/>
  <c r="D125" i="13" s="1"/>
  <c r="A122" i="15"/>
  <c r="T122" i="13"/>
  <c r="X121" i="13"/>
  <c r="Y121" i="13" s="1"/>
  <c r="B122" i="15" s="1"/>
  <c r="R123" i="13"/>
  <c r="S123" i="13" s="1"/>
  <c r="A123" i="15" s="1"/>
  <c r="F123" i="13"/>
  <c r="W122" i="13"/>
  <c r="U122" i="13"/>
  <c r="T123" i="13" l="1"/>
  <c r="X122" i="13"/>
  <c r="Y122" i="13" s="1"/>
  <c r="F124" i="13"/>
  <c r="O124" i="13"/>
  <c r="P123" i="13"/>
  <c r="M125" i="13"/>
  <c r="G125" i="13"/>
  <c r="K125" i="13"/>
  <c r="J125" i="13"/>
  <c r="I125" i="13"/>
  <c r="H125" i="13"/>
  <c r="N125" i="13"/>
  <c r="L125" i="13"/>
  <c r="E125" i="13" l="1"/>
  <c r="D126" i="13" s="1"/>
  <c r="R124" i="13"/>
  <c r="S124" i="13" s="1"/>
  <c r="A124" i="15" s="1"/>
  <c r="B123" i="15"/>
  <c r="W123" i="13"/>
  <c r="U123" i="13"/>
  <c r="T124" i="13" l="1"/>
  <c r="X123" i="13"/>
  <c r="Y123" i="13" s="1"/>
  <c r="O125" i="13"/>
  <c r="P124" i="13"/>
  <c r="K126" i="13"/>
  <c r="G126" i="13"/>
  <c r="L126" i="13"/>
  <c r="I126" i="13"/>
  <c r="H126" i="13"/>
  <c r="M126" i="13"/>
  <c r="N126" i="13"/>
  <c r="J126" i="13"/>
  <c r="E126" i="13" l="1"/>
  <c r="D127" i="13" s="1"/>
  <c r="R125" i="13"/>
  <c r="S125" i="13" s="1"/>
  <c r="A125" i="15" s="1"/>
  <c r="B124" i="15"/>
  <c r="F125" i="13"/>
  <c r="W124" i="13"/>
  <c r="U124" i="13"/>
  <c r="T125" i="13" l="1"/>
  <c r="X124" i="13"/>
  <c r="Y124" i="13" s="1"/>
  <c r="O126" i="13"/>
  <c r="P125" i="13"/>
  <c r="L127" i="13"/>
  <c r="I127" i="13"/>
  <c r="N127" i="13"/>
  <c r="G127" i="13"/>
  <c r="H127" i="13"/>
  <c r="M127" i="13"/>
  <c r="K127" i="13"/>
  <c r="J127" i="13"/>
  <c r="E127" i="13" l="1"/>
  <c r="D128" i="13" s="1"/>
  <c r="R126" i="13"/>
  <c r="S126" i="13" s="1"/>
  <c r="A126" i="15" s="1"/>
  <c r="B125" i="15"/>
  <c r="F126" i="13"/>
  <c r="U125" i="13"/>
  <c r="W125" i="13"/>
  <c r="T126" i="13" l="1"/>
  <c r="X125" i="13"/>
  <c r="Y125" i="13" s="1"/>
  <c r="F127" i="13"/>
  <c r="O127" i="13"/>
  <c r="P126" i="13"/>
  <c r="L128" i="13"/>
  <c r="I128" i="13"/>
  <c r="K128" i="13"/>
  <c r="J128" i="13"/>
  <c r="H128" i="13"/>
  <c r="M128" i="13"/>
  <c r="N128" i="13"/>
  <c r="G128" i="13"/>
  <c r="E128" i="13" l="1"/>
  <c r="D129" i="13" s="1"/>
  <c r="F128" i="13" s="1"/>
  <c r="R127" i="13"/>
  <c r="S127" i="13" s="1"/>
  <c r="A127" i="15" s="1"/>
  <c r="B126" i="15"/>
  <c r="U126" i="13"/>
  <c r="W126" i="13"/>
  <c r="T127" i="13" l="1"/>
  <c r="X126" i="13"/>
  <c r="Y126" i="13" s="1"/>
  <c r="O128" i="13"/>
  <c r="P127" i="13"/>
  <c r="H129" i="13"/>
  <c r="N129" i="13"/>
  <c r="I129" i="13"/>
  <c r="M129" i="13"/>
  <c r="L129" i="13"/>
  <c r="K129" i="13"/>
  <c r="J129" i="13"/>
  <c r="G129" i="13"/>
  <c r="E129" i="13" l="1"/>
  <c r="D130" i="13" s="1"/>
  <c r="R128" i="13"/>
  <c r="S128" i="13" s="1"/>
  <c r="A128" i="15" s="1"/>
  <c r="B127" i="15"/>
  <c r="U127" i="13"/>
  <c r="W127" i="13"/>
  <c r="T128" i="13" l="1"/>
  <c r="X127" i="13"/>
  <c r="Y127" i="13" s="1"/>
  <c r="O129" i="13"/>
  <c r="P128" i="13"/>
  <c r="M130" i="13"/>
  <c r="I130" i="13"/>
  <c r="N130" i="13"/>
  <c r="G130" i="13"/>
  <c r="L130" i="13"/>
  <c r="J130" i="13"/>
  <c r="K130" i="13"/>
  <c r="H130" i="13"/>
  <c r="E130" i="13" l="1"/>
  <c r="D131" i="13" s="1"/>
  <c r="R129" i="13"/>
  <c r="S129" i="13" s="1"/>
  <c r="A129" i="15" s="1"/>
  <c r="B128" i="15"/>
  <c r="F129" i="13"/>
  <c r="U128" i="13"/>
  <c r="W128" i="13"/>
  <c r="T129" i="13" l="1"/>
  <c r="X128" i="13"/>
  <c r="Y128" i="13" s="1"/>
  <c r="F130" i="13"/>
  <c r="O130" i="13"/>
  <c r="P129" i="13"/>
  <c r="I131" i="13"/>
  <c r="H131" i="13"/>
  <c r="M131" i="13"/>
  <c r="G131" i="13"/>
  <c r="L131" i="13"/>
  <c r="K131" i="13"/>
  <c r="J131" i="13"/>
  <c r="N131" i="13"/>
  <c r="E131" i="13" l="1"/>
  <c r="D132" i="13" s="1"/>
  <c r="R130" i="13"/>
  <c r="S130" i="13" s="1"/>
  <c r="A130" i="15" s="1"/>
  <c r="B129" i="15"/>
  <c r="W129" i="13"/>
  <c r="U129" i="13"/>
  <c r="F131" i="13" l="1"/>
  <c r="T130" i="13"/>
  <c r="X129" i="13"/>
  <c r="Y129" i="13" s="1"/>
  <c r="O131" i="13"/>
  <c r="P130" i="13"/>
  <c r="G132" i="13"/>
  <c r="K132" i="13"/>
  <c r="M132" i="13"/>
  <c r="N132" i="13"/>
  <c r="L132" i="13"/>
  <c r="H132" i="13"/>
  <c r="I132" i="13"/>
  <c r="J132" i="13"/>
  <c r="E132" i="13" l="1"/>
  <c r="D133" i="13" s="1"/>
  <c r="R131" i="13"/>
  <c r="S131" i="13" s="1"/>
  <c r="A131" i="15" s="1"/>
  <c r="B130" i="15"/>
  <c r="U130" i="13"/>
  <c r="W130" i="13"/>
  <c r="O132" i="13" l="1"/>
  <c r="T131" i="13"/>
  <c r="X130" i="13"/>
  <c r="Y130" i="13" s="1"/>
  <c r="P131" i="13"/>
  <c r="G133" i="13"/>
  <c r="K133" i="13"/>
  <c r="H133" i="13"/>
  <c r="J133" i="13"/>
  <c r="N133" i="13"/>
  <c r="L133" i="13"/>
  <c r="I133" i="13"/>
  <c r="M133" i="13"/>
  <c r="D134" i="13" l="1"/>
  <c r="F132" i="13"/>
  <c r="R132" i="13"/>
  <c r="S132" i="13" s="1"/>
  <c r="A132" i="15" s="1"/>
  <c r="B131" i="15"/>
  <c r="W131" i="13"/>
  <c r="U131" i="13"/>
  <c r="T132" i="13" l="1"/>
  <c r="X131" i="13"/>
  <c r="Y131" i="13" s="1"/>
  <c r="O133" i="13"/>
  <c r="P132" i="13"/>
  <c r="M134" i="13"/>
  <c r="L134" i="13"/>
  <c r="J134" i="13"/>
  <c r="K134" i="13"/>
  <c r="H134" i="13"/>
  <c r="I134" i="13"/>
  <c r="N134" i="13"/>
  <c r="G134" i="13"/>
  <c r="E134" i="13" l="1"/>
  <c r="D135" i="13" s="1"/>
  <c r="F133" i="13"/>
  <c r="R133" i="13"/>
  <c r="S133" i="13" s="1"/>
  <c r="A133" i="15" s="1"/>
  <c r="B132" i="15"/>
  <c r="W132" i="13"/>
  <c r="U132" i="13"/>
  <c r="T133" i="13" l="1"/>
  <c r="X132" i="13"/>
  <c r="Y132" i="13" s="1"/>
  <c r="O134" i="13"/>
  <c r="P133" i="13"/>
  <c r="M135" i="13"/>
  <c r="N135" i="13"/>
  <c r="J135" i="13"/>
  <c r="I135" i="13"/>
  <c r="H135" i="13"/>
  <c r="L135" i="13"/>
  <c r="G135" i="13"/>
  <c r="K135" i="13"/>
  <c r="E135" i="13" l="1"/>
  <c r="D136" i="13" s="1"/>
  <c r="R134" i="13"/>
  <c r="S134" i="13" s="1"/>
  <c r="A134" i="15" s="1"/>
  <c r="B133" i="15"/>
  <c r="F134" i="13"/>
  <c r="W133" i="13"/>
  <c r="U133" i="13"/>
  <c r="T134" i="13" l="1"/>
  <c r="X133" i="13"/>
  <c r="Y133" i="13" s="1"/>
  <c r="F135" i="13"/>
  <c r="O135" i="13"/>
  <c r="P134" i="13"/>
  <c r="K136" i="13"/>
  <c r="J136" i="13"/>
  <c r="M136" i="13"/>
  <c r="G136" i="13"/>
  <c r="I136" i="13"/>
  <c r="N136" i="13"/>
  <c r="H136" i="13"/>
  <c r="L136" i="13"/>
  <c r="E136" i="13" l="1"/>
  <c r="D137" i="13" s="1"/>
  <c r="R135" i="13"/>
  <c r="S135" i="13" s="1"/>
  <c r="A135" i="15" s="1"/>
  <c r="B134" i="15"/>
  <c r="U134" i="13"/>
  <c r="W134" i="13"/>
  <c r="T135" i="13" l="1"/>
  <c r="X134" i="13"/>
  <c r="Y134" i="13" s="1"/>
  <c r="O136" i="13"/>
  <c r="P135" i="13"/>
  <c r="N137" i="13"/>
  <c r="L137" i="13"/>
  <c r="I137" i="13"/>
  <c r="G137" i="13"/>
  <c r="K137" i="13"/>
  <c r="H137" i="13"/>
  <c r="M137" i="13"/>
  <c r="J137" i="13"/>
  <c r="E137" i="13" l="1"/>
  <c r="D138" i="13" s="1"/>
  <c r="R136" i="13"/>
  <c r="S136" i="13" s="1"/>
  <c r="A136" i="15" s="1"/>
  <c r="B135" i="15"/>
  <c r="F136" i="13"/>
  <c r="W135" i="13"/>
  <c r="U135" i="13"/>
  <c r="T136" i="13" l="1"/>
  <c r="X135" i="13"/>
  <c r="Y135" i="13" s="1"/>
  <c r="F137" i="13"/>
  <c r="O137" i="13"/>
  <c r="P136" i="13"/>
  <c r="G138" i="13"/>
  <c r="J138" i="13"/>
  <c r="M138" i="13"/>
  <c r="I138" i="13"/>
  <c r="K138" i="13"/>
  <c r="H138" i="13"/>
  <c r="L138" i="13"/>
  <c r="N138" i="13"/>
  <c r="E138" i="13" l="1"/>
  <c r="D139" i="13" s="1"/>
  <c r="R137" i="13"/>
  <c r="S137" i="13" s="1"/>
  <c r="A137" i="15" s="1"/>
  <c r="B136" i="15"/>
  <c r="W136" i="13"/>
  <c r="U136" i="13"/>
  <c r="T137" i="13" l="1"/>
  <c r="X136" i="13"/>
  <c r="Y136" i="13" s="1"/>
  <c r="P137" i="13"/>
  <c r="F138" i="13"/>
  <c r="O138" i="13"/>
  <c r="M139" i="13"/>
  <c r="H139" i="13"/>
  <c r="L139" i="13"/>
  <c r="K139" i="13"/>
  <c r="G139" i="13"/>
  <c r="J139" i="13"/>
  <c r="I139" i="13"/>
  <c r="N139" i="13"/>
  <c r="E139" i="13" l="1"/>
  <c r="D140" i="13" s="1"/>
  <c r="R138" i="13"/>
  <c r="S138" i="13" s="1"/>
  <c r="A138" i="15" s="1"/>
  <c r="B137" i="15"/>
  <c r="W137" i="13"/>
  <c r="U137" i="13"/>
  <c r="T138" i="13" l="1"/>
  <c r="X137" i="13"/>
  <c r="Y137" i="13" s="1"/>
  <c r="P138" i="13"/>
  <c r="F139" i="13"/>
  <c r="O139" i="13"/>
  <c r="G140" i="13"/>
  <c r="N140" i="13"/>
  <c r="M140" i="13"/>
  <c r="L140" i="13"/>
  <c r="J140" i="13"/>
  <c r="K140" i="13"/>
  <c r="H140" i="13"/>
  <c r="I140" i="13"/>
  <c r="E140" i="13" l="1"/>
  <c r="D141" i="13" s="1"/>
  <c r="R139" i="13"/>
  <c r="S139" i="13" s="1"/>
  <c r="A139" i="15" s="1"/>
  <c r="B138" i="15"/>
  <c r="W138" i="13"/>
  <c r="U138" i="13"/>
  <c r="T139" i="13" l="1"/>
  <c r="X138" i="13"/>
  <c r="Y138" i="13" s="1"/>
  <c r="P139" i="13"/>
  <c r="F140" i="13"/>
  <c r="O140" i="13"/>
  <c r="M141" i="13"/>
  <c r="I141" i="13"/>
  <c r="L141" i="13"/>
  <c r="K141" i="13"/>
  <c r="G141" i="13"/>
  <c r="H141" i="13"/>
  <c r="J141" i="13"/>
  <c r="N141" i="13"/>
  <c r="E141" i="13" l="1"/>
  <c r="D142" i="13" s="1"/>
  <c r="R140" i="13"/>
  <c r="S140" i="13" s="1"/>
  <c r="A140" i="15" s="1"/>
  <c r="B139" i="15"/>
  <c r="W139" i="13"/>
  <c r="U139" i="13"/>
  <c r="T140" i="13" l="1"/>
  <c r="X139" i="13"/>
  <c r="Y139" i="13" s="1"/>
  <c r="P140" i="13"/>
  <c r="F141" i="13"/>
  <c r="O141" i="13"/>
  <c r="H142" i="13"/>
  <c r="L142" i="13"/>
  <c r="G142" i="13"/>
  <c r="K142" i="13"/>
  <c r="M142" i="13"/>
  <c r="I142" i="13"/>
  <c r="J142" i="13"/>
  <c r="N142" i="13"/>
  <c r="E142" i="13" l="1"/>
  <c r="D143" i="13" s="1"/>
  <c r="R141" i="13"/>
  <c r="S141" i="13" s="1"/>
  <c r="A141" i="15" s="1"/>
  <c r="B140" i="15"/>
  <c r="W140" i="13"/>
  <c r="U140" i="13"/>
  <c r="T141" i="13" l="1"/>
  <c r="X140" i="13"/>
  <c r="Y140" i="13" s="1"/>
  <c r="K143" i="13"/>
  <c r="H143" i="13"/>
  <c r="I143" i="13"/>
  <c r="J143" i="13"/>
  <c r="G143" i="13"/>
  <c r="N143" i="13"/>
  <c r="L143" i="13"/>
  <c r="M143" i="13"/>
  <c r="E143" i="13" l="1"/>
  <c r="D144" i="13" s="1"/>
  <c r="B141" i="15"/>
  <c r="P141" i="13"/>
  <c r="F142" i="13"/>
  <c r="O142" i="13"/>
  <c r="R142" i="13" l="1"/>
  <c r="S142" i="13" s="1"/>
  <c r="A142" i="15" s="1"/>
  <c r="U141" i="13"/>
  <c r="W141" i="13"/>
  <c r="M144" i="13"/>
  <c r="G144" i="13"/>
  <c r="H144" i="13"/>
  <c r="L144" i="13"/>
  <c r="I144" i="13"/>
  <c r="K144" i="13"/>
  <c r="N144" i="13"/>
  <c r="J144" i="13"/>
  <c r="E144" i="13" l="1"/>
  <c r="D145" i="13" s="1"/>
  <c r="T142" i="13"/>
  <c r="X141" i="13"/>
  <c r="Y141" i="13" s="1"/>
  <c r="P142" i="13"/>
  <c r="F143" i="13"/>
  <c r="O143" i="13"/>
  <c r="R143" i="13" l="1"/>
  <c r="S143" i="13" s="1"/>
  <c r="A143" i="15" s="1"/>
  <c r="B142" i="15"/>
  <c r="W142" i="13"/>
  <c r="U142" i="13"/>
  <c r="G145" i="13"/>
  <c r="I145" i="13"/>
  <c r="J145" i="13"/>
  <c r="L145" i="13"/>
  <c r="H145" i="13"/>
  <c r="M145" i="13"/>
  <c r="K145" i="13"/>
  <c r="N145" i="13"/>
  <c r="E145" i="13" l="1"/>
  <c r="D146" i="13" s="1"/>
  <c r="T143" i="13"/>
  <c r="X142" i="13"/>
  <c r="Y142" i="13" s="1"/>
  <c r="P143" i="13"/>
  <c r="F144" i="13"/>
  <c r="O144" i="13"/>
  <c r="R144" i="13" l="1"/>
  <c r="S144" i="13" s="1"/>
  <c r="A144" i="15" s="1"/>
  <c r="B143" i="15"/>
  <c r="W143" i="13"/>
  <c r="U143" i="13"/>
  <c r="J146" i="13"/>
  <c r="H146" i="13"/>
  <c r="G146" i="13"/>
  <c r="N146" i="13"/>
  <c r="L146" i="13"/>
  <c r="M146" i="13"/>
  <c r="K146" i="13"/>
  <c r="I146" i="13"/>
  <c r="E146" i="13" l="1"/>
  <c r="D147" i="13" s="1"/>
  <c r="T144" i="13"/>
  <c r="X143" i="13"/>
  <c r="Y143" i="13" s="1"/>
  <c r="P144" i="13"/>
  <c r="F145" i="13"/>
  <c r="O145" i="13"/>
  <c r="R145" i="13" l="1"/>
  <c r="S145" i="13" s="1"/>
  <c r="A145" i="15" s="1"/>
  <c r="B144" i="15"/>
  <c r="U144" i="13"/>
  <c r="W144" i="13"/>
  <c r="J147" i="13"/>
  <c r="K147" i="13"/>
  <c r="N147" i="13"/>
  <c r="M147" i="13"/>
  <c r="L147" i="13"/>
  <c r="I147" i="13"/>
  <c r="H147" i="13"/>
  <c r="G147" i="13"/>
  <c r="E147" i="13" l="1"/>
  <c r="D148" i="13" s="1"/>
  <c r="T145" i="13"/>
  <c r="X144" i="13"/>
  <c r="Y144" i="13" s="1"/>
  <c r="P145" i="13"/>
  <c r="F146" i="13"/>
  <c r="O146" i="13"/>
  <c r="R146" i="13" l="1"/>
  <c r="S146" i="13" s="1"/>
  <c r="A146" i="15" s="1"/>
  <c r="B145" i="15"/>
  <c r="U145" i="13"/>
  <c r="W145" i="13"/>
  <c r="H148" i="13"/>
  <c r="M148" i="13"/>
  <c r="G148" i="13"/>
  <c r="K148" i="13"/>
  <c r="I148" i="13"/>
  <c r="L148" i="13"/>
  <c r="J148" i="13"/>
  <c r="N148" i="13"/>
  <c r="E148" i="13" l="1"/>
  <c r="D149" i="13" s="1"/>
  <c r="T146" i="13"/>
  <c r="X145" i="13"/>
  <c r="Y145" i="13" s="1"/>
  <c r="P146" i="13"/>
  <c r="F147" i="13"/>
  <c r="O147" i="13"/>
  <c r="R147" i="13" l="1"/>
  <c r="S147" i="13" s="1"/>
  <c r="A147" i="15" s="1"/>
  <c r="B146" i="15"/>
  <c r="W146" i="13"/>
  <c r="U146" i="13"/>
  <c r="G149" i="13"/>
  <c r="L149" i="13"/>
  <c r="J149" i="13"/>
  <c r="I149" i="13"/>
  <c r="K149" i="13"/>
  <c r="H149" i="13"/>
  <c r="M149" i="13"/>
  <c r="N149" i="13"/>
  <c r="E149" i="13" l="1"/>
  <c r="D150" i="13" s="1"/>
  <c r="T147" i="13"/>
  <c r="X146" i="13"/>
  <c r="Y146" i="13" s="1"/>
  <c r="P147" i="13"/>
  <c r="F148" i="13"/>
  <c r="O148" i="13"/>
  <c r="R148" i="13" l="1"/>
  <c r="S148" i="13" s="1"/>
  <c r="A148" i="15" s="1"/>
  <c r="B147" i="15"/>
  <c r="W147" i="13"/>
  <c r="U147" i="13"/>
  <c r="F149" i="13"/>
  <c r="I150" i="13"/>
  <c r="L150" i="13"/>
  <c r="M150" i="13"/>
  <c r="J150" i="13"/>
  <c r="G150" i="13"/>
  <c r="N150" i="13"/>
  <c r="K150" i="13"/>
  <c r="H150" i="13"/>
  <c r="E150" i="13" l="1"/>
  <c r="D151" i="13" s="1"/>
  <c r="T148" i="13"/>
  <c r="X147" i="13"/>
  <c r="Y147" i="13" s="1"/>
  <c r="O149" i="13"/>
  <c r="P148" i="13"/>
  <c r="R149" i="13" l="1"/>
  <c r="S149" i="13" s="1"/>
  <c r="A149" i="15" s="1"/>
  <c r="B148" i="15"/>
  <c r="W148" i="13"/>
  <c r="U148" i="13"/>
  <c r="I151" i="13"/>
  <c r="K151" i="13"/>
  <c r="H151" i="13"/>
  <c r="M151" i="13"/>
  <c r="L151" i="13"/>
  <c r="G151" i="13"/>
  <c r="N151" i="13"/>
  <c r="J151" i="13"/>
  <c r="E151" i="13" l="1"/>
  <c r="D152" i="13" s="1"/>
  <c r="T149" i="13"/>
  <c r="X148" i="13"/>
  <c r="Y148" i="13" s="1"/>
  <c r="P149" i="13"/>
  <c r="F150" i="13"/>
  <c r="O150" i="13"/>
  <c r="R150" i="13" l="1"/>
  <c r="S150" i="13" s="1"/>
  <c r="A150" i="15" s="1"/>
  <c r="B149" i="15"/>
  <c r="U149" i="13"/>
  <c r="W149" i="13"/>
  <c r="K152" i="13"/>
  <c r="J152" i="13"/>
  <c r="M152" i="13"/>
  <c r="L152" i="13"/>
  <c r="N152" i="13"/>
  <c r="G152" i="13"/>
  <c r="I152" i="13"/>
  <c r="H152" i="13"/>
  <c r="E152" i="13" l="1"/>
  <c r="D153" i="13" s="1"/>
  <c r="T150" i="13"/>
  <c r="X149" i="13"/>
  <c r="Y149" i="13" s="1"/>
  <c r="P150" i="13"/>
  <c r="F151" i="13"/>
  <c r="O151" i="13"/>
  <c r="R151" i="13" l="1"/>
  <c r="S151" i="13" s="1"/>
  <c r="A151" i="15" s="1"/>
  <c r="B150" i="15"/>
  <c r="W150" i="13"/>
  <c r="U150" i="13"/>
  <c r="L153" i="13"/>
  <c r="J153" i="13"/>
  <c r="M153" i="13"/>
  <c r="K153" i="13"/>
  <c r="I153" i="13"/>
  <c r="N153" i="13"/>
  <c r="H153" i="13"/>
  <c r="G153" i="13"/>
  <c r="E153" i="13" l="1"/>
  <c r="D154" i="13" s="1"/>
  <c r="T151" i="13"/>
  <c r="X150" i="13"/>
  <c r="Y150" i="13" s="1"/>
  <c r="P151" i="13"/>
  <c r="F152" i="13"/>
  <c r="O152" i="13"/>
  <c r="R152" i="13" l="1"/>
  <c r="S152" i="13" s="1"/>
  <c r="A152" i="15" s="1"/>
  <c r="B151" i="15"/>
  <c r="U151" i="13"/>
  <c r="W151" i="13"/>
  <c r="F153" i="13"/>
  <c r="I154" i="13"/>
  <c r="N154" i="13"/>
  <c r="L154" i="13"/>
  <c r="K154" i="13"/>
  <c r="M154" i="13"/>
  <c r="J154" i="13"/>
  <c r="H154" i="13"/>
  <c r="G154" i="13"/>
  <c r="E154" i="13" l="1"/>
  <c r="D155" i="13" s="1"/>
  <c r="T152" i="13"/>
  <c r="X151" i="13"/>
  <c r="Y151" i="13" s="1"/>
  <c r="O153" i="13"/>
  <c r="P152" i="13"/>
  <c r="R153" i="13" l="1"/>
  <c r="S153" i="13" s="1"/>
  <c r="A153" i="15" s="1"/>
  <c r="B152" i="15"/>
  <c r="W152" i="13"/>
  <c r="U152" i="13"/>
  <c r="F154" i="13"/>
  <c r="L155" i="13"/>
  <c r="G155" i="13"/>
  <c r="I155" i="13"/>
  <c r="M155" i="13"/>
  <c r="J155" i="13"/>
  <c r="N155" i="13"/>
  <c r="H155" i="13"/>
  <c r="K155" i="13"/>
  <c r="E155" i="13" l="1"/>
  <c r="D156" i="13" s="1"/>
  <c r="T153" i="13"/>
  <c r="X152" i="13"/>
  <c r="Y152" i="13" s="1"/>
  <c r="O154" i="13"/>
  <c r="P153" i="13"/>
  <c r="R154" i="13" l="1"/>
  <c r="S154" i="13" s="1"/>
  <c r="A154" i="15" s="1"/>
  <c r="B153" i="15"/>
  <c r="W153" i="13"/>
  <c r="U153" i="13"/>
  <c r="N156" i="13"/>
  <c r="H156" i="13"/>
  <c r="I156" i="13"/>
  <c r="G156" i="13"/>
  <c r="M156" i="13"/>
  <c r="K156" i="13"/>
  <c r="J156" i="13"/>
  <c r="L156" i="13"/>
  <c r="E156" i="13" l="1"/>
  <c r="D157" i="13" s="1"/>
  <c r="T154" i="13"/>
  <c r="X153" i="13"/>
  <c r="Y153" i="13" s="1"/>
  <c r="P154" i="13"/>
  <c r="F155" i="13"/>
  <c r="O155" i="13"/>
  <c r="R155" i="13" l="1"/>
  <c r="S155" i="13" s="1"/>
  <c r="A155" i="15" s="1"/>
  <c r="B154" i="15"/>
  <c r="W154" i="13"/>
  <c r="U154" i="13"/>
  <c r="K157" i="13"/>
  <c r="I157" i="13"/>
  <c r="H157" i="13"/>
  <c r="N157" i="13"/>
  <c r="M157" i="13"/>
  <c r="J157" i="13"/>
  <c r="G157" i="13"/>
  <c r="L157" i="13"/>
  <c r="E157" i="13" l="1"/>
  <c r="D158" i="13" s="1"/>
  <c r="T155" i="13"/>
  <c r="X154" i="13"/>
  <c r="Y154" i="13" s="1"/>
  <c r="P155" i="13"/>
  <c r="F156" i="13"/>
  <c r="O156" i="13"/>
  <c r="R156" i="13" l="1"/>
  <c r="S156" i="13" s="1"/>
  <c r="A156" i="15" s="1"/>
  <c r="B155" i="15"/>
  <c r="W155" i="13"/>
  <c r="U155" i="13"/>
  <c r="H158" i="13"/>
  <c r="N158" i="13"/>
  <c r="I158" i="13"/>
  <c r="L158" i="13"/>
  <c r="J158" i="13"/>
  <c r="M158" i="13"/>
  <c r="K158" i="13"/>
  <c r="G158" i="13"/>
  <c r="E158" i="13" l="1"/>
  <c r="D159" i="13" s="1"/>
  <c r="T156" i="13"/>
  <c r="X155" i="13"/>
  <c r="Y155" i="13" s="1"/>
  <c r="P156" i="13"/>
  <c r="F157" i="13"/>
  <c r="O157" i="13"/>
  <c r="R157" i="13" l="1"/>
  <c r="S157" i="13" s="1"/>
  <c r="A157" i="15" s="1"/>
  <c r="B156" i="15"/>
  <c r="W156" i="13"/>
  <c r="U156" i="13"/>
  <c r="H159" i="13"/>
  <c r="M159" i="13"/>
  <c r="L159" i="13"/>
  <c r="I159" i="13"/>
  <c r="G159" i="13"/>
  <c r="K159" i="13"/>
  <c r="N159" i="13"/>
  <c r="J159" i="13"/>
  <c r="E159" i="13" l="1"/>
  <c r="D160" i="13" s="1"/>
  <c r="T157" i="13"/>
  <c r="X156" i="13"/>
  <c r="Y156" i="13" s="1"/>
  <c r="P157" i="13"/>
  <c r="F158" i="13"/>
  <c r="O158" i="13"/>
  <c r="R158" i="13" l="1"/>
  <c r="S158" i="13" s="1"/>
  <c r="A158" i="15" s="1"/>
  <c r="B157" i="15"/>
  <c r="W157" i="13"/>
  <c r="U157" i="13"/>
  <c r="L160" i="13"/>
  <c r="N160" i="13"/>
  <c r="H160" i="13"/>
  <c r="M160" i="13"/>
  <c r="K160" i="13"/>
  <c r="G160" i="13"/>
  <c r="J160" i="13"/>
  <c r="I160" i="13"/>
  <c r="E160" i="13" l="1"/>
  <c r="D161" i="13" s="1"/>
  <c r="T158" i="13"/>
  <c r="X157" i="13"/>
  <c r="Y157" i="13" s="1"/>
  <c r="P158" i="13"/>
  <c r="F159" i="13"/>
  <c r="O159" i="13"/>
  <c r="R159" i="13" l="1"/>
  <c r="S159" i="13" s="1"/>
  <c r="A159" i="15" s="1"/>
  <c r="B158" i="15"/>
  <c r="W158" i="13"/>
  <c r="U158" i="13"/>
  <c r="F160" i="13"/>
  <c r="L161" i="13"/>
  <c r="J161" i="13"/>
  <c r="K161" i="13"/>
  <c r="M161" i="13"/>
  <c r="G161" i="13"/>
  <c r="N161" i="13"/>
  <c r="H161" i="13"/>
  <c r="I161" i="13"/>
  <c r="E161" i="13" l="1"/>
  <c r="D162" i="13" s="1"/>
  <c r="T159" i="13"/>
  <c r="X158" i="13"/>
  <c r="Y158" i="13" s="1"/>
  <c r="O160" i="13"/>
  <c r="P159" i="13"/>
  <c r="R160" i="13" l="1"/>
  <c r="S160" i="13" s="1"/>
  <c r="A160" i="15" s="1"/>
  <c r="B159" i="15"/>
  <c r="U159" i="13"/>
  <c r="W159" i="13"/>
  <c r="J162" i="13"/>
  <c r="L162" i="13"/>
  <c r="K162" i="13"/>
  <c r="I162" i="13"/>
  <c r="H162" i="13"/>
  <c r="G162" i="13"/>
  <c r="M162" i="13"/>
  <c r="N162" i="13"/>
  <c r="E162" i="13" l="1"/>
  <c r="D163" i="13" s="1"/>
  <c r="T160" i="13"/>
  <c r="X159" i="13"/>
  <c r="Y159" i="13" s="1"/>
  <c r="P160" i="13"/>
  <c r="F161" i="13"/>
  <c r="O161" i="13"/>
  <c r="R161" i="13" l="1"/>
  <c r="S161" i="13" s="1"/>
  <c r="A161" i="15" s="1"/>
  <c r="B160" i="15"/>
  <c r="W160" i="13"/>
  <c r="U160" i="13"/>
  <c r="F162" i="13"/>
  <c r="G163" i="13"/>
  <c r="N163" i="13"/>
  <c r="H163" i="13"/>
  <c r="I163" i="13"/>
  <c r="M163" i="13"/>
  <c r="L163" i="13"/>
  <c r="K163" i="13"/>
  <c r="J163" i="13"/>
  <c r="E163" i="13" l="1"/>
  <c r="D164" i="13" s="1"/>
  <c r="T161" i="13"/>
  <c r="X160" i="13"/>
  <c r="Y160" i="13" s="1"/>
  <c r="O162" i="13"/>
  <c r="P161" i="13"/>
  <c r="R162" i="13" l="1"/>
  <c r="S162" i="13" s="1"/>
  <c r="A162" i="15" s="1"/>
  <c r="B161" i="15"/>
  <c r="W161" i="13"/>
  <c r="U161" i="13"/>
  <c r="L164" i="13"/>
  <c r="M164" i="13"/>
  <c r="G164" i="13"/>
  <c r="N164" i="13"/>
  <c r="K164" i="13"/>
  <c r="H164" i="13"/>
  <c r="J164" i="13"/>
  <c r="I164" i="13"/>
  <c r="E164" i="13" l="1"/>
  <c r="D165" i="13" s="1"/>
  <c r="T162" i="13"/>
  <c r="X161" i="13"/>
  <c r="Y161" i="13" s="1"/>
  <c r="P162" i="13"/>
  <c r="F163" i="13"/>
  <c r="O163" i="13"/>
  <c r="R163" i="13" l="1"/>
  <c r="S163" i="13" s="1"/>
  <c r="A163" i="15" s="1"/>
  <c r="B162" i="15"/>
  <c r="W162" i="13"/>
  <c r="U162" i="13"/>
  <c r="F164" i="13"/>
  <c r="G165" i="13"/>
  <c r="I165" i="13"/>
  <c r="J165" i="13"/>
  <c r="K165" i="13"/>
  <c r="H165" i="13"/>
  <c r="M165" i="13"/>
  <c r="L165" i="13"/>
  <c r="N165" i="13"/>
  <c r="E165" i="13" l="1"/>
  <c r="D166" i="13" s="1"/>
  <c r="T163" i="13"/>
  <c r="X162" i="13"/>
  <c r="Y162" i="13" s="1"/>
  <c r="O164" i="13"/>
  <c r="P163" i="13"/>
  <c r="R164" i="13" l="1"/>
  <c r="S164" i="13" s="1"/>
  <c r="A164" i="15" s="1"/>
  <c r="B163" i="15"/>
  <c r="W163" i="13"/>
  <c r="U163" i="13"/>
  <c r="I166" i="13"/>
  <c r="N166" i="13"/>
  <c r="G166" i="13"/>
  <c r="H166" i="13"/>
  <c r="J166" i="13"/>
  <c r="L166" i="13"/>
  <c r="M166" i="13"/>
  <c r="K166" i="13"/>
  <c r="E166" i="13" l="1"/>
  <c r="D167" i="13" s="1"/>
  <c r="T164" i="13"/>
  <c r="X163" i="13"/>
  <c r="Y163" i="13" s="1"/>
  <c r="P164" i="13"/>
  <c r="F165" i="13"/>
  <c r="O165" i="13"/>
  <c r="R165" i="13" l="1"/>
  <c r="S165" i="13" s="1"/>
  <c r="A165" i="15" s="1"/>
  <c r="B164" i="15"/>
  <c r="W164" i="13"/>
  <c r="U164" i="13"/>
  <c r="I167" i="13"/>
  <c r="G167" i="13"/>
  <c r="J167" i="13"/>
  <c r="L167" i="13"/>
  <c r="K167" i="13"/>
  <c r="H167" i="13"/>
  <c r="M167" i="13"/>
  <c r="N167" i="13"/>
  <c r="E167" i="13" l="1"/>
  <c r="D168" i="13" s="1"/>
  <c r="T165" i="13"/>
  <c r="X164" i="13"/>
  <c r="Y164" i="13" s="1"/>
  <c r="P165" i="13"/>
  <c r="F166" i="13"/>
  <c r="O166" i="13"/>
  <c r="R166" i="13" l="1"/>
  <c r="S166" i="13" s="1"/>
  <c r="A166" i="15" s="1"/>
  <c r="B165" i="15"/>
  <c r="U165" i="13"/>
  <c r="W165" i="13"/>
  <c r="J168" i="13"/>
  <c r="K168" i="13"/>
  <c r="L168" i="13"/>
  <c r="H168" i="13"/>
  <c r="M168" i="13"/>
  <c r="I168" i="13"/>
  <c r="G168" i="13"/>
  <c r="N168" i="13"/>
  <c r="E168" i="13" l="1"/>
  <c r="D169" i="13" s="1"/>
  <c r="T166" i="13"/>
  <c r="X165" i="13"/>
  <c r="Y165" i="13" s="1"/>
  <c r="P166" i="13"/>
  <c r="F167" i="13"/>
  <c r="O167" i="13"/>
  <c r="R167" i="13" l="1"/>
  <c r="S167" i="13" s="1"/>
  <c r="A167" i="15" s="1"/>
  <c r="B166" i="15"/>
  <c r="W166" i="13"/>
  <c r="U166" i="13"/>
  <c r="I169" i="13"/>
  <c r="J169" i="13"/>
  <c r="M169" i="13"/>
  <c r="N169" i="13"/>
  <c r="H169" i="13"/>
  <c r="K169" i="13"/>
  <c r="G169" i="13"/>
  <c r="L169" i="13"/>
  <c r="E169" i="13" l="1"/>
  <c r="D170" i="13" s="1"/>
  <c r="T167" i="13"/>
  <c r="X166" i="13"/>
  <c r="Y166" i="13" s="1"/>
  <c r="P167" i="13"/>
  <c r="F168" i="13"/>
  <c r="O168" i="13"/>
  <c r="R168" i="13" l="1"/>
  <c r="S168" i="13" s="1"/>
  <c r="A168" i="15" s="1"/>
  <c r="B167" i="15"/>
  <c r="P168" i="13"/>
  <c r="F169" i="13"/>
  <c r="O169" i="13"/>
  <c r="W167" i="13"/>
  <c r="U167" i="13"/>
  <c r="L170" i="13"/>
  <c r="K170" i="13"/>
  <c r="H170" i="13"/>
  <c r="M170" i="13"/>
  <c r="I170" i="13"/>
  <c r="G170" i="13"/>
  <c r="J170" i="13"/>
  <c r="N170" i="13"/>
  <c r="E170" i="13" l="1"/>
  <c r="D171" i="13" s="1"/>
  <c r="R169" i="13"/>
  <c r="S169" i="13" s="1"/>
  <c r="A169" i="15" s="1"/>
  <c r="T168" i="13"/>
  <c r="X167" i="13"/>
  <c r="Y167" i="13" s="1"/>
  <c r="W168" i="13"/>
  <c r="U168" i="13"/>
  <c r="B168" i="15" l="1"/>
  <c r="P169" i="13"/>
  <c r="F170" i="13"/>
  <c r="O170" i="13"/>
  <c r="M171" i="13"/>
  <c r="J171" i="13"/>
  <c r="K171" i="13"/>
  <c r="N171" i="13"/>
  <c r="H171" i="13"/>
  <c r="G171" i="13"/>
  <c r="I171" i="13"/>
  <c r="L171" i="13"/>
  <c r="E171" i="13" l="1"/>
  <c r="D172" i="13" s="1"/>
  <c r="R170" i="13"/>
  <c r="S170" i="13" s="1"/>
  <c r="A170" i="15" s="1"/>
  <c r="T169" i="13"/>
  <c r="X168" i="13"/>
  <c r="Y168" i="13" s="1"/>
  <c r="U169" i="13"/>
  <c r="W169" i="13"/>
  <c r="B169" i="15" l="1"/>
  <c r="T170" i="13"/>
  <c r="X169" i="13"/>
  <c r="Y169" i="13" s="1"/>
  <c r="P170" i="13"/>
  <c r="F171" i="13"/>
  <c r="O171" i="13"/>
  <c r="J172" i="13"/>
  <c r="L172" i="13"/>
  <c r="G172" i="13"/>
  <c r="N172" i="13"/>
  <c r="H172" i="13"/>
  <c r="M172" i="13"/>
  <c r="K172" i="13"/>
  <c r="I172" i="13"/>
  <c r="E172" i="13" l="1"/>
  <c r="D173" i="13" s="1"/>
  <c r="R171" i="13"/>
  <c r="S171" i="13" s="1"/>
  <c r="A171" i="15" s="1"/>
  <c r="B170" i="15"/>
  <c r="W170" i="13"/>
  <c r="U170" i="13"/>
  <c r="T171" i="13" l="1"/>
  <c r="X170" i="13"/>
  <c r="Y170" i="13" s="1"/>
  <c r="P171" i="13"/>
  <c r="F172" i="13"/>
  <c r="O172" i="13"/>
  <c r="K173" i="13"/>
  <c r="L173" i="13"/>
  <c r="N173" i="13"/>
  <c r="G173" i="13"/>
  <c r="M173" i="13"/>
  <c r="I173" i="13"/>
  <c r="H173" i="13"/>
  <c r="J173" i="13"/>
  <c r="E173" i="13" l="1"/>
  <c r="D174" i="13" s="1"/>
  <c r="R172" i="13"/>
  <c r="S172" i="13" s="1"/>
  <c r="A172" i="15" s="1"/>
  <c r="B171" i="15"/>
  <c r="U171" i="13"/>
  <c r="W171" i="13"/>
  <c r="T172" i="13" l="1"/>
  <c r="X171" i="13"/>
  <c r="Y171" i="13" s="1"/>
  <c r="P172" i="13"/>
  <c r="F173" i="13"/>
  <c r="O173" i="13"/>
  <c r="M174" i="13"/>
  <c r="I174" i="13"/>
  <c r="H174" i="13"/>
  <c r="N174" i="13"/>
  <c r="G174" i="13"/>
  <c r="K174" i="13"/>
  <c r="J174" i="13"/>
  <c r="L174" i="13"/>
  <c r="E174" i="13" l="1"/>
  <c r="D175" i="13" s="1"/>
  <c r="R173" i="13"/>
  <c r="S173" i="13" s="1"/>
  <c r="A173" i="15" s="1"/>
  <c r="B172" i="15"/>
  <c r="W172" i="13"/>
  <c r="U172" i="13"/>
  <c r="T173" i="13" l="1"/>
  <c r="X172" i="13"/>
  <c r="Y172" i="13" s="1"/>
  <c r="P173" i="13"/>
  <c r="F174" i="13"/>
  <c r="O174" i="13"/>
  <c r="M175" i="13"/>
  <c r="N175" i="13"/>
  <c r="G175" i="13"/>
  <c r="H175" i="13"/>
  <c r="L175" i="13"/>
  <c r="J175" i="13"/>
  <c r="K175" i="13"/>
  <c r="I175" i="13"/>
  <c r="E175" i="13" l="1"/>
  <c r="D176" i="13" s="1"/>
  <c r="R174" i="13"/>
  <c r="S174" i="13" s="1"/>
  <c r="A174" i="15" s="1"/>
  <c r="B173" i="15"/>
  <c r="W173" i="13"/>
  <c r="U173" i="13"/>
  <c r="T174" i="13" l="1"/>
  <c r="X173" i="13"/>
  <c r="Y173" i="13" s="1"/>
  <c r="P174" i="13"/>
  <c r="F175" i="13"/>
  <c r="O175" i="13"/>
  <c r="H176" i="13"/>
  <c r="G176" i="13"/>
  <c r="I176" i="13"/>
  <c r="J176" i="13"/>
  <c r="K176" i="13"/>
  <c r="L176" i="13"/>
  <c r="N176" i="13"/>
  <c r="M176" i="13"/>
  <c r="E176" i="13" l="1"/>
  <c r="D177" i="13" s="1"/>
  <c r="R175" i="13"/>
  <c r="S175" i="13" s="1"/>
  <c r="A175" i="15" s="1"/>
  <c r="B174" i="15"/>
  <c r="W174" i="13"/>
  <c r="U174" i="13"/>
  <c r="T175" i="13" l="1"/>
  <c r="X174" i="13"/>
  <c r="Y174" i="13" s="1"/>
  <c r="P175" i="13"/>
  <c r="F176" i="13"/>
  <c r="O176" i="13"/>
  <c r="M177" i="13"/>
  <c r="H177" i="13"/>
  <c r="G177" i="13"/>
  <c r="K177" i="13"/>
  <c r="N177" i="13"/>
  <c r="L177" i="13"/>
  <c r="I177" i="13"/>
  <c r="J177" i="13"/>
  <c r="E177" i="13" l="1"/>
  <c r="D178" i="13" s="1"/>
  <c r="R176" i="13"/>
  <c r="S176" i="13" s="1"/>
  <c r="A176" i="15" s="1"/>
  <c r="B175" i="15"/>
  <c r="W175" i="13"/>
  <c r="U175" i="13"/>
  <c r="T176" i="13" l="1"/>
  <c r="X175" i="13"/>
  <c r="Y175" i="13" s="1"/>
  <c r="P176" i="13"/>
  <c r="F177" i="13"/>
  <c r="O177" i="13"/>
  <c r="K178" i="13"/>
  <c r="N178" i="13"/>
  <c r="L178" i="13"/>
  <c r="M178" i="13"/>
  <c r="G178" i="13"/>
  <c r="H178" i="13"/>
  <c r="I178" i="13"/>
  <c r="J178" i="13"/>
  <c r="E178" i="13" l="1"/>
  <c r="D179" i="13" s="1"/>
  <c r="R177" i="13"/>
  <c r="S177" i="13" s="1"/>
  <c r="A177" i="15" s="1"/>
  <c r="B176" i="15"/>
  <c r="W176" i="13"/>
  <c r="U176" i="13"/>
  <c r="T177" i="13" l="1"/>
  <c r="X176" i="13"/>
  <c r="Y176" i="13" s="1"/>
  <c r="O178" i="13"/>
  <c r="P177" i="13"/>
  <c r="J179" i="13"/>
  <c r="G179" i="13"/>
  <c r="N179" i="13"/>
  <c r="I179" i="13"/>
  <c r="H179" i="13"/>
  <c r="K179" i="13"/>
  <c r="M179" i="13"/>
  <c r="L179" i="13"/>
  <c r="E179" i="13" l="1"/>
  <c r="D180" i="13" s="1"/>
  <c r="R178" i="13"/>
  <c r="S178" i="13" s="1"/>
  <c r="A178" i="15" s="1"/>
  <c r="B177" i="15"/>
  <c r="F178" i="13"/>
  <c r="W177" i="13"/>
  <c r="U177" i="13"/>
  <c r="T178" i="13" l="1"/>
  <c r="X177" i="13"/>
  <c r="Y177" i="13" s="1"/>
  <c r="F179" i="13"/>
  <c r="O179" i="13"/>
  <c r="P178" i="13"/>
  <c r="L180" i="13"/>
  <c r="N180" i="13"/>
  <c r="I180" i="13"/>
  <c r="J180" i="13"/>
  <c r="M180" i="13"/>
  <c r="H180" i="13"/>
  <c r="K180" i="13"/>
  <c r="G180" i="13"/>
  <c r="E180" i="13" l="1"/>
  <c r="D181" i="13" s="1"/>
  <c r="F180" i="13" s="1"/>
  <c r="R179" i="13"/>
  <c r="S179" i="13" s="1"/>
  <c r="A179" i="15" s="1"/>
  <c r="B178" i="15"/>
  <c r="W178" i="13"/>
  <c r="U178" i="13"/>
  <c r="T179" i="13" l="1"/>
  <c r="X178" i="13"/>
  <c r="Y178" i="13" s="1"/>
  <c r="O180" i="13"/>
  <c r="P179" i="13"/>
  <c r="J181" i="13"/>
  <c r="N181" i="13"/>
  <c r="L181" i="13"/>
  <c r="K181" i="13"/>
  <c r="I181" i="13"/>
  <c r="M181" i="13"/>
  <c r="G181" i="13"/>
  <c r="H181" i="13"/>
  <c r="E181" i="13" l="1"/>
  <c r="D182" i="13" s="1"/>
  <c r="F181" i="13" s="1"/>
  <c r="R180" i="13"/>
  <c r="S180" i="13" s="1"/>
  <c r="A180" i="15" s="1"/>
  <c r="B179" i="15"/>
  <c r="U179" i="13"/>
  <c r="W179" i="13"/>
  <c r="T180" i="13" l="1"/>
  <c r="X179" i="13"/>
  <c r="Y179" i="13" s="1"/>
  <c r="O181" i="13"/>
  <c r="P180" i="13"/>
  <c r="J182" i="13"/>
  <c r="M182" i="13"/>
  <c r="K182" i="13"/>
  <c r="I182" i="13"/>
  <c r="G182" i="13"/>
  <c r="L182" i="13"/>
  <c r="H182" i="13"/>
  <c r="N182" i="13"/>
  <c r="E182" i="13" l="1"/>
  <c r="D183" i="13" s="1"/>
  <c r="R181" i="13"/>
  <c r="S181" i="13" s="1"/>
  <c r="A181" i="15" s="1"/>
  <c r="B180" i="15"/>
  <c r="U180" i="13"/>
  <c r="W180" i="13"/>
  <c r="O182" i="13" l="1"/>
  <c r="P181" i="13"/>
  <c r="K183" i="13"/>
  <c r="H183" i="13"/>
  <c r="I183" i="13"/>
  <c r="L183" i="13"/>
  <c r="M183" i="13"/>
  <c r="G183" i="13"/>
  <c r="N183" i="13"/>
  <c r="J183" i="13"/>
  <c r="E183" i="13" l="1"/>
  <c r="D184" i="13" s="1"/>
  <c r="R182" i="13"/>
  <c r="S182" i="13" s="1"/>
  <c r="A182" i="15" s="1"/>
  <c r="T181" i="13"/>
  <c r="X180" i="13"/>
  <c r="Y180" i="13" s="1"/>
  <c r="F182" i="13"/>
  <c r="W181" i="13"/>
  <c r="U181" i="13"/>
  <c r="B181" i="15" l="1"/>
  <c r="T182" i="13"/>
  <c r="X181" i="13"/>
  <c r="Y181" i="13" s="1"/>
  <c r="F183" i="13"/>
  <c r="O183" i="13"/>
  <c r="P182" i="13"/>
  <c r="M184" i="13"/>
  <c r="I184" i="13"/>
  <c r="H184" i="13"/>
  <c r="L184" i="13"/>
  <c r="J184" i="13"/>
  <c r="G184" i="13"/>
  <c r="N184" i="13"/>
  <c r="K184" i="13"/>
  <c r="E184" i="13" l="1"/>
  <c r="D185" i="13" s="1"/>
  <c r="F184" i="13" s="1"/>
  <c r="R183" i="13"/>
  <c r="S183" i="13" s="1"/>
  <c r="A183" i="15" s="1"/>
  <c r="B182" i="15"/>
  <c r="W182" i="13"/>
  <c r="U182" i="13"/>
  <c r="T183" i="13" l="1"/>
  <c r="X182" i="13"/>
  <c r="Y182" i="13" s="1"/>
  <c r="O184" i="13"/>
  <c r="P183" i="13"/>
  <c r="I185" i="13"/>
  <c r="L185" i="13"/>
  <c r="M185" i="13"/>
  <c r="G185" i="13"/>
  <c r="N185" i="13"/>
  <c r="K185" i="13"/>
  <c r="H185" i="13"/>
  <c r="J185" i="13"/>
  <c r="E185" i="13" l="1"/>
  <c r="D186" i="13" s="1"/>
  <c r="R184" i="13"/>
  <c r="S184" i="13" s="1"/>
  <c r="A184" i="15" s="1"/>
  <c r="B183" i="15"/>
  <c r="W183" i="13"/>
  <c r="U183" i="13"/>
  <c r="O185" i="13" l="1"/>
  <c r="P184" i="13"/>
  <c r="G186" i="13"/>
  <c r="I186" i="13"/>
  <c r="K186" i="13"/>
  <c r="M186" i="13"/>
  <c r="J186" i="13"/>
  <c r="L186" i="13"/>
  <c r="H186" i="13"/>
  <c r="N186" i="13"/>
  <c r="E186" i="13" l="1"/>
  <c r="D187" i="13" s="1"/>
  <c r="R185" i="13"/>
  <c r="S185" i="13" s="1"/>
  <c r="A185" i="15" s="1"/>
  <c r="T184" i="13"/>
  <c r="X183" i="13"/>
  <c r="Y183" i="13" s="1"/>
  <c r="F185" i="13"/>
  <c r="U184" i="13"/>
  <c r="W184" i="13"/>
  <c r="B184" i="15" l="1"/>
  <c r="T185" i="13"/>
  <c r="X184" i="13"/>
  <c r="Y184" i="13" s="1"/>
  <c r="F186" i="13"/>
  <c r="O186" i="13"/>
  <c r="P185" i="13"/>
  <c r="J187" i="13"/>
  <c r="I187" i="13"/>
  <c r="N187" i="13"/>
  <c r="L187" i="13"/>
  <c r="K187" i="13"/>
  <c r="M187" i="13"/>
  <c r="H187" i="13"/>
  <c r="G187" i="13"/>
  <c r="E187" i="13" l="1"/>
  <c r="R186" i="13"/>
  <c r="S186" i="13" s="1"/>
  <c r="A186" i="15" s="1"/>
  <c r="B185" i="15"/>
  <c r="U185" i="13"/>
  <c r="W185" i="13"/>
  <c r="D188" i="13" l="1"/>
  <c r="O187" i="13" s="1"/>
  <c r="T186" i="13"/>
  <c r="X185" i="13"/>
  <c r="Y185" i="13" s="1"/>
  <c r="L188" i="13"/>
  <c r="N188" i="13"/>
  <c r="M188" i="13"/>
  <c r="G188" i="13"/>
  <c r="K188" i="13"/>
  <c r="I188" i="13"/>
  <c r="H188" i="13"/>
  <c r="J188" i="13"/>
  <c r="P186" i="13" l="1"/>
  <c r="F187" i="13"/>
  <c r="E188" i="13"/>
  <c r="D189" i="13" s="1"/>
  <c r="R187" i="13"/>
  <c r="S187" i="13" s="1"/>
  <c r="A187" i="15" s="1"/>
  <c r="B186" i="15"/>
  <c r="W186" i="13"/>
  <c r="U186" i="13"/>
  <c r="F188" i="13" l="1"/>
  <c r="T187" i="13"/>
  <c r="X186" i="13"/>
  <c r="Y186" i="13" s="1"/>
  <c r="O188" i="13"/>
  <c r="P187" i="13"/>
  <c r="I189" i="13"/>
  <c r="N189" i="13"/>
  <c r="H189" i="13"/>
  <c r="L189" i="13"/>
  <c r="G189" i="13"/>
  <c r="J189" i="13"/>
  <c r="M189" i="13"/>
  <c r="K189" i="13"/>
  <c r="E189" i="13" l="1"/>
  <c r="D190" i="13" s="1"/>
  <c r="R188" i="13"/>
  <c r="S188" i="13" s="1"/>
  <c r="A188" i="15" s="1"/>
  <c r="B187" i="15"/>
  <c r="U187" i="13"/>
  <c r="W187" i="13"/>
  <c r="T188" i="13" l="1"/>
  <c r="X187" i="13"/>
  <c r="Y187" i="13" s="1"/>
  <c r="O189" i="13"/>
  <c r="J190" i="13"/>
  <c r="G190" i="13"/>
  <c r="N190" i="13"/>
  <c r="K190" i="13"/>
  <c r="L190" i="13"/>
  <c r="I190" i="13"/>
  <c r="M190" i="13"/>
  <c r="H190" i="13"/>
  <c r="E190" i="13" l="1"/>
  <c r="D191" i="13" s="1"/>
  <c r="R189" i="13"/>
  <c r="S189" i="13" s="1"/>
  <c r="A189" i="15" s="1"/>
  <c r="B188" i="15"/>
  <c r="P188" i="13"/>
  <c r="U188" i="13" s="1"/>
  <c r="F189" i="13"/>
  <c r="W188" i="13"/>
  <c r="T189" i="13" l="1"/>
  <c r="X188" i="13"/>
  <c r="Y188" i="13" s="1"/>
  <c r="O190" i="13"/>
  <c r="I191" i="13"/>
  <c r="M191" i="13"/>
  <c r="L191" i="13"/>
  <c r="H191" i="13"/>
  <c r="K191" i="13"/>
  <c r="N191" i="13"/>
  <c r="J191" i="13"/>
  <c r="G191" i="13"/>
  <c r="E191" i="13" l="1"/>
  <c r="D192" i="13" s="1"/>
  <c r="R190" i="13"/>
  <c r="S190" i="13" s="1"/>
  <c r="A190" i="15" s="1"/>
  <c r="B189" i="15"/>
  <c r="P189" i="13"/>
  <c r="U189" i="13" s="1"/>
  <c r="F190" i="13"/>
  <c r="W189" i="13"/>
  <c r="T190" i="13" l="1"/>
  <c r="X189" i="13"/>
  <c r="Y189" i="13" s="1"/>
  <c r="F191" i="13"/>
  <c r="O191" i="13"/>
  <c r="P190" i="13"/>
  <c r="N192" i="13"/>
  <c r="L192" i="13"/>
  <c r="J192" i="13"/>
  <c r="G192" i="13"/>
  <c r="K192" i="13"/>
  <c r="M192" i="13"/>
  <c r="H192" i="13"/>
  <c r="I192" i="13"/>
  <c r="E192" i="13" l="1"/>
  <c r="D193" i="13" s="1"/>
  <c r="R191" i="13"/>
  <c r="S191" i="13" s="1"/>
  <c r="A191" i="15" s="1"/>
  <c r="B190" i="15"/>
  <c r="W190" i="13"/>
  <c r="U190" i="13"/>
  <c r="O192" i="13" l="1"/>
  <c r="P191" i="13"/>
  <c r="K193" i="13"/>
  <c r="L193" i="13"/>
  <c r="I193" i="13"/>
  <c r="G193" i="13"/>
  <c r="J193" i="13"/>
  <c r="N193" i="13"/>
  <c r="H193" i="13"/>
  <c r="M193" i="13"/>
  <c r="E193" i="13" l="1"/>
  <c r="D194" i="13" s="1"/>
  <c r="R192" i="13"/>
  <c r="S192" i="13" s="1"/>
  <c r="A192" i="15" s="1"/>
  <c r="T191" i="13"/>
  <c r="X190" i="13"/>
  <c r="Y190" i="13" s="1"/>
  <c r="F192" i="13"/>
  <c r="W191" i="13"/>
  <c r="U191" i="13"/>
  <c r="B191" i="15" l="1"/>
  <c r="O193" i="13"/>
  <c r="P192" i="13"/>
  <c r="N194" i="13"/>
  <c r="L194" i="13"/>
  <c r="G194" i="13"/>
  <c r="I194" i="13"/>
  <c r="M194" i="13"/>
  <c r="H194" i="13"/>
  <c r="K194" i="13"/>
  <c r="J194" i="13"/>
  <c r="E194" i="13" l="1"/>
  <c r="D195" i="13" s="1"/>
  <c r="R193" i="13"/>
  <c r="S193" i="13" s="1"/>
  <c r="A193" i="15" s="1"/>
  <c r="T192" i="13"/>
  <c r="X191" i="13"/>
  <c r="Y191" i="13" s="1"/>
  <c r="F193" i="13"/>
  <c r="U192" i="13"/>
  <c r="W192" i="13"/>
  <c r="B192" i="15" l="1"/>
  <c r="T193" i="13"/>
  <c r="X192" i="13"/>
  <c r="Y192" i="13" s="1"/>
  <c r="F194" i="13"/>
  <c r="O194" i="13"/>
  <c r="P193" i="13"/>
  <c r="N195" i="13"/>
  <c r="I195" i="13"/>
  <c r="M195" i="13"/>
  <c r="J195" i="13"/>
  <c r="L195" i="13"/>
  <c r="K195" i="13"/>
  <c r="H195" i="13"/>
  <c r="G195" i="13"/>
  <c r="E195" i="13" l="1"/>
  <c r="D196" i="13" s="1"/>
  <c r="R194" i="13"/>
  <c r="S194" i="13" s="1"/>
  <c r="A194" i="15" s="1"/>
  <c r="B193" i="15"/>
  <c r="W193" i="13"/>
  <c r="U193" i="13"/>
  <c r="T194" i="13" l="1"/>
  <c r="X193" i="13"/>
  <c r="Y193" i="13" s="1"/>
  <c r="O195" i="13"/>
  <c r="N196" i="13"/>
  <c r="J196" i="13"/>
  <c r="G196" i="13"/>
  <c r="M196" i="13"/>
  <c r="H196" i="13"/>
  <c r="K196" i="13"/>
  <c r="I196" i="13"/>
  <c r="L196" i="13"/>
  <c r="E196" i="13" l="1"/>
  <c r="D197" i="13" s="1"/>
  <c r="R195" i="13"/>
  <c r="S195" i="13" s="1"/>
  <c r="A195" i="15" s="1"/>
  <c r="B194" i="15"/>
  <c r="P194" i="13"/>
  <c r="U194" i="13" s="1"/>
  <c r="F195" i="13"/>
  <c r="W194" i="13"/>
  <c r="T195" i="13" l="1"/>
  <c r="X194" i="13"/>
  <c r="Y194" i="13" s="1"/>
  <c r="F196" i="13"/>
  <c r="O196" i="13"/>
  <c r="P195" i="13"/>
  <c r="M197" i="13"/>
  <c r="G197" i="13"/>
  <c r="N197" i="13"/>
  <c r="J197" i="13"/>
  <c r="I197" i="13"/>
  <c r="K197" i="13"/>
  <c r="H197" i="13"/>
  <c r="L197" i="13"/>
  <c r="E197" i="13" l="1"/>
  <c r="D198" i="13" s="1"/>
  <c r="R196" i="13"/>
  <c r="S196" i="13" s="1"/>
  <c r="A196" i="15" s="1"/>
  <c r="B195" i="15"/>
  <c r="U195" i="13"/>
  <c r="W195" i="13"/>
  <c r="T196" i="13" l="1"/>
  <c r="X195" i="13"/>
  <c r="Y195" i="13" s="1"/>
  <c r="O197" i="13"/>
  <c r="M198" i="13"/>
  <c r="I198" i="13"/>
  <c r="J198" i="13"/>
  <c r="N198" i="13"/>
  <c r="G198" i="13"/>
  <c r="H198" i="13"/>
  <c r="K198" i="13"/>
  <c r="L198" i="13"/>
  <c r="E198" i="13" l="1"/>
  <c r="D199" i="13" s="1"/>
  <c r="R197" i="13"/>
  <c r="S197" i="13" s="1"/>
  <c r="A197" i="15" s="1"/>
  <c r="B196" i="15"/>
  <c r="P196" i="13"/>
  <c r="U196" i="13" s="1"/>
  <c r="F197" i="13"/>
  <c r="W196" i="13"/>
  <c r="T197" i="13" l="1"/>
  <c r="X196" i="13"/>
  <c r="Y196" i="13" s="1"/>
  <c r="F198" i="13"/>
  <c r="O198" i="13"/>
  <c r="P197" i="13"/>
  <c r="K199" i="13"/>
  <c r="L199" i="13"/>
  <c r="H199" i="13"/>
  <c r="M199" i="13"/>
  <c r="J199" i="13"/>
  <c r="N199" i="13"/>
  <c r="I199" i="13"/>
  <c r="G199" i="13"/>
  <c r="E199" i="13" l="1"/>
  <c r="D200" i="13" s="1"/>
  <c r="R198" i="13"/>
  <c r="S198" i="13" s="1"/>
  <c r="A198" i="15" s="1"/>
  <c r="B197" i="15"/>
  <c r="W197" i="13"/>
  <c r="U197" i="13"/>
  <c r="T198" i="13" l="1"/>
  <c r="X197" i="13"/>
  <c r="Y197" i="13" s="1"/>
  <c r="O199" i="13"/>
  <c r="P198" i="13"/>
  <c r="I200" i="13"/>
  <c r="L200" i="13"/>
  <c r="N200" i="13"/>
  <c r="H200" i="13"/>
  <c r="M200" i="13"/>
  <c r="J200" i="13"/>
  <c r="G200" i="13"/>
  <c r="K200" i="13"/>
  <c r="E200" i="13" l="1"/>
  <c r="D201" i="13" s="1"/>
  <c r="R199" i="13"/>
  <c r="S199" i="13" s="1"/>
  <c r="A199" i="15" s="1"/>
  <c r="B198" i="15"/>
  <c r="F199" i="13"/>
  <c r="W198" i="13"/>
  <c r="U198" i="13"/>
  <c r="T199" i="13" l="1"/>
  <c r="X198" i="13"/>
  <c r="Y198" i="13" s="1"/>
  <c r="O200" i="13"/>
  <c r="P199" i="13"/>
  <c r="N201" i="13"/>
  <c r="G201" i="13"/>
  <c r="J201" i="13"/>
  <c r="I201" i="13"/>
  <c r="L201" i="13"/>
  <c r="M201" i="13"/>
  <c r="K201" i="13"/>
  <c r="H201" i="13"/>
  <c r="E201" i="13" l="1"/>
  <c r="D202" i="13" s="1"/>
  <c r="R200" i="13"/>
  <c r="S200" i="13" s="1"/>
  <c r="A200" i="15" s="1"/>
  <c r="B199" i="15"/>
  <c r="F200" i="13"/>
  <c r="U199" i="13"/>
  <c r="W199" i="13"/>
  <c r="T200" i="13" l="1"/>
  <c r="X199" i="13"/>
  <c r="Y199" i="13" s="1"/>
  <c r="O201" i="13"/>
  <c r="P200" i="13"/>
  <c r="H202" i="13"/>
  <c r="I202" i="13"/>
  <c r="K202" i="13"/>
  <c r="G202" i="13"/>
  <c r="N202" i="13"/>
  <c r="J202" i="13"/>
  <c r="L202" i="13"/>
  <c r="M202" i="13"/>
  <c r="E202" i="13" l="1"/>
  <c r="D203" i="13" s="1"/>
  <c r="R201" i="13"/>
  <c r="S201" i="13" s="1"/>
  <c r="A201" i="15" s="1"/>
  <c r="B200" i="15"/>
  <c r="F201" i="13"/>
  <c r="W200" i="13"/>
  <c r="U200" i="13"/>
  <c r="T201" i="13" l="1"/>
  <c r="X200" i="13"/>
  <c r="Y200" i="13" s="1"/>
  <c r="F202" i="13"/>
  <c r="O202" i="13"/>
  <c r="P201" i="13"/>
  <c r="H203" i="13"/>
  <c r="K203" i="13"/>
  <c r="I203" i="13"/>
  <c r="G203" i="13"/>
  <c r="N203" i="13"/>
  <c r="J203" i="13"/>
  <c r="M203" i="13"/>
  <c r="L203" i="13"/>
  <c r="E203" i="13" l="1"/>
  <c r="D204" i="13" s="1"/>
  <c r="R202" i="13"/>
  <c r="S202" i="13" s="1"/>
  <c r="A202" i="15" s="1"/>
  <c r="B201" i="15"/>
  <c r="W201" i="13"/>
  <c r="U201" i="13"/>
  <c r="T202" i="13" l="1"/>
  <c r="X201" i="13"/>
  <c r="Y201" i="13" s="1"/>
  <c r="O203" i="13"/>
  <c r="J204" i="13"/>
  <c r="G204" i="13"/>
  <c r="I204" i="13"/>
  <c r="N204" i="13"/>
  <c r="M204" i="13"/>
  <c r="H204" i="13"/>
  <c r="K204" i="13"/>
  <c r="R203" i="13" l="1"/>
  <c r="S203" i="13" s="1"/>
  <c r="A203" i="15" s="1"/>
  <c r="B202" i="15"/>
  <c r="P202" i="13"/>
  <c r="U202" i="13" s="1"/>
  <c r="F203" i="13"/>
  <c r="W202" i="13"/>
  <c r="L204" i="13"/>
  <c r="E204" i="13" l="1"/>
  <c r="D205" i="13" s="1"/>
  <c r="K388" i="14" s="1"/>
  <c r="L387" i="14" s="1"/>
  <c r="M387" i="14" s="1"/>
  <c r="K13" i="14"/>
  <c r="L12" i="14" s="1"/>
  <c r="M12" i="14" s="1"/>
  <c r="K10" i="14"/>
  <c r="L9" i="14" s="1"/>
  <c r="M9" i="14" s="1"/>
  <c r="K74" i="14"/>
  <c r="L73" i="14" s="1"/>
  <c r="M73" i="14" s="1"/>
  <c r="K150" i="14"/>
  <c r="L149" i="14" s="1"/>
  <c r="M149" i="14" s="1"/>
  <c r="K202" i="14"/>
  <c r="L201" i="14" s="1"/>
  <c r="M201" i="14" s="1"/>
  <c r="K60" i="14"/>
  <c r="L59" i="14" s="1"/>
  <c r="M59" i="14" s="1"/>
  <c r="K189" i="14"/>
  <c r="L188" i="14" s="1"/>
  <c r="M188" i="14" s="1"/>
  <c r="K41" i="14"/>
  <c r="L40" i="14" s="1"/>
  <c r="M40" i="14" s="1"/>
  <c r="K140" i="14"/>
  <c r="L139" i="14" s="1"/>
  <c r="M139" i="14" s="1"/>
  <c r="K191" i="14"/>
  <c r="L190" i="14" s="1"/>
  <c r="M190" i="14" s="1"/>
  <c r="K193" i="14"/>
  <c r="L192" i="14" s="1"/>
  <c r="M192" i="14" s="1"/>
  <c r="K153" i="14"/>
  <c r="L152" i="14" s="1"/>
  <c r="M152" i="14" s="1"/>
  <c r="K168" i="14"/>
  <c r="L167" i="14" s="1"/>
  <c r="M167" i="14" s="1"/>
  <c r="K102" i="14"/>
  <c r="L101" i="14" s="1"/>
  <c r="M101" i="14" s="1"/>
  <c r="K19" i="14"/>
  <c r="L18" i="14" s="1"/>
  <c r="M18" i="14" s="1"/>
  <c r="K97" i="14"/>
  <c r="L96" i="14" s="1"/>
  <c r="M96" i="14" s="1"/>
  <c r="K66" i="14"/>
  <c r="L65" i="14" s="1"/>
  <c r="M65" i="14" s="1"/>
  <c r="K114" i="14"/>
  <c r="L113" i="14" s="1"/>
  <c r="M113" i="14" s="1"/>
  <c r="K201" i="14"/>
  <c r="L200" i="14" s="1"/>
  <c r="M200" i="14" s="1"/>
  <c r="K194" i="14"/>
  <c r="L193" i="14" s="1"/>
  <c r="M193" i="14" s="1"/>
  <c r="K176" i="14"/>
  <c r="L175" i="14" s="1"/>
  <c r="M175" i="14" s="1"/>
  <c r="K93" i="14"/>
  <c r="L92" i="14" s="1"/>
  <c r="M92" i="14" s="1"/>
  <c r="K99" i="14"/>
  <c r="L98" i="14" s="1"/>
  <c r="M98" i="14" s="1"/>
  <c r="K81" i="14"/>
  <c r="L80" i="14" s="1"/>
  <c r="M80" i="14" s="1"/>
  <c r="K110" i="14"/>
  <c r="L109" i="14" s="1"/>
  <c r="M109" i="14" s="1"/>
  <c r="K143" i="14"/>
  <c r="L142" i="14" s="1"/>
  <c r="M142" i="14" s="1"/>
  <c r="K160" i="14"/>
  <c r="L159" i="14" s="1"/>
  <c r="M159" i="14" s="1"/>
  <c r="K26" i="14"/>
  <c r="L25" i="14" s="1"/>
  <c r="M25" i="14" s="1"/>
  <c r="K116" i="14"/>
  <c r="L115" i="14" s="1"/>
  <c r="M115" i="14" s="1"/>
  <c r="K200" i="14"/>
  <c r="L199" i="14" s="1"/>
  <c r="M199" i="14" s="1"/>
  <c r="K71" i="14"/>
  <c r="L70" i="14" s="1"/>
  <c r="M70" i="14" s="1"/>
  <c r="K124" i="14"/>
  <c r="L123" i="14" s="1"/>
  <c r="M123" i="14" s="1"/>
  <c r="K84" i="14"/>
  <c r="L83" i="14" s="1"/>
  <c r="M83" i="14" s="1"/>
  <c r="K284" i="14"/>
  <c r="L283" i="14" s="1"/>
  <c r="M283" i="14" s="1"/>
  <c r="K105" i="14"/>
  <c r="L104" i="14" s="1"/>
  <c r="M104" i="14" s="1"/>
  <c r="K130" i="14"/>
  <c r="L129" i="14" s="1"/>
  <c r="M129" i="14" s="1"/>
  <c r="K50" i="14"/>
  <c r="L49" i="14" s="1"/>
  <c r="M49" i="14" s="1"/>
  <c r="K171" i="14"/>
  <c r="L170" i="14" s="1"/>
  <c r="M170" i="14" s="1"/>
  <c r="K151" i="14"/>
  <c r="L150" i="14" s="1"/>
  <c r="M150" i="14" s="1"/>
  <c r="K157" i="14"/>
  <c r="L156" i="14" s="1"/>
  <c r="M156" i="14" s="1"/>
  <c r="K34" i="14"/>
  <c r="L33" i="14" s="1"/>
  <c r="M33" i="14" s="1"/>
  <c r="K126" i="14"/>
  <c r="L125" i="14" s="1"/>
  <c r="M125" i="14" s="1"/>
  <c r="K88" i="14"/>
  <c r="L87" i="14" s="1"/>
  <c r="M87" i="14" s="1"/>
  <c r="K16" i="14"/>
  <c r="L15" i="14" s="1"/>
  <c r="M15" i="14" s="1"/>
  <c r="K58" i="14"/>
  <c r="L57" i="14" s="1"/>
  <c r="M57" i="14" s="1"/>
  <c r="K183" i="14"/>
  <c r="L182" i="14" s="1"/>
  <c r="M182" i="14" s="1"/>
  <c r="K55" i="14"/>
  <c r="L54" i="14" s="1"/>
  <c r="M54" i="14" s="1"/>
  <c r="K44" i="14"/>
  <c r="L43" i="14" s="1"/>
  <c r="M43" i="14" s="1"/>
  <c r="K123" i="14"/>
  <c r="L122" i="14" s="1"/>
  <c r="M122" i="14" s="1"/>
  <c r="K163" i="14"/>
  <c r="L162" i="14" s="1"/>
  <c r="M162" i="14" s="1"/>
  <c r="K133" i="14"/>
  <c r="L132" i="14" s="1"/>
  <c r="M132" i="14" s="1"/>
  <c r="K187" i="14"/>
  <c r="L186" i="14" s="1"/>
  <c r="M186" i="14" s="1"/>
  <c r="K213" i="14"/>
  <c r="L212" i="14" s="1"/>
  <c r="M212" i="14" s="1"/>
  <c r="K79" i="14"/>
  <c r="L78" i="14" s="1"/>
  <c r="M78" i="14" s="1"/>
  <c r="K77" i="14"/>
  <c r="L76" i="14" s="1"/>
  <c r="M76" i="14" s="1"/>
  <c r="K30" i="14"/>
  <c r="L29" i="14" s="1"/>
  <c r="M29" i="14" s="1"/>
  <c r="K73" i="14"/>
  <c r="L72" i="14" s="1"/>
  <c r="M72" i="14" s="1"/>
  <c r="K128" i="14"/>
  <c r="L127" i="14" s="1"/>
  <c r="M127" i="14" s="1"/>
  <c r="K47" i="14"/>
  <c r="L46" i="14" s="1"/>
  <c r="M46" i="14" s="1"/>
  <c r="K146" i="14"/>
  <c r="L145" i="14" s="1"/>
  <c r="M145" i="14" s="1"/>
  <c r="K179" i="14"/>
  <c r="L178" i="14" s="1"/>
  <c r="M178" i="14" s="1"/>
  <c r="K136" i="14"/>
  <c r="L135" i="14" s="1"/>
  <c r="M135" i="14" s="1"/>
  <c r="K37" i="14"/>
  <c r="L36" i="14" s="1"/>
  <c r="M36" i="14" s="1"/>
  <c r="K23" i="14"/>
  <c r="L22" i="14" s="1"/>
  <c r="M22" i="14" s="1"/>
  <c r="K174" i="14"/>
  <c r="L173" i="14" s="1"/>
  <c r="M173" i="14" s="1"/>
  <c r="K63" i="14"/>
  <c r="L62" i="14" s="1"/>
  <c r="M62" i="14" s="1"/>
  <c r="K36" i="14"/>
  <c r="L35" i="14" s="1"/>
  <c r="M35" i="14" s="1"/>
  <c r="K156" i="14"/>
  <c r="L155" i="14" s="1"/>
  <c r="M155" i="14" s="1"/>
  <c r="K69" i="14"/>
  <c r="L68" i="14" s="1"/>
  <c r="M68" i="14" s="1"/>
  <c r="K121" i="14"/>
  <c r="L120" i="14" s="1"/>
  <c r="M120" i="14" s="1"/>
  <c r="K148" i="14"/>
  <c r="L147" i="14" s="1"/>
  <c r="M147" i="14" s="1"/>
  <c r="K86" i="14"/>
  <c r="L85" i="14" s="1"/>
  <c r="M85" i="14" s="1"/>
  <c r="K532" i="14" l="1"/>
  <c r="L531" i="14" s="1"/>
  <c r="M531" i="14" s="1"/>
  <c r="K507" i="14"/>
  <c r="L506" i="14" s="1"/>
  <c r="M506" i="14" s="1"/>
  <c r="K540" i="14"/>
  <c r="L539" i="14" s="1"/>
  <c r="M539" i="14" s="1"/>
  <c r="K562" i="14"/>
  <c r="L561" i="14" s="1"/>
  <c r="M561" i="14" s="1"/>
  <c r="K449" i="14"/>
  <c r="L448" i="14" s="1"/>
  <c r="M448" i="14" s="1"/>
  <c r="K420" i="14"/>
  <c r="L419" i="14" s="1"/>
  <c r="M419" i="14" s="1"/>
  <c r="K257" i="14"/>
  <c r="L256" i="14" s="1"/>
  <c r="M256" i="14" s="1"/>
  <c r="K262" i="14"/>
  <c r="L261" i="14" s="1"/>
  <c r="M261" i="14" s="1"/>
  <c r="K407" i="14"/>
  <c r="L406" i="14" s="1"/>
  <c r="M406" i="14" s="1"/>
  <c r="K499" i="14"/>
  <c r="L498" i="14" s="1"/>
  <c r="M498" i="14" s="1"/>
  <c r="K308" i="14"/>
  <c r="L307" i="14" s="1"/>
  <c r="M307" i="14" s="1"/>
  <c r="K543" i="14"/>
  <c r="L542" i="14" s="1"/>
  <c r="M542" i="14" s="1"/>
  <c r="K211" i="14"/>
  <c r="L210" i="14" s="1"/>
  <c r="M210" i="14" s="1"/>
  <c r="K286" i="14"/>
  <c r="L285" i="14" s="1"/>
  <c r="M285" i="14" s="1"/>
  <c r="K387" i="14"/>
  <c r="L386" i="14" s="1"/>
  <c r="M386" i="14" s="1"/>
  <c r="K221" i="14"/>
  <c r="L220" i="14" s="1"/>
  <c r="M220" i="14" s="1"/>
  <c r="K363" i="14"/>
  <c r="L362" i="14" s="1"/>
  <c r="M362" i="14" s="1"/>
  <c r="K394" i="14"/>
  <c r="L393" i="14" s="1"/>
  <c r="M393" i="14" s="1"/>
  <c r="K476" i="14"/>
  <c r="L475" i="14" s="1"/>
  <c r="M475" i="14" s="1"/>
  <c r="K260" i="14"/>
  <c r="L259" i="14" s="1"/>
  <c r="M259" i="14" s="1"/>
  <c r="K335" i="14"/>
  <c r="L334" i="14" s="1"/>
  <c r="M334" i="14" s="1"/>
  <c r="K503" i="14"/>
  <c r="L502" i="14" s="1"/>
  <c r="M502" i="14" s="1"/>
  <c r="K523" i="14"/>
  <c r="L522" i="14" s="1"/>
  <c r="M522" i="14" s="1"/>
  <c r="K511" i="14"/>
  <c r="L510" i="14" s="1"/>
  <c r="M510" i="14" s="1"/>
  <c r="K302" i="14"/>
  <c r="L301" i="14" s="1"/>
  <c r="M301" i="14" s="1"/>
  <c r="K451" i="14"/>
  <c r="L450" i="14" s="1"/>
  <c r="M450" i="14" s="1"/>
  <c r="K559" i="14"/>
  <c r="L558" i="14" s="1"/>
  <c r="M558" i="14" s="1"/>
  <c r="K325" i="14"/>
  <c r="L324" i="14" s="1"/>
  <c r="M324" i="14" s="1"/>
  <c r="K278" i="14"/>
  <c r="L277" i="14" s="1"/>
  <c r="M277" i="14" s="1"/>
  <c r="K436" i="14"/>
  <c r="L435" i="14" s="1"/>
  <c r="M435" i="14" s="1"/>
  <c r="K232" i="14"/>
  <c r="L231" i="14" s="1"/>
  <c r="M231" i="14" s="1"/>
  <c r="K225" i="14"/>
  <c r="L224" i="14" s="1"/>
  <c r="M224" i="14" s="1"/>
  <c r="K236" i="14"/>
  <c r="L235" i="14" s="1"/>
  <c r="M235" i="14" s="1"/>
  <c r="K333" i="14"/>
  <c r="L332" i="14" s="1"/>
  <c r="M332" i="14" s="1"/>
  <c r="K206" i="14"/>
  <c r="L205" i="14" s="1"/>
  <c r="M205" i="14" s="1"/>
  <c r="K557" i="14"/>
  <c r="L556" i="14" s="1"/>
  <c r="M556" i="14" s="1"/>
  <c r="K287" i="14"/>
  <c r="L286" i="14" s="1"/>
  <c r="M286" i="14" s="1"/>
  <c r="K228" i="14"/>
  <c r="L227" i="14" s="1"/>
  <c r="M227" i="14" s="1"/>
  <c r="K546" i="14"/>
  <c r="L545" i="14" s="1"/>
  <c r="M545" i="14" s="1"/>
  <c r="K360" i="14"/>
  <c r="L359" i="14" s="1"/>
  <c r="M359" i="14" s="1"/>
  <c r="K464" i="14"/>
  <c r="L463" i="14" s="1"/>
  <c r="M463" i="14" s="1"/>
  <c r="K216" i="14"/>
  <c r="L215" i="14" s="1"/>
  <c r="M215" i="14" s="1"/>
  <c r="K469" i="14"/>
  <c r="L468" i="14" s="1"/>
  <c r="M468" i="14" s="1"/>
  <c r="K433" i="14"/>
  <c r="L432" i="14" s="1"/>
  <c r="M432" i="14" s="1"/>
  <c r="K439" i="14"/>
  <c r="L438" i="14" s="1"/>
  <c r="M438" i="14" s="1"/>
  <c r="K555" i="14"/>
  <c r="L554" i="14" s="1"/>
  <c r="M554" i="14" s="1"/>
  <c r="K405" i="14"/>
  <c r="L404" i="14" s="1"/>
  <c r="M404" i="14" s="1"/>
  <c r="K379" i="14"/>
  <c r="L378" i="14" s="1"/>
  <c r="M378" i="14" s="1"/>
  <c r="K461" i="14"/>
  <c r="L460" i="14" s="1"/>
  <c r="M460" i="14" s="1"/>
  <c r="K349" i="14"/>
  <c r="L348" i="14" s="1"/>
  <c r="M348" i="14" s="1"/>
  <c r="K491" i="14"/>
  <c r="L490" i="14" s="1"/>
  <c r="M490" i="14" s="1"/>
  <c r="K428" i="14"/>
  <c r="L427" i="14" s="1"/>
  <c r="M427" i="14" s="1"/>
  <c r="K455" i="14"/>
  <c r="L454" i="14" s="1"/>
  <c r="M454" i="14" s="1"/>
  <c r="K235" i="14"/>
  <c r="L234" i="14" s="1"/>
  <c r="M234" i="14" s="1"/>
  <c r="K234" i="14"/>
  <c r="L233" i="14" s="1"/>
  <c r="M233" i="14" s="1"/>
  <c r="K438" i="14"/>
  <c r="L437" i="14" s="1"/>
  <c r="M437" i="14" s="1"/>
  <c r="K219" i="14"/>
  <c r="L218" i="14" s="1"/>
  <c r="M218" i="14" s="1"/>
  <c r="K342" i="14"/>
  <c r="L341" i="14" s="1"/>
  <c r="M341" i="14" s="1"/>
  <c r="K519" i="14"/>
  <c r="L518" i="14" s="1"/>
  <c r="M518" i="14" s="1"/>
  <c r="K535" i="14"/>
  <c r="L534" i="14" s="1"/>
  <c r="M534" i="14" s="1"/>
  <c r="K372" i="14"/>
  <c r="L371" i="14" s="1"/>
  <c r="M371" i="14" s="1"/>
  <c r="K442" i="14"/>
  <c r="L441" i="14" s="1"/>
  <c r="M441" i="14" s="1"/>
  <c r="K300" i="14"/>
  <c r="L299" i="14" s="1"/>
  <c r="M299" i="14" s="1"/>
  <c r="K485" i="14"/>
  <c r="L484" i="14" s="1"/>
  <c r="M484" i="14" s="1"/>
  <c r="K277" i="14"/>
  <c r="L276" i="14" s="1"/>
  <c r="M276" i="14" s="1"/>
  <c r="K579" i="14"/>
  <c r="L578" i="14" s="1"/>
  <c r="M578" i="14" s="1"/>
  <c r="K505" i="14"/>
  <c r="L504" i="14" s="1"/>
  <c r="M504" i="14" s="1"/>
  <c r="K381" i="14"/>
  <c r="L380" i="14" s="1"/>
  <c r="M380" i="14" s="1"/>
  <c r="K212" i="14"/>
  <c r="L211" i="14" s="1"/>
  <c r="M211" i="14" s="1"/>
  <c r="K328" i="14"/>
  <c r="L327" i="14" s="1"/>
  <c r="M327" i="14" s="1"/>
  <c r="K516" i="14"/>
  <c r="L515" i="14" s="1"/>
  <c r="M515" i="14" s="1"/>
  <c r="K479" i="14"/>
  <c r="L478" i="14" s="1"/>
  <c r="M478" i="14" s="1"/>
  <c r="K423" i="14"/>
  <c r="L422" i="14" s="1"/>
  <c r="M422" i="14" s="1"/>
  <c r="K501" i="14"/>
  <c r="L500" i="14" s="1"/>
  <c r="M500" i="14" s="1"/>
  <c r="K337" i="14"/>
  <c r="L336" i="14" s="1"/>
  <c r="M336" i="14" s="1"/>
  <c r="K497" i="14"/>
  <c r="L496" i="14" s="1"/>
  <c r="M496" i="14" s="1"/>
  <c r="K313" i="14"/>
  <c r="L312" i="14" s="1"/>
  <c r="M312" i="14" s="1"/>
  <c r="K264" i="14"/>
  <c r="L263" i="14" s="1"/>
  <c r="M263" i="14" s="1"/>
  <c r="K397" i="14"/>
  <c r="L396" i="14" s="1"/>
  <c r="M396" i="14" s="1"/>
  <c r="K192" i="14"/>
  <c r="L191" i="14" s="1"/>
  <c r="M191" i="14" s="1"/>
  <c r="K237" i="14"/>
  <c r="L236" i="14" s="1"/>
  <c r="M236" i="14" s="1"/>
  <c r="K447" i="14"/>
  <c r="L446" i="14" s="1"/>
  <c r="M446" i="14" s="1"/>
  <c r="K70" i="14"/>
  <c r="L69" i="14" s="1"/>
  <c r="M69" i="14" s="1"/>
  <c r="K395" i="14"/>
  <c r="L394" i="14" s="1"/>
  <c r="M394" i="14" s="1"/>
  <c r="K290" i="14"/>
  <c r="L289" i="14" s="1"/>
  <c r="M289" i="14" s="1"/>
  <c r="K90" i="14"/>
  <c r="L89" i="14" s="1"/>
  <c r="M89" i="14" s="1"/>
  <c r="K311" i="14"/>
  <c r="L310" i="14" s="1"/>
  <c r="M310" i="14" s="1"/>
  <c r="K65" i="14"/>
  <c r="L64" i="14" s="1"/>
  <c r="M64" i="14" s="1"/>
  <c r="K306" i="14"/>
  <c r="L305" i="14" s="1"/>
  <c r="M305" i="14" s="1"/>
  <c r="K15" i="14"/>
  <c r="L14" i="14" s="1"/>
  <c r="M14" i="14" s="1"/>
  <c r="K98" i="14"/>
  <c r="L97" i="14" s="1"/>
  <c r="M97" i="14" s="1"/>
  <c r="K239" i="14"/>
  <c r="L238" i="14" s="1"/>
  <c r="M238" i="14" s="1"/>
  <c r="K208" i="14"/>
  <c r="L207" i="14" s="1"/>
  <c r="M207" i="14" s="1"/>
  <c r="K563" i="14"/>
  <c r="L562" i="14" s="1"/>
  <c r="M562" i="14" s="1"/>
  <c r="K457" i="14"/>
  <c r="L456" i="14" s="1"/>
  <c r="M456" i="14" s="1"/>
  <c r="K431" i="14"/>
  <c r="L430" i="14" s="1"/>
  <c r="M430" i="14" s="1"/>
  <c r="K512" i="14"/>
  <c r="L511" i="14" s="1"/>
  <c r="M511" i="14" s="1"/>
  <c r="K210" i="14"/>
  <c r="L209" i="14" s="1"/>
  <c r="M209" i="14" s="1"/>
  <c r="K227" i="14"/>
  <c r="L226" i="14" s="1"/>
  <c r="M226" i="14" s="1"/>
  <c r="K336" i="14"/>
  <c r="L335" i="14" s="1"/>
  <c r="M335" i="14" s="1"/>
  <c r="K504" i="14"/>
  <c r="L503" i="14" s="1"/>
  <c r="M503" i="14" s="1"/>
  <c r="K177" i="14"/>
  <c r="L176" i="14" s="1"/>
  <c r="M176" i="14" s="1"/>
  <c r="K359" i="14"/>
  <c r="L358" i="14" s="1"/>
  <c r="M358" i="14" s="1"/>
  <c r="K493" i="14"/>
  <c r="L492" i="14" s="1"/>
  <c r="M492" i="14" s="1"/>
  <c r="K258" i="14"/>
  <c r="L257" i="14" s="1"/>
  <c r="M257" i="14" s="1"/>
  <c r="K364" i="14"/>
  <c r="L363" i="14" s="1"/>
  <c r="M363" i="14" s="1"/>
  <c r="K472" i="14"/>
  <c r="L471" i="14" s="1"/>
  <c r="M471" i="14" s="1"/>
  <c r="K401" i="14"/>
  <c r="L400" i="14" s="1"/>
  <c r="M400" i="14" s="1"/>
  <c r="K314" i="14"/>
  <c r="L313" i="14" s="1"/>
  <c r="M313" i="14" s="1"/>
  <c r="K385" i="14"/>
  <c r="L384" i="14" s="1"/>
  <c r="M384" i="14" s="1"/>
  <c r="K141" i="14"/>
  <c r="L140" i="14" s="1"/>
  <c r="M140" i="14" s="1"/>
  <c r="K467" i="14"/>
  <c r="L466" i="14" s="1"/>
  <c r="M466" i="14" s="1"/>
  <c r="K391" i="14"/>
  <c r="L390" i="14" s="1"/>
  <c r="M390" i="14" s="1"/>
  <c r="K421" i="14"/>
  <c r="L420" i="14" s="1"/>
  <c r="M420" i="14" s="1"/>
  <c r="K276" i="14"/>
  <c r="L275" i="14" s="1"/>
  <c r="M275" i="14" s="1"/>
  <c r="K259" i="14"/>
  <c r="L258" i="14" s="1"/>
  <c r="M258" i="14" s="1"/>
  <c r="K481" i="14"/>
  <c r="L480" i="14" s="1"/>
  <c r="M480" i="14" s="1"/>
  <c r="K510" i="14"/>
  <c r="L509" i="14" s="1"/>
  <c r="M509" i="14" s="1"/>
  <c r="K5" i="14"/>
  <c r="L4" i="14" s="1"/>
  <c r="M4" i="14" s="1"/>
  <c r="K204" i="14"/>
  <c r="L203" i="14" s="1"/>
  <c r="M203" i="14" s="1"/>
  <c r="K526" i="14"/>
  <c r="L525" i="14" s="1"/>
  <c r="M525" i="14" s="1"/>
  <c r="K67" i="14"/>
  <c r="L66" i="14" s="1"/>
  <c r="M66" i="14" s="1"/>
  <c r="K486" i="14"/>
  <c r="L485" i="14" s="1"/>
  <c r="M485" i="14" s="1"/>
  <c r="K521" i="14"/>
  <c r="L520" i="14" s="1"/>
  <c r="M520" i="14" s="1"/>
  <c r="K378" i="14"/>
  <c r="L377" i="14" s="1"/>
  <c r="M377" i="14" s="1"/>
  <c r="K541" i="14"/>
  <c r="L540" i="14" s="1"/>
  <c r="M540" i="14" s="1"/>
  <c r="K270" i="14"/>
  <c r="L269" i="14" s="1"/>
  <c r="M269" i="14" s="1"/>
  <c r="K18" i="14"/>
  <c r="L17" i="14" s="1"/>
  <c r="M17" i="14" s="1"/>
  <c r="K564" i="14"/>
  <c r="L563" i="14" s="1"/>
  <c r="M563" i="14" s="1"/>
  <c r="K441" i="14"/>
  <c r="L440" i="14" s="1"/>
  <c r="M440" i="14" s="1"/>
  <c r="K392" i="14"/>
  <c r="L391" i="14" s="1"/>
  <c r="M391" i="14" s="1"/>
  <c r="K135" i="14"/>
  <c r="L134" i="14" s="1"/>
  <c r="M134" i="14" s="1"/>
  <c r="K83" i="14"/>
  <c r="L82" i="14" s="1"/>
  <c r="M82" i="14" s="1"/>
  <c r="K415" i="14"/>
  <c r="L414" i="14" s="1"/>
  <c r="M414" i="14" s="1"/>
  <c r="K256" i="14"/>
  <c r="L255" i="14" s="1"/>
  <c r="M255" i="14" s="1"/>
  <c r="K321" i="14"/>
  <c r="L320" i="14" s="1"/>
  <c r="M320" i="14" s="1"/>
  <c r="K263" i="14"/>
  <c r="L262" i="14" s="1"/>
  <c r="M262" i="14" s="1"/>
  <c r="K51" i="14"/>
  <c r="L50" i="14" s="1"/>
  <c r="M50" i="14" s="1"/>
  <c r="K547" i="14"/>
  <c r="L546" i="14" s="1"/>
  <c r="M546" i="14" s="1"/>
  <c r="K246" i="14"/>
  <c r="L245" i="14" s="1"/>
  <c r="M245" i="14" s="1"/>
  <c r="K477" i="14"/>
  <c r="L476" i="14" s="1"/>
  <c r="M476" i="14" s="1"/>
  <c r="K120" i="14"/>
  <c r="L119" i="14" s="1"/>
  <c r="M119" i="14" s="1"/>
  <c r="K475" i="14"/>
  <c r="L474" i="14" s="1"/>
  <c r="M474" i="14" s="1"/>
  <c r="K323" i="14"/>
  <c r="L322" i="14" s="1"/>
  <c r="M322" i="14" s="1"/>
  <c r="K217" i="14"/>
  <c r="L216" i="14" s="1"/>
  <c r="M216" i="14" s="1"/>
  <c r="K506" i="14"/>
  <c r="L505" i="14" s="1"/>
  <c r="M505" i="14" s="1"/>
  <c r="K147" i="14"/>
  <c r="L146" i="14" s="1"/>
  <c r="M146" i="14" s="1"/>
  <c r="K112" i="14"/>
  <c r="L111" i="14" s="1"/>
  <c r="M111" i="14" s="1"/>
  <c r="K358" i="14"/>
  <c r="L357" i="14" s="1"/>
  <c r="M357" i="14" s="1"/>
  <c r="K280" i="14"/>
  <c r="L279" i="14" s="1"/>
  <c r="M279" i="14" s="1"/>
  <c r="K339" i="14"/>
  <c r="L338" i="14" s="1"/>
  <c r="M338" i="14" s="1"/>
  <c r="K61" i="14"/>
  <c r="L60" i="14" s="1"/>
  <c r="M60" i="14" s="1"/>
  <c r="K390" i="14"/>
  <c r="L389" i="14" s="1"/>
  <c r="M389" i="14" s="1"/>
  <c r="K91" i="14"/>
  <c r="L90" i="14" s="1"/>
  <c r="M90" i="14" s="1"/>
  <c r="K180" i="14"/>
  <c r="L179" i="14" s="1"/>
  <c r="M179" i="14" s="1"/>
  <c r="K445" i="14"/>
  <c r="L444" i="14" s="1"/>
  <c r="M444" i="14" s="1"/>
  <c r="K184" i="14"/>
  <c r="L183" i="14" s="1"/>
  <c r="M183" i="14" s="1"/>
  <c r="K500" i="14"/>
  <c r="L499" i="14" s="1"/>
  <c r="M499" i="14" s="1"/>
  <c r="K11" i="14"/>
  <c r="L10" i="14" s="1"/>
  <c r="M10" i="14" s="1"/>
  <c r="K569" i="14"/>
  <c r="L568" i="14" s="1"/>
  <c r="M568" i="14" s="1"/>
  <c r="K35" i="14"/>
  <c r="L34" i="14" s="1"/>
  <c r="M34" i="14" s="1"/>
  <c r="K400" i="14"/>
  <c r="L399" i="14" s="1"/>
  <c r="M399" i="14" s="1"/>
  <c r="K45" i="14"/>
  <c r="L44" i="14" s="1"/>
  <c r="M44" i="14" s="1"/>
  <c r="K96" i="14"/>
  <c r="L95" i="14" s="1"/>
  <c r="M95" i="14" s="1"/>
  <c r="K293" i="14"/>
  <c r="L292" i="14" s="1"/>
  <c r="M292" i="14" s="1"/>
  <c r="K48" i="14"/>
  <c r="L47" i="14" s="1"/>
  <c r="M47" i="14" s="1"/>
  <c r="K85" i="14"/>
  <c r="L84" i="14" s="1"/>
  <c r="M84" i="14" s="1"/>
  <c r="K304" i="14"/>
  <c r="L303" i="14" s="1"/>
  <c r="M303" i="14" s="1"/>
  <c r="K159" i="14"/>
  <c r="L158" i="14" s="1"/>
  <c r="M158" i="14" s="1"/>
  <c r="K384" i="14"/>
  <c r="L383" i="14" s="1"/>
  <c r="M383" i="14" s="1"/>
  <c r="K78" i="14"/>
  <c r="L77" i="14" s="1"/>
  <c r="M77" i="14" s="1"/>
  <c r="K459" i="14"/>
  <c r="L458" i="14" s="1"/>
  <c r="M458" i="14" s="1"/>
  <c r="K89" i="14"/>
  <c r="L88" i="14" s="1"/>
  <c r="M88" i="14" s="1"/>
  <c r="K254" i="14"/>
  <c r="L253" i="14" s="1"/>
  <c r="M253" i="14" s="1"/>
  <c r="K178" i="14"/>
  <c r="L177" i="14" s="1"/>
  <c r="M177" i="14" s="1"/>
  <c r="K32" i="14"/>
  <c r="L31" i="14" s="1"/>
  <c r="M31" i="14" s="1"/>
  <c r="K373" i="14"/>
  <c r="L372" i="14" s="1"/>
  <c r="M372" i="14" s="1"/>
  <c r="K118" i="14"/>
  <c r="L117" i="14" s="1"/>
  <c r="M117" i="14" s="1"/>
  <c r="K268" i="14"/>
  <c r="L267" i="14" s="1"/>
  <c r="M267" i="14" s="1"/>
  <c r="K21" i="14"/>
  <c r="L20" i="14" s="1"/>
  <c r="M20" i="14" s="1"/>
  <c r="K520" i="14"/>
  <c r="L519" i="14" s="1"/>
  <c r="M519" i="14" s="1"/>
  <c r="K294" i="14"/>
  <c r="L293" i="14" s="1"/>
  <c r="M293" i="14" s="1"/>
  <c r="K386" i="14"/>
  <c r="L385" i="14" s="1"/>
  <c r="M385" i="14" s="1"/>
  <c r="K274" i="14"/>
  <c r="L273" i="14" s="1"/>
  <c r="M273" i="14" s="1"/>
  <c r="K537" i="14"/>
  <c r="L536" i="14" s="1"/>
  <c r="M536" i="14" s="1"/>
  <c r="K75" i="14"/>
  <c r="L74" i="14" s="1"/>
  <c r="M74" i="14" s="1"/>
  <c r="K175" i="14"/>
  <c r="L174" i="14" s="1"/>
  <c r="M174" i="14" s="1"/>
  <c r="K517" i="14"/>
  <c r="L516" i="14" s="1"/>
  <c r="M516" i="14" s="1"/>
  <c r="K275" i="14"/>
  <c r="L274" i="14" s="1"/>
  <c r="M274" i="14" s="1"/>
  <c r="K52" i="14"/>
  <c r="L51" i="14" s="1"/>
  <c r="M51" i="14" s="1"/>
  <c r="K181" i="14"/>
  <c r="L180" i="14" s="1"/>
  <c r="M180" i="14" s="1"/>
  <c r="K282" i="14"/>
  <c r="L281" i="14" s="1"/>
  <c r="M281" i="14" s="1"/>
  <c r="K310" i="14"/>
  <c r="L309" i="14" s="1"/>
  <c r="M309" i="14" s="1"/>
  <c r="K380" i="14"/>
  <c r="L379" i="14" s="1"/>
  <c r="M379" i="14" s="1"/>
  <c r="K54" i="14"/>
  <c r="L53" i="14" s="1"/>
  <c r="M53" i="14" s="1"/>
  <c r="K53" i="14"/>
  <c r="L52" i="14" s="1"/>
  <c r="M52" i="14" s="1"/>
  <c r="K244" i="14"/>
  <c r="L243" i="14" s="1"/>
  <c r="M243" i="14" s="1"/>
  <c r="K317" i="14"/>
  <c r="L316" i="14" s="1"/>
  <c r="M316" i="14" s="1"/>
  <c r="K207" i="14"/>
  <c r="L206" i="14" s="1"/>
  <c r="M206" i="14" s="1"/>
  <c r="K62" i="14"/>
  <c r="L61" i="14" s="1"/>
  <c r="M61" i="14" s="1"/>
  <c r="K134" i="14"/>
  <c r="L133" i="14" s="1"/>
  <c r="M133" i="14" s="1"/>
  <c r="K31" i="14"/>
  <c r="L30" i="14" s="1"/>
  <c r="M30" i="14" s="1"/>
  <c r="K370" i="14"/>
  <c r="L369" i="14" s="1"/>
  <c r="M369" i="14" s="1"/>
  <c r="K435" i="14"/>
  <c r="L434" i="14" s="1"/>
  <c r="M434" i="14" s="1"/>
  <c r="K429" i="14"/>
  <c r="L428" i="14" s="1"/>
  <c r="M428" i="14" s="1"/>
  <c r="K577" i="14"/>
  <c r="L576" i="14" s="1"/>
  <c r="M576" i="14" s="1"/>
  <c r="K198" i="14"/>
  <c r="L197" i="14" s="1"/>
  <c r="M197" i="14" s="1"/>
  <c r="K582" i="14"/>
  <c r="L581" i="14" s="1"/>
  <c r="M581" i="14" s="1"/>
  <c r="K488" i="14"/>
  <c r="L487" i="14" s="1"/>
  <c r="M487" i="14" s="1"/>
  <c r="K139" i="14"/>
  <c r="L138" i="14" s="1"/>
  <c r="M138" i="14" s="1"/>
  <c r="K195" i="14"/>
  <c r="L194" i="14" s="1"/>
  <c r="M194" i="14" s="1"/>
  <c r="K28" i="14"/>
  <c r="L27" i="14" s="1"/>
  <c r="M27" i="14" s="1"/>
  <c r="K374" i="14"/>
  <c r="L373" i="14" s="1"/>
  <c r="M373" i="14" s="1"/>
  <c r="K327" i="14"/>
  <c r="L326" i="14" s="1"/>
  <c r="M326" i="14" s="1"/>
  <c r="K362" i="14"/>
  <c r="L361" i="14" s="1"/>
  <c r="M361" i="14" s="1"/>
  <c r="K301" i="14"/>
  <c r="L300" i="14" s="1"/>
  <c r="M300" i="14" s="1"/>
  <c r="K230" i="14"/>
  <c r="L229" i="14" s="1"/>
  <c r="M229" i="14" s="1"/>
  <c r="K127" i="14"/>
  <c r="L126" i="14" s="1"/>
  <c r="M126" i="14" s="1"/>
  <c r="K524" i="14"/>
  <c r="L523" i="14" s="1"/>
  <c r="M523" i="14" s="1"/>
  <c r="K513" i="14"/>
  <c r="L512" i="14" s="1"/>
  <c r="M512" i="14" s="1"/>
  <c r="K315" i="14"/>
  <c r="L314" i="14" s="1"/>
  <c r="M314" i="14" s="1"/>
  <c r="K484" i="14"/>
  <c r="L483" i="14" s="1"/>
  <c r="M483" i="14" s="1"/>
  <c r="K103" i="14"/>
  <c r="L102" i="14" s="1"/>
  <c r="M102" i="14" s="1"/>
  <c r="K119" i="14"/>
  <c r="L118" i="14" s="1"/>
  <c r="M118" i="14" s="1"/>
  <c r="K554" i="14"/>
  <c r="L553" i="14" s="1"/>
  <c r="M553" i="14" s="1"/>
  <c r="K545" i="14"/>
  <c r="L544" i="14" s="1"/>
  <c r="M544" i="14" s="1"/>
  <c r="K341" i="14"/>
  <c r="L340" i="14" s="1"/>
  <c r="M340" i="14" s="1"/>
  <c r="K305" i="14"/>
  <c r="L304" i="14" s="1"/>
  <c r="M304" i="14" s="1"/>
  <c r="K298" i="14"/>
  <c r="L297" i="14" s="1"/>
  <c r="M297" i="14" s="1"/>
  <c r="K113" i="14"/>
  <c r="L112" i="14" s="1"/>
  <c r="M112" i="14" s="1"/>
  <c r="K25" i="14"/>
  <c r="L24" i="14" s="1"/>
  <c r="M24" i="14" s="1"/>
  <c r="K448" i="14"/>
  <c r="L447" i="14" s="1"/>
  <c r="M447" i="14" s="1"/>
  <c r="K558" i="14"/>
  <c r="L557" i="14" s="1"/>
  <c r="M557" i="14" s="1"/>
  <c r="K137" i="14"/>
  <c r="L136" i="14" s="1"/>
  <c r="M136" i="14" s="1"/>
  <c r="K154" i="14"/>
  <c r="L153" i="14" s="1"/>
  <c r="M153" i="14" s="1"/>
  <c r="K229" i="14"/>
  <c r="L228" i="14" s="1"/>
  <c r="M228" i="14" s="1"/>
  <c r="K87" i="14"/>
  <c r="L86" i="14" s="1"/>
  <c r="M86" i="14" s="1"/>
  <c r="K549" i="14"/>
  <c r="L548" i="14" s="1"/>
  <c r="M548" i="14" s="1"/>
  <c r="K518" i="14"/>
  <c r="L517" i="14" s="1"/>
  <c r="M517" i="14" s="1"/>
  <c r="K367" i="14"/>
  <c r="L366" i="14" s="1"/>
  <c r="M366" i="14" s="1"/>
  <c r="K426" i="14"/>
  <c r="L425" i="14" s="1"/>
  <c r="M425" i="14" s="1"/>
  <c r="K265" i="14"/>
  <c r="L264" i="14" s="1"/>
  <c r="M264" i="14" s="1"/>
  <c r="K131" i="14"/>
  <c r="L130" i="14" s="1"/>
  <c r="M130" i="14" s="1"/>
  <c r="K190" i="14"/>
  <c r="L189" i="14" s="1"/>
  <c r="M189" i="14" s="1"/>
  <c r="K530" i="14"/>
  <c r="L529" i="14" s="1"/>
  <c r="M529" i="14" s="1"/>
  <c r="K465" i="14"/>
  <c r="L464" i="14" s="1"/>
  <c r="M464" i="14" s="1"/>
  <c r="K483" i="14"/>
  <c r="L482" i="14" s="1"/>
  <c r="M482" i="14" s="1"/>
  <c r="K345" i="14"/>
  <c r="L344" i="14" s="1"/>
  <c r="M344" i="14" s="1"/>
  <c r="K502" i="14"/>
  <c r="L501" i="14" s="1"/>
  <c r="M501" i="14" s="1"/>
  <c r="K480" i="14"/>
  <c r="L479" i="14" s="1"/>
  <c r="M479" i="14" s="1"/>
  <c r="K303" i="14"/>
  <c r="L302" i="14" s="1"/>
  <c r="M302" i="14" s="1"/>
  <c r="K295" i="14"/>
  <c r="L294" i="14" s="1"/>
  <c r="M294" i="14" s="1"/>
  <c r="K14" i="14"/>
  <c r="L13" i="14" s="1"/>
  <c r="M13" i="14" s="1"/>
  <c r="K581" i="14"/>
  <c r="L580" i="14" s="1"/>
  <c r="M580" i="14" s="1"/>
  <c r="K279" i="14"/>
  <c r="L278" i="14" s="1"/>
  <c r="M278" i="14" s="1"/>
  <c r="K468" i="14"/>
  <c r="L467" i="14" s="1"/>
  <c r="M467" i="14" s="1"/>
  <c r="K434" i="14"/>
  <c r="L433" i="14" s="1"/>
  <c r="M433" i="14" s="1"/>
  <c r="K417" i="14"/>
  <c r="L416" i="14" s="1"/>
  <c r="M416" i="14" s="1"/>
  <c r="K490" i="14"/>
  <c r="L489" i="14" s="1"/>
  <c r="M489" i="14" s="1"/>
  <c r="K12" i="14"/>
  <c r="L11" i="14" s="1"/>
  <c r="M11" i="14" s="1"/>
  <c r="K508" i="14"/>
  <c r="L507" i="14" s="1"/>
  <c r="M507" i="14" s="1"/>
  <c r="K528" i="14"/>
  <c r="L527" i="14" s="1"/>
  <c r="M527" i="14" s="1"/>
  <c r="K556" i="14"/>
  <c r="L555" i="14" s="1"/>
  <c r="M555" i="14" s="1"/>
  <c r="K155" i="14"/>
  <c r="L154" i="14" s="1"/>
  <c r="M154" i="14" s="1"/>
  <c r="K166" i="14"/>
  <c r="L165" i="14" s="1"/>
  <c r="M165" i="14" s="1"/>
  <c r="K383" i="14"/>
  <c r="L382" i="14" s="1"/>
  <c r="M382" i="14" s="1"/>
  <c r="K39" i="14"/>
  <c r="L38" i="14" s="1"/>
  <c r="M38" i="14" s="1"/>
  <c r="K525" i="14"/>
  <c r="L524" i="14" s="1"/>
  <c r="M524" i="14" s="1"/>
  <c r="K167" i="14"/>
  <c r="L166" i="14" s="1"/>
  <c r="M166" i="14" s="1"/>
  <c r="K316" i="14"/>
  <c r="L315" i="14" s="1"/>
  <c r="M315" i="14" s="1"/>
  <c r="K422" i="14"/>
  <c r="L421" i="14" s="1"/>
  <c r="M421" i="14" s="1"/>
  <c r="K393" i="14"/>
  <c r="L392" i="14" s="1"/>
  <c r="M392" i="14" s="1"/>
  <c r="K224" i="14"/>
  <c r="L223" i="14" s="1"/>
  <c r="M223" i="14" s="1"/>
  <c r="K414" i="14"/>
  <c r="L413" i="14" s="1"/>
  <c r="M413" i="14" s="1"/>
  <c r="K443" i="14"/>
  <c r="L442" i="14" s="1"/>
  <c r="M442" i="14" s="1"/>
  <c r="K560" i="14"/>
  <c r="L559" i="14" s="1"/>
  <c r="M559" i="14" s="1"/>
  <c r="K82" i="14"/>
  <c r="L81" i="14" s="1"/>
  <c r="M81" i="14" s="1"/>
  <c r="K40" i="14"/>
  <c r="L39" i="14" s="1"/>
  <c r="M39" i="14" s="1"/>
  <c r="K161" i="14"/>
  <c r="L160" i="14" s="1"/>
  <c r="M160" i="14" s="1"/>
  <c r="K149" i="14"/>
  <c r="L148" i="14" s="1"/>
  <c r="M148" i="14" s="1"/>
  <c r="K568" i="14"/>
  <c r="L567" i="14" s="1"/>
  <c r="M567" i="14" s="1"/>
  <c r="K162" i="14"/>
  <c r="L161" i="14" s="1"/>
  <c r="M161" i="14" s="1"/>
  <c r="K509" i="14"/>
  <c r="L508" i="14" s="1"/>
  <c r="M508" i="14" s="1"/>
  <c r="K330" i="14"/>
  <c r="L329" i="14" s="1"/>
  <c r="M329" i="14" s="1"/>
  <c r="K309" i="14"/>
  <c r="L308" i="14" s="1"/>
  <c r="M308" i="14" s="1"/>
  <c r="K251" i="14"/>
  <c r="L250" i="14" s="1"/>
  <c r="M250" i="14" s="1"/>
  <c r="K203" i="14"/>
  <c r="L202" i="14" s="1"/>
  <c r="M202" i="14" s="1"/>
  <c r="K344" i="14"/>
  <c r="L343" i="14" s="1"/>
  <c r="M343" i="14" s="1"/>
  <c r="K92" i="14"/>
  <c r="L91" i="14" s="1"/>
  <c r="M91" i="14" s="1"/>
  <c r="K533" i="14"/>
  <c r="L532" i="14" s="1"/>
  <c r="M532" i="14" s="1"/>
  <c r="K172" i="14"/>
  <c r="L171" i="14" s="1"/>
  <c r="M171" i="14" s="1"/>
  <c r="K531" i="14"/>
  <c r="L530" i="14" s="1"/>
  <c r="M530" i="14" s="1"/>
  <c r="K319" i="14"/>
  <c r="L318" i="14" s="1"/>
  <c r="M318" i="14" s="1"/>
  <c r="K389" i="14"/>
  <c r="L388" i="14" s="1"/>
  <c r="M388" i="14" s="1"/>
  <c r="K495" i="14"/>
  <c r="L494" i="14" s="1"/>
  <c r="M494" i="14" s="1"/>
  <c r="K565" i="14"/>
  <c r="L564" i="14" s="1"/>
  <c r="M564" i="14" s="1"/>
  <c r="K365" i="14"/>
  <c r="L364" i="14" s="1"/>
  <c r="M364" i="14" s="1"/>
  <c r="K411" i="14"/>
  <c r="L410" i="14" s="1"/>
  <c r="M410" i="14" s="1"/>
  <c r="K403" i="14"/>
  <c r="L402" i="14" s="1"/>
  <c r="M402" i="14" s="1"/>
  <c r="K332" i="14"/>
  <c r="L331" i="14" s="1"/>
  <c r="M331" i="14" s="1"/>
  <c r="K165" i="14"/>
  <c r="L164" i="14" s="1"/>
  <c r="M164" i="14" s="1"/>
  <c r="K115" i="14"/>
  <c r="L114" i="14" s="1"/>
  <c r="M114" i="14" s="1"/>
  <c r="K22" i="14"/>
  <c r="L21" i="14" s="1"/>
  <c r="M21" i="14" s="1"/>
  <c r="K197" i="14"/>
  <c r="L196" i="14" s="1"/>
  <c r="M196" i="14" s="1"/>
  <c r="K233" i="14"/>
  <c r="L232" i="14" s="1"/>
  <c r="M232" i="14" s="1"/>
  <c r="K185" i="14"/>
  <c r="L184" i="14" s="1"/>
  <c r="M184" i="14" s="1"/>
  <c r="K567" i="14"/>
  <c r="L566" i="14" s="1"/>
  <c r="M566" i="14" s="1"/>
  <c r="K471" i="14"/>
  <c r="L470" i="14" s="1"/>
  <c r="M470" i="14" s="1"/>
  <c r="K515" i="14"/>
  <c r="L514" i="14" s="1"/>
  <c r="M514" i="14" s="1"/>
  <c r="K104" i="14"/>
  <c r="L103" i="14" s="1"/>
  <c r="M103" i="14" s="1"/>
  <c r="K46" i="14"/>
  <c r="L45" i="14" s="1"/>
  <c r="M45" i="14" s="1"/>
  <c r="K182" i="14"/>
  <c r="L181" i="14" s="1"/>
  <c r="M181" i="14" s="1"/>
  <c r="K8" i="14"/>
  <c r="L7" i="14" s="1"/>
  <c r="M7" i="14" s="1"/>
  <c r="K199" i="14"/>
  <c r="L198" i="14" s="1"/>
  <c r="M198" i="14" s="1"/>
  <c r="K462" i="14"/>
  <c r="L461" i="14" s="1"/>
  <c r="M461" i="14" s="1"/>
  <c r="K267" i="14"/>
  <c r="L266" i="14" s="1"/>
  <c r="M266" i="14" s="1"/>
  <c r="K253" i="14"/>
  <c r="L252" i="14" s="1"/>
  <c r="M252" i="14" s="1"/>
  <c r="K100" i="14"/>
  <c r="L99" i="14" s="1"/>
  <c r="M99" i="14" s="1"/>
  <c r="K170" i="14"/>
  <c r="L169" i="14" s="1"/>
  <c r="M169" i="14" s="1"/>
  <c r="K273" i="14"/>
  <c r="L272" i="14" s="1"/>
  <c r="M272" i="14" s="1"/>
  <c r="K289" i="14"/>
  <c r="L288" i="14" s="1"/>
  <c r="M288" i="14" s="1"/>
  <c r="K427" i="14"/>
  <c r="L426" i="14" s="1"/>
  <c r="M426" i="14" s="1"/>
  <c r="K552" i="14"/>
  <c r="L551" i="14" s="1"/>
  <c r="M551" i="14" s="1"/>
  <c r="K444" i="14"/>
  <c r="L443" i="14" s="1"/>
  <c r="M443" i="14" s="1"/>
  <c r="K240" i="14"/>
  <c r="L239" i="14" s="1"/>
  <c r="M239" i="14" s="1"/>
  <c r="K583" i="14"/>
  <c r="L582" i="14" s="1"/>
  <c r="M582" i="14" s="1"/>
  <c r="K343" i="14"/>
  <c r="L342" i="14" s="1"/>
  <c r="M342" i="14" s="1"/>
  <c r="K454" i="14"/>
  <c r="L453" i="14" s="1"/>
  <c r="M453" i="14" s="1"/>
  <c r="K3" i="14"/>
  <c r="L2" i="14" s="1"/>
  <c r="M2" i="14" s="1"/>
  <c r="K38" i="14"/>
  <c r="L37" i="14" s="1"/>
  <c r="M37" i="14" s="1"/>
  <c r="K49" i="14"/>
  <c r="L48" i="14" s="1"/>
  <c r="M48" i="14" s="1"/>
  <c r="K132" i="14"/>
  <c r="L131" i="14" s="1"/>
  <c r="M131" i="14" s="1"/>
  <c r="K466" i="14"/>
  <c r="L465" i="14" s="1"/>
  <c r="M465" i="14" s="1"/>
  <c r="K572" i="14"/>
  <c r="L571" i="14" s="1"/>
  <c r="M571" i="14" s="1"/>
  <c r="K196" i="14"/>
  <c r="L195" i="14" s="1"/>
  <c r="M195" i="14" s="1"/>
  <c r="K80" i="14"/>
  <c r="L79" i="14" s="1"/>
  <c r="M79" i="14" s="1"/>
  <c r="K125" i="14"/>
  <c r="L124" i="14" s="1"/>
  <c r="M124" i="14" s="1"/>
  <c r="K68" i="14"/>
  <c r="L67" i="14" s="1"/>
  <c r="M67" i="14" s="1"/>
  <c r="K158" i="14"/>
  <c r="L157" i="14" s="1"/>
  <c r="M157" i="14" s="1"/>
  <c r="K334" i="14"/>
  <c r="L333" i="14" s="1"/>
  <c r="M333" i="14" s="1"/>
  <c r="K9" i="14"/>
  <c r="L8" i="14" s="1"/>
  <c r="M8" i="14" s="1"/>
  <c r="K527" i="14"/>
  <c r="L526" i="14" s="1"/>
  <c r="M526" i="14" s="1"/>
  <c r="K122" i="14"/>
  <c r="L121" i="14" s="1"/>
  <c r="M121" i="14" s="1"/>
  <c r="K142" i="14"/>
  <c r="L141" i="14" s="1"/>
  <c r="M141" i="14" s="1"/>
  <c r="K281" i="14"/>
  <c r="L280" i="14" s="1"/>
  <c r="M280" i="14" s="1"/>
  <c r="K346" i="14"/>
  <c r="L345" i="14" s="1"/>
  <c r="M345" i="14" s="1"/>
  <c r="K218" i="14"/>
  <c r="L217" i="14" s="1"/>
  <c r="M217" i="14" s="1"/>
  <c r="K20" i="14"/>
  <c r="L19" i="14" s="1"/>
  <c r="M19" i="14" s="1"/>
  <c r="K220" i="14"/>
  <c r="L219" i="14" s="1"/>
  <c r="M219" i="14" s="1"/>
  <c r="K231" i="14"/>
  <c r="L230" i="14" s="1"/>
  <c r="M230" i="14" s="1"/>
  <c r="K109" i="14"/>
  <c r="L108" i="14" s="1"/>
  <c r="M108" i="14" s="1"/>
  <c r="K129" i="14"/>
  <c r="L128" i="14" s="1"/>
  <c r="M128" i="14" s="1"/>
  <c r="K56" i="14"/>
  <c r="L55" i="14" s="1"/>
  <c r="M55" i="14" s="1"/>
  <c r="K214" i="14"/>
  <c r="L213" i="14" s="1"/>
  <c r="M213" i="14" s="1"/>
  <c r="K299" i="14"/>
  <c r="L298" i="14" s="1"/>
  <c r="M298" i="14" s="1"/>
  <c r="K138" i="14"/>
  <c r="L137" i="14" s="1"/>
  <c r="M137" i="14" s="1"/>
  <c r="K222" i="14"/>
  <c r="L221" i="14" s="1"/>
  <c r="M221" i="14" s="1"/>
  <c r="K186" i="14"/>
  <c r="L185" i="14" s="1"/>
  <c r="M185" i="14" s="1"/>
  <c r="K269" i="14"/>
  <c r="L268" i="14" s="1"/>
  <c r="M268" i="14" s="1"/>
  <c r="K412" i="14"/>
  <c r="L411" i="14" s="1"/>
  <c r="M411" i="14" s="1"/>
  <c r="K318" i="14"/>
  <c r="L317" i="14" s="1"/>
  <c r="M317" i="14" s="1"/>
  <c r="K375" i="14"/>
  <c r="L374" i="14" s="1"/>
  <c r="M374" i="14" s="1"/>
  <c r="K173" i="14"/>
  <c r="L172" i="14" s="1"/>
  <c r="M172" i="14" s="1"/>
  <c r="K416" i="14"/>
  <c r="L415" i="14" s="1"/>
  <c r="M415" i="14" s="1"/>
  <c r="K456" i="14"/>
  <c r="L455" i="14" s="1"/>
  <c r="M455" i="14" s="1"/>
  <c r="K59" i="14"/>
  <c r="L58" i="14" s="1"/>
  <c r="M58" i="14" s="1"/>
  <c r="K215" i="14"/>
  <c r="L214" i="14" s="1"/>
  <c r="M214" i="14" s="1"/>
  <c r="K498" i="14"/>
  <c r="L497" i="14" s="1"/>
  <c r="M497" i="14" s="1"/>
  <c r="K453" i="14"/>
  <c r="L452" i="14" s="1"/>
  <c r="M452" i="14" s="1"/>
  <c r="K430" i="14"/>
  <c r="L429" i="14" s="1"/>
  <c r="M429" i="14" s="1"/>
  <c r="K76" i="14"/>
  <c r="L75" i="14" s="1"/>
  <c r="M75" i="14" s="1"/>
  <c r="K33" i="14"/>
  <c r="L32" i="14" s="1"/>
  <c r="M32" i="14" s="1"/>
  <c r="K326" i="14"/>
  <c r="L325" i="14" s="1"/>
  <c r="M325" i="14" s="1"/>
  <c r="K164" i="14"/>
  <c r="L163" i="14" s="1"/>
  <c r="M163" i="14" s="1"/>
  <c r="K446" i="14"/>
  <c r="L445" i="14" s="1"/>
  <c r="M445" i="14" s="1"/>
  <c r="K188" i="14"/>
  <c r="L187" i="14" s="1"/>
  <c r="M187" i="14" s="1"/>
  <c r="K406" i="14"/>
  <c r="L405" i="14" s="1"/>
  <c r="M405" i="14" s="1"/>
  <c r="K17" i="14"/>
  <c r="L16" i="14" s="1"/>
  <c r="M16" i="14" s="1"/>
  <c r="K340" i="14"/>
  <c r="L339" i="14" s="1"/>
  <c r="M339" i="14" s="1"/>
  <c r="K529" i="14"/>
  <c r="L528" i="14" s="1"/>
  <c r="M528" i="14" s="1"/>
  <c r="K57" i="14"/>
  <c r="L56" i="14" s="1"/>
  <c r="M56" i="14" s="1"/>
  <c r="K24" i="14"/>
  <c r="L23" i="14" s="1"/>
  <c r="M23" i="14" s="1"/>
  <c r="K489" i="14"/>
  <c r="L488" i="14" s="1"/>
  <c r="M488" i="14" s="1"/>
  <c r="K291" i="14"/>
  <c r="L290" i="14" s="1"/>
  <c r="M290" i="14" s="1"/>
  <c r="K409" i="14"/>
  <c r="L408" i="14" s="1"/>
  <c r="M408" i="14" s="1"/>
  <c r="K2" i="14"/>
  <c r="L1" i="14" s="1"/>
  <c r="M1" i="14" s="1"/>
  <c r="K551" i="14"/>
  <c r="L550" i="14" s="1"/>
  <c r="M550" i="14" s="1"/>
  <c r="K106" i="14"/>
  <c r="L105" i="14" s="1"/>
  <c r="M105" i="14" s="1"/>
  <c r="K169" i="14"/>
  <c r="L168" i="14" s="1"/>
  <c r="M168" i="14" s="1"/>
  <c r="K117" i="14"/>
  <c r="L116" i="14" s="1"/>
  <c r="M116" i="14" s="1"/>
  <c r="K152" i="14"/>
  <c r="L151" i="14" s="1"/>
  <c r="M151" i="14" s="1"/>
  <c r="K550" i="14"/>
  <c r="L549" i="14" s="1"/>
  <c r="M549" i="14" s="1"/>
  <c r="K72" i="14"/>
  <c r="L71" i="14" s="1"/>
  <c r="M71" i="14" s="1"/>
  <c r="K245" i="14"/>
  <c r="L244" i="14" s="1"/>
  <c r="M244" i="14" s="1"/>
  <c r="K29" i="14"/>
  <c r="L28" i="14" s="1"/>
  <c r="M28" i="14" s="1"/>
  <c r="K575" i="14"/>
  <c r="L574" i="14" s="1"/>
  <c r="M574" i="14" s="1"/>
  <c r="K470" i="14"/>
  <c r="L469" i="14" s="1"/>
  <c r="M469" i="14" s="1"/>
  <c r="K496" i="14"/>
  <c r="L495" i="14" s="1"/>
  <c r="M495" i="14" s="1"/>
  <c r="K42" i="14"/>
  <c r="L41" i="14" s="1"/>
  <c r="M41" i="14" s="1"/>
  <c r="K107" i="14"/>
  <c r="L106" i="14" s="1"/>
  <c r="M106" i="14" s="1"/>
  <c r="K6" i="14"/>
  <c r="L5" i="14" s="1"/>
  <c r="M5" i="14" s="1"/>
  <c r="K27" i="14"/>
  <c r="L26" i="14" s="1"/>
  <c r="M26" i="14" s="1"/>
  <c r="K144" i="14"/>
  <c r="L143" i="14" s="1"/>
  <c r="M143" i="14" s="1"/>
  <c r="K296" i="14"/>
  <c r="L295" i="14" s="1"/>
  <c r="M295" i="14" s="1"/>
  <c r="K474" i="14"/>
  <c r="L473" i="14" s="1"/>
  <c r="M473" i="14" s="1"/>
  <c r="K95" i="14"/>
  <c r="L94" i="14" s="1"/>
  <c r="M94" i="14" s="1"/>
  <c r="K108" i="14"/>
  <c r="L107" i="14" s="1"/>
  <c r="M107" i="14" s="1"/>
  <c r="K145" i="14"/>
  <c r="L144" i="14" s="1"/>
  <c r="M144" i="14" s="1"/>
  <c r="K399" i="14"/>
  <c r="L398" i="14" s="1"/>
  <c r="M398" i="14" s="1"/>
  <c r="K101" i="14"/>
  <c r="L100" i="14" s="1"/>
  <c r="M100" i="14" s="1"/>
  <c r="K43" i="14"/>
  <c r="L42" i="14" s="1"/>
  <c r="M42" i="14" s="1"/>
  <c r="K413" i="14"/>
  <c r="L412" i="14" s="1"/>
  <c r="M412" i="14" s="1"/>
  <c r="K350" i="14"/>
  <c r="L349" i="14" s="1"/>
  <c r="M349" i="14" s="1"/>
  <c r="K338" i="14"/>
  <c r="L337" i="14" s="1"/>
  <c r="M337" i="14" s="1"/>
  <c r="K580" i="14"/>
  <c r="L579" i="14" s="1"/>
  <c r="M579" i="14" s="1"/>
  <c r="K238" i="14"/>
  <c r="L237" i="14" s="1"/>
  <c r="M237" i="14" s="1"/>
  <c r="K94" i="14"/>
  <c r="L93" i="14" s="1"/>
  <c r="M93" i="14" s="1"/>
  <c r="K355" i="14"/>
  <c r="L354" i="14" s="1"/>
  <c r="M354" i="14" s="1"/>
  <c r="K354" i="14"/>
  <c r="L353" i="14" s="1"/>
  <c r="M353" i="14" s="1"/>
  <c r="K111" i="14"/>
  <c r="L110" i="14" s="1"/>
  <c r="M110" i="14" s="1"/>
  <c r="K424" i="14"/>
  <c r="L423" i="14" s="1"/>
  <c r="M423" i="14" s="1"/>
  <c r="K64" i="14"/>
  <c r="L63" i="14" s="1"/>
  <c r="M63" i="14" s="1"/>
  <c r="K589" i="14"/>
  <c r="L588" i="14" s="1"/>
  <c r="M588" i="14" s="1"/>
  <c r="K585" i="14"/>
  <c r="L584" i="14" s="1"/>
  <c r="M584" i="14" s="1"/>
  <c r="K590" i="14"/>
  <c r="L589" i="14" s="1"/>
  <c r="M589" i="14" s="1"/>
  <c r="K586" i="14"/>
  <c r="L585" i="14" s="1"/>
  <c r="M585" i="14" s="1"/>
  <c r="K584" i="14"/>
  <c r="L583" i="14" s="1"/>
  <c r="M583" i="14" s="1"/>
  <c r="K588" i="14"/>
  <c r="L587" i="14" s="1"/>
  <c r="M587" i="14" s="1"/>
  <c r="K587" i="14"/>
  <c r="L586" i="14" s="1"/>
  <c r="M586" i="14" s="1"/>
  <c r="L590" i="14"/>
  <c r="M590" i="14" s="1"/>
  <c r="O204" i="13"/>
  <c r="K357" i="14"/>
  <c r="L356" i="14" s="1"/>
  <c r="M356" i="14" s="1"/>
  <c r="K425" i="14"/>
  <c r="L424" i="14" s="1"/>
  <c r="M424" i="14" s="1"/>
  <c r="K348" i="14"/>
  <c r="L347" i="14" s="1"/>
  <c r="M347" i="14" s="1"/>
  <c r="K249" i="14"/>
  <c r="L248" i="14" s="1"/>
  <c r="M248" i="14" s="1"/>
  <c r="K371" i="14"/>
  <c r="L370" i="14" s="1"/>
  <c r="M370" i="14" s="1"/>
  <c r="K242" i="14"/>
  <c r="L241" i="14" s="1"/>
  <c r="M241" i="14" s="1"/>
  <c r="K553" i="14"/>
  <c r="L552" i="14" s="1"/>
  <c r="M552" i="14" s="1"/>
  <c r="K452" i="14"/>
  <c r="L451" i="14" s="1"/>
  <c r="M451" i="14" s="1"/>
  <c r="K576" i="14"/>
  <c r="L575" i="14" s="1"/>
  <c r="M575" i="14" s="1"/>
  <c r="K223" i="14"/>
  <c r="L222" i="14" s="1"/>
  <c r="M222" i="14" s="1"/>
  <c r="K247" i="14"/>
  <c r="L246" i="14" s="1"/>
  <c r="M246" i="14" s="1"/>
  <c r="K266" i="14"/>
  <c r="L265" i="14" s="1"/>
  <c r="M265" i="14" s="1"/>
  <c r="K566" i="14"/>
  <c r="L565" i="14" s="1"/>
  <c r="M565" i="14" s="1"/>
  <c r="K538" i="14"/>
  <c r="L537" i="14" s="1"/>
  <c r="M537" i="14" s="1"/>
  <c r="K458" i="14"/>
  <c r="L457" i="14" s="1"/>
  <c r="M457" i="14" s="1"/>
  <c r="K261" i="14"/>
  <c r="L260" i="14" s="1"/>
  <c r="M260" i="14" s="1"/>
  <c r="K353" i="14"/>
  <c r="L352" i="14" s="1"/>
  <c r="M352" i="14" s="1"/>
  <c r="K571" i="14"/>
  <c r="L570" i="14" s="1"/>
  <c r="M570" i="14" s="1"/>
  <c r="K382" i="14"/>
  <c r="L381" i="14" s="1"/>
  <c r="M381" i="14" s="1"/>
  <c r="K482" i="14"/>
  <c r="L481" i="14" s="1"/>
  <c r="M481" i="14" s="1"/>
  <c r="K361" i="14"/>
  <c r="L360" i="14" s="1"/>
  <c r="M360" i="14" s="1"/>
  <c r="K209" i="14"/>
  <c r="L208" i="14" s="1"/>
  <c r="M208" i="14" s="1"/>
  <c r="K248" i="14"/>
  <c r="L247" i="14" s="1"/>
  <c r="M247" i="14" s="1"/>
  <c r="K408" i="14"/>
  <c r="L407" i="14" s="1"/>
  <c r="M407" i="14" s="1"/>
  <c r="K450" i="14"/>
  <c r="L449" i="14" s="1"/>
  <c r="M449" i="14" s="1"/>
  <c r="K368" i="14"/>
  <c r="L367" i="14" s="1"/>
  <c r="M367" i="14" s="1"/>
  <c r="K322" i="14"/>
  <c r="L321" i="14" s="1"/>
  <c r="M321" i="14" s="1"/>
  <c r="K514" i="14"/>
  <c r="L513" i="14" s="1"/>
  <c r="M513" i="14" s="1"/>
  <c r="K478" i="14"/>
  <c r="L477" i="14" s="1"/>
  <c r="M477" i="14" s="1"/>
  <c r="K243" i="14"/>
  <c r="L242" i="14" s="1"/>
  <c r="M242" i="14" s="1"/>
  <c r="K226" i="14"/>
  <c r="L225" i="14" s="1"/>
  <c r="M225" i="14" s="1"/>
  <c r="K398" i="14"/>
  <c r="L397" i="14" s="1"/>
  <c r="M397" i="14" s="1"/>
  <c r="K352" i="14"/>
  <c r="L351" i="14" s="1"/>
  <c r="M351" i="14" s="1"/>
  <c r="K241" i="14"/>
  <c r="L240" i="14" s="1"/>
  <c r="M240" i="14" s="1"/>
  <c r="K283" i="14"/>
  <c r="L282" i="14" s="1"/>
  <c r="M282" i="14" s="1"/>
  <c r="K494" i="14"/>
  <c r="L493" i="14" s="1"/>
  <c r="M493" i="14" s="1"/>
  <c r="K539" i="14"/>
  <c r="L538" i="14" s="1"/>
  <c r="M538" i="14" s="1"/>
  <c r="K548" i="14"/>
  <c r="L547" i="14" s="1"/>
  <c r="M547" i="14" s="1"/>
  <c r="K473" i="14"/>
  <c r="L472" i="14" s="1"/>
  <c r="M472" i="14" s="1"/>
  <c r="K536" i="14"/>
  <c r="L535" i="14" s="1"/>
  <c r="M535" i="14" s="1"/>
  <c r="K574" i="14"/>
  <c r="L573" i="14" s="1"/>
  <c r="M573" i="14" s="1"/>
  <c r="K288" i="14"/>
  <c r="L287" i="14" s="1"/>
  <c r="M287" i="14" s="1"/>
  <c r="K271" i="14"/>
  <c r="L270" i="14" s="1"/>
  <c r="M270" i="14" s="1"/>
  <c r="K437" i="14"/>
  <c r="L436" i="14" s="1"/>
  <c r="M436" i="14" s="1"/>
  <c r="K250" i="14"/>
  <c r="L249" i="14" s="1"/>
  <c r="M249" i="14" s="1"/>
  <c r="K272" i="14"/>
  <c r="L271" i="14" s="1"/>
  <c r="M271" i="14" s="1"/>
  <c r="K578" i="14"/>
  <c r="L577" i="14" s="1"/>
  <c r="M577" i="14" s="1"/>
  <c r="K418" i="14"/>
  <c r="L417" i="14" s="1"/>
  <c r="M417" i="14" s="1"/>
  <c r="K307" i="14"/>
  <c r="L306" i="14" s="1"/>
  <c r="M306" i="14" s="1"/>
  <c r="K331" i="14"/>
  <c r="L330" i="14" s="1"/>
  <c r="M330" i="14" s="1"/>
  <c r="K329" i="14"/>
  <c r="L328" i="14" s="1"/>
  <c r="M328" i="14" s="1"/>
  <c r="K255" i="14"/>
  <c r="L254" i="14" s="1"/>
  <c r="M254" i="14" s="1"/>
  <c r="K463" i="14"/>
  <c r="L462" i="14" s="1"/>
  <c r="M462" i="14" s="1"/>
  <c r="K324" i="14"/>
  <c r="L323" i="14" s="1"/>
  <c r="M323" i="14" s="1"/>
  <c r="K573" i="14"/>
  <c r="L572" i="14" s="1"/>
  <c r="M572" i="14" s="1"/>
  <c r="K297" i="14"/>
  <c r="L296" i="14" s="1"/>
  <c r="M296" i="14" s="1"/>
  <c r="K561" i="14"/>
  <c r="L560" i="14" s="1"/>
  <c r="M560" i="14" s="1"/>
  <c r="K404" i="14"/>
  <c r="L403" i="14" s="1"/>
  <c r="M403" i="14" s="1"/>
  <c r="K542" i="14"/>
  <c r="L541" i="14" s="1"/>
  <c r="M541" i="14" s="1"/>
  <c r="K312" i="14"/>
  <c r="L311" i="14" s="1"/>
  <c r="M311" i="14" s="1"/>
  <c r="K410" i="14"/>
  <c r="L409" i="14" s="1"/>
  <c r="M409" i="14" s="1"/>
  <c r="K356" i="14"/>
  <c r="L355" i="14" s="1"/>
  <c r="M355" i="14" s="1"/>
  <c r="K292" i="14"/>
  <c r="L291" i="14" s="1"/>
  <c r="M291" i="14" s="1"/>
  <c r="K396" i="14"/>
  <c r="L395" i="14" s="1"/>
  <c r="M395" i="14" s="1"/>
  <c r="K376" i="14"/>
  <c r="L375" i="14" s="1"/>
  <c r="M375" i="14" s="1"/>
  <c r="K347" i="14"/>
  <c r="L346" i="14" s="1"/>
  <c r="M346" i="14" s="1"/>
  <c r="K492" i="14"/>
  <c r="L491" i="14" s="1"/>
  <c r="M491" i="14" s="1"/>
  <c r="K534" i="14"/>
  <c r="L533" i="14" s="1"/>
  <c r="M533" i="14" s="1"/>
  <c r="K285" i="14"/>
  <c r="L284" i="14" s="1"/>
  <c r="M284" i="14" s="1"/>
  <c r="K522" i="14"/>
  <c r="L521" i="14" s="1"/>
  <c r="M521" i="14" s="1"/>
  <c r="K320" i="14"/>
  <c r="L319" i="14" s="1"/>
  <c r="M319" i="14" s="1"/>
  <c r="K351" i="14"/>
  <c r="L350" i="14" s="1"/>
  <c r="M350" i="14" s="1"/>
  <c r="K252" i="14"/>
  <c r="L251" i="14" s="1"/>
  <c r="M251" i="14" s="1"/>
  <c r="K402" i="14"/>
  <c r="L401" i="14" s="1"/>
  <c r="M401" i="14" s="1"/>
  <c r="K419" i="14"/>
  <c r="L418" i="14" s="1"/>
  <c r="M418" i="14" s="1"/>
  <c r="K369" i="14"/>
  <c r="L368" i="14" s="1"/>
  <c r="M368" i="14" s="1"/>
  <c r="K544" i="14"/>
  <c r="L543" i="14" s="1"/>
  <c r="M543" i="14" s="1"/>
  <c r="K460" i="14"/>
  <c r="L459" i="14" s="1"/>
  <c r="M459" i="14" s="1"/>
  <c r="K440" i="14"/>
  <c r="L439" i="14" s="1"/>
  <c r="M439" i="14" s="1"/>
  <c r="K205" i="14"/>
  <c r="L204" i="14" s="1"/>
  <c r="M204" i="14" s="1"/>
  <c r="K432" i="14"/>
  <c r="L431" i="14" s="1"/>
  <c r="M431" i="14" s="1"/>
  <c r="K366" i="14"/>
  <c r="L365" i="14" s="1"/>
  <c r="M365" i="14" s="1"/>
  <c r="K377" i="14"/>
  <c r="L376" i="14" s="1"/>
  <c r="M376" i="14" s="1"/>
  <c r="K570" i="14"/>
  <c r="L569" i="14" s="1"/>
  <c r="M569" i="14" s="1"/>
  <c r="K487" i="14"/>
  <c r="L486" i="14" s="1"/>
  <c r="M486" i="14" s="1"/>
  <c r="P203" i="13"/>
  <c r="F204" i="13"/>
  <c r="T203" i="13"/>
  <c r="X202" i="13"/>
  <c r="Y202" i="13" s="1"/>
  <c r="R204" i="13" l="1"/>
  <c r="S204" i="13" s="1"/>
  <c r="U203" i="13"/>
  <c r="W203" i="13"/>
  <c r="B203" i="15"/>
  <c r="T204" i="13" l="1"/>
  <c r="X203" i="13"/>
  <c r="Y203" i="13" s="1"/>
  <c r="B204" i="15" s="1"/>
  <c r="A204" i="15"/>
</calcChain>
</file>

<file path=xl/sharedStrings.xml><?xml version="1.0" encoding="utf-8"?>
<sst xmlns="http://schemas.openxmlformats.org/spreadsheetml/2006/main" count="1641" uniqueCount="1607">
  <si>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</si>
  <si>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</si>
  <si>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</si>
  <si>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</si>
  <si>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</si>
  <si>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</si>
  <si>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</si>
  <si>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</si>
  <si>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</si>
  <si>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</si>
  <si>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</si>
  <si>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</si>
  <si>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</si>
  <si>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</si>
  <si>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</si>
  <si>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</si>
  <si>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</si>
  <si>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</si>
  <si>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</si>
  <si>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</si>
  <si>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</si>
  <si>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</si>
  <si>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</si>
  <si>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</si>
  <si>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</si>
  <si>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</si>
  <si>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</si>
  <si>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</si>
  <si>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</si>
  <si>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</si>
  <si>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</si>
  <si>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</si>
  <si>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</si>
  <si>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</si>
  <si>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</si>
  <si>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</si>
  <si>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</si>
  <si>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</si>
  <si>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</si>
  <si>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</si>
  <si>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</si>
  <si>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</si>
  <si>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</si>
  <si>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</si>
  <si>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</si>
  <si>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</si>
  <si>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</si>
  <si>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</si>
  <si>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</si>
  <si>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</si>
  <si>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</si>
  <si>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</si>
  <si>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</si>
  <si>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</si>
  <si>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</si>
  <si>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</si>
  <si>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</si>
  <si>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</si>
  <si>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</si>
  <si>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</si>
  <si>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</si>
  <si>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</si>
  <si>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</si>
  <si>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</si>
  <si>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</si>
  <si>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</si>
  <si>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</si>
  <si>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</si>
  <si>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</si>
  <si>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</si>
  <si>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</si>
  <si>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</si>
  <si>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</si>
  <si>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</si>
  <si>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</si>
  <si>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</si>
  <si>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</si>
  <si>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</si>
  <si>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</si>
  <si>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</si>
  <si>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</si>
  <si>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</si>
  <si>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</si>
  <si>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</si>
  <si>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</si>
  <si>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</si>
  <si>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</si>
  <si>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</si>
  <si>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</si>
  <si>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</si>
  <si>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</si>
  <si>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</si>
  <si>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</si>
  <si>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</si>
  <si>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</si>
  <si>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</si>
  <si>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</si>
  <si>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</si>
  <si>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</si>
  <si>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</si>
  <si>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</si>
  <si>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</si>
  <si>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</si>
  <si>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</si>
  <si>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</si>
  <si>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</si>
  <si>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</si>
  <si>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</si>
  <si>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</si>
  <si>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</si>
  <si>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</si>
  <si>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</si>
  <si>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</si>
  <si>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</si>
  <si>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</si>
  <si>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</si>
  <si>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</si>
  <si>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</si>
  <si>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</si>
  <si>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</si>
  <si>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</si>
  <si>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</si>
  <si>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</si>
  <si>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</si>
  <si>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</si>
  <si>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</si>
  <si>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</si>
  <si>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</si>
  <si>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</si>
  <si>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</si>
  <si>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</si>
  <si>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</si>
  <si>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</si>
  <si>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</si>
  <si>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可以由F和C的关系求出F和C的递推公式或者由递推公式反推，</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</si>
  <si>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</si>
  <si>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</si>
  <si>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</si>
  <si>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</si>
  <si>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</si>
  <si>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</si>
  <si>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</si>
  <si>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</si>
  <si>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</si>
  <si>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</si>
  <si>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</si>
  <si>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</si>
  <si>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</si>
  <si>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</si>
  <si>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</si>
  <si>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</si>
  <si>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</si>
  <si>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</si>
  <si>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</si>
  <si>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</si>
  <si>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</si>
  <si>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</si>
  <si>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</si>
  <si>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</si>
  <si>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</si>
  <si>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</si>
  <si>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</si>
  <si>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</si>
  <si>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</si>
  <si>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</si>
  <si>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</si>
  <si>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</si>
  <si>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</si>
  <si>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</si>
  <si>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</si>
  <si>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</si>
  <si>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</si>
  <si>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</si>
  <si>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</si>
  <si>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</si>
  <si>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</si>
  <si>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</si>
  <si>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</si>
  <si>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</si>
  <si>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</si>
  <si>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</si>
  <si>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</si>
  <si>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</si>
  <si>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</si>
  <si>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</si>
  <si>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</si>
  <si>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</si>
  <si>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</si>
  <si>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</si>
  <si>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</si>
  <si>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</si>
  <si>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</si>
  <si>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</si>
  <si>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</si>
  <si>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</si>
  <si>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</si>
  <si>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</si>
  <si>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</si>
  <si>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</si>
  <si>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</si>
  <si>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</si>
  <si>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</si>
  <si>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</si>
  <si>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</si>
  <si>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</si>
  <si>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</si>
  <si>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</si>
  <si>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</si>
  <si>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</si>
  <si>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</si>
  <si>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</si>
  <si>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</si>
  <si>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</si>
  <si>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</si>
  <si>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</si>
  <si>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</si>
  <si>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</si>
  <si>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</si>
  <si>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</si>
  <si>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不难发现这里的GCDFC就是前面扩展欧几里德算法中的G。</t>
  </si>
  <si>
    <t>由于F等于C加P，</t>
  </si>
  <si>
    <t>因此GCDFC和GCDFP是相等的。</t>
  </si>
  <si>
    <t>并且GX的最高次数为2撇等于n减2等于0，</t>
  </si>
  <si>
    <t>这里矩阵B不可逆，</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</si>
  <si>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</si>
  <si>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</si>
  <si>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</si>
  <si>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</si>
  <si>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</si>
  <si>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</si>
  <si>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</si>
  <si>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</si>
  <si>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</si>
  <si>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</si>
  <si>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</si>
  <si>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</si>
  <si>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</si>
  <si>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</si>
  <si>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</si>
  <si>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</si>
  <si>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</si>
  <si>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</si>
  <si>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</si>
  <si>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</si>
  <si>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</si>
  <si>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</si>
  <si>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</si>
  <si>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</si>
  <si>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</si>
  <si>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</si>
  <si>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</si>
  <si>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</si>
  <si>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</si>
  <si>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由于矩阵地是由矩阵H生成的，</t>
  </si>
  <si>
    <t>四前二撇等于二行，</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</si>
  <si>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</si>
  <si>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</si>
  <si>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</si>
  <si>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</si>
  <si>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</si>
  <si>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</si>
  <si>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</si>
  <si>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这次Z被彻底消去了，</t>
  </si>
  <si>
    <t>也就求得了最终的X。</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</si>
  <si>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</si>
  <si>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</si>
  <si>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</si>
  <si>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</si>
  <si>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</si>
  <si>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</si>
  <si>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</si>
  <si>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向量和矩阵的乘法，</t>
  </si>
  <si>
    <t>暂时就不研究了。</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</si>
  <si>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</si>
  <si>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</si>
  <si>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</si>
  <si>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</si>
  <si>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</si>
  <si>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</si>
  <si>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</si>
  <si>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</si>
  <si>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</si>
  <si>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</si>
  <si>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</si>
  <si>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</si>
  <si>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</si>
  <si>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</si>
  <si>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</si>
  <si>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</si>
  <si>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</si>
  <si>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</si>
  <si>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</si>
  <si>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</si>
  <si>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</si>
  <si>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</si>
  <si>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</si>
  <si>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</si>
  <si>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</si>
  <si>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</si>
  <si>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</si>
  <si>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</si>
  <si>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</si>
  <si>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</si>
  <si>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</si>
  <si>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</si>
  <si>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</si>
  <si>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</si>
  <si>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</si>
  <si>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</si>
  <si>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</si>
  <si>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</si>
  <si>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</si>
  <si>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</si>
  <si>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</si>
  <si>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</si>
  <si>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</si>
  <si>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</si>
  <si>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</si>
  <si>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</si>
  <si>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</si>
  <si>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</si>
  <si>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</si>
  <si>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</si>
  <si>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</si>
  <si>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</si>
  <si>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</si>
  <si>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</si>
  <si>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</si>
  <si>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</si>
  <si>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</si>
  <si>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</si>
  <si>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</si>
  <si>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</si>
  <si>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</si>
  <si>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</si>
  <si>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</si>
  <si>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</si>
  <si>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</si>
  <si>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</si>
  <si>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</si>
  <si>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</si>
  <si>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</si>
  <si>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</si>
  <si>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</si>
  <si>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</si>
  <si>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</si>
  <si>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</si>
  <si>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</si>
  <si>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</si>
  <si>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</si>
  <si>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</si>
  <si>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</si>
  <si>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</si>
  <si>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</si>
  <si>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</si>
  <si>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</si>
  <si>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</si>
  <si>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</si>
  <si>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</si>
  <si>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</si>
  <si>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</si>
  <si>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</si>
  <si>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</si>
  <si>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</si>
  <si>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</si>
  <si>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</si>
  <si>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</si>
  <si>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</si>
  <si>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</si>
  <si>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</si>
  <si>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</si>
  <si>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</si>
  <si>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</si>
  <si>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</si>
  <si>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</si>
  <si>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</si>
  <si>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</si>
  <si>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</si>
  <si>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</si>
  <si>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</si>
  <si>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</si>
  <si>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</si>
  <si>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</si>
  <si>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</si>
  <si>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</si>
  <si>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</si>
  <si>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</si>
  <si>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</si>
  <si>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</si>
  <si>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</si>
  <si>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</si>
  <si>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</si>
  <si>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</si>
  <si>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</si>
  <si>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</si>
  <si>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</si>
  <si>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</si>
  <si>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</si>
  <si>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</si>
  <si>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将g(x)写成矩阵的形式，记为G。</t>
  </si>
  <si>
    <t>不难注意到，只有当矩阵B为可逆矩阵时，g(x)=1，并且g(x)的最高次数为r'=n-r=0。</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</si>
  <si>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</si>
  <si>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</si>
  <si>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</si>
  <si>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</si>
  <si>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</si>
  <si>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</si>
  <si>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</si>
  <si>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</si>
  <si>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</si>
  <si>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</si>
  <si>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</si>
  <si>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</si>
  <si>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</si>
  <si>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</si>
  <si>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</si>
  <si>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</si>
  <si>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</si>
  <si>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</si>
  <si>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</si>
  <si>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</si>
  <si>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</si>
  <si>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</si>
  <si>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</si>
  <si>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</si>
  <si>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</si>
  <si>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</si>
  <si>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</si>
  <si>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</si>
  <si>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</si>
  <si>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</si>
  <si>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</si>
  <si>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</si>
  <si>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</si>
  <si>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</si>
  <si>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</si>
  <si>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</si>
  <si>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</si>
  <si>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</si>
  <si>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</si>
  <si>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</si>
  <si>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</si>
  <si>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</si>
  <si>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</si>
  <si>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</si>
  <si>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</si>
  <si>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</si>
  <si>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</si>
  <si>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</si>
  <si>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</si>
  <si>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</si>
  <si>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</si>
  <si>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</si>
  <si>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</si>
  <si>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</si>
  <si>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</si>
  <si>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</si>
  <si>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</si>
  <si>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</si>
  <si>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</si>
  <si>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</si>
  <si>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</si>
  <si>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</si>
  <si>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</si>
  <si>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</si>
  <si>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</si>
  <si>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</si>
  <si>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</si>
  <si>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</si>
  <si>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</si>
  <si>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</si>
  <si>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</si>
  <si>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</si>
  <si>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</si>
  <si>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</si>
  <si>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</si>
  <si>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</si>
  <si>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</si>
  <si>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</si>
  <si>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</si>
  <si>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</si>
  <si>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</si>
  <si>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</si>
  <si>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</si>
  <si>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</si>
  <si>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</si>
  <si>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</si>
  <si>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</si>
  <si>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</si>
  <si>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</si>
  <si>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</si>
  <si>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</si>
  <si>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</si>
  <si>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</si>
  <si>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</si>
  <si>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</si>
  <si>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</si>
  <si>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</si>
  <si>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</si>
  <si>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</si>
  <si>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</si>
  <si>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</si>
  <si>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</si>
  <si>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</si>
  <si>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</si>
  <si>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</si>
  <si>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</si>
  <si>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</si>
  <si>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</si>
  <si>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</si>
  <si>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</si>
  <si>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</si>
  <si>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</si>
  <si>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</si>
  <si>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</si>
  <si>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</si>
  <si>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</si>
  <si>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</si>
  <si>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</si>
  <si>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</si>
  <si>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</si>
  <si>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因此我们可以在公式中去除外，</t>
  </si>
  <si>
    <t>也就是按钮是前一行的左中右的按钮和上上行的按钮的叠加，</t>
  </si>
  <si>
    <t>翻转是前面所有按钮的翻转叠加后提取出来的，</t>
  </si>
  <si>
    <t>然后递推也可以得到第二个矩阵最后一行按钮和灯的状态。</t>
  </si>
  <si>
    <t>翻转向量也可以用相似的方法推得。</t>
  </si>
  <si>
    <t>我们把所有灯全部点亮，</t>
  </si>
  <si>
    <t>这N个矩阵都满足十字偶校验约束，</t>
  </si>
  <si>
    <t>因此这里的公式省去了N。</t>
  </si>
  <si>
    <t>只不过N和Y调换了，</t>
  </si>
  <si>
    <t>例如n等于70，</t>
  </si>
  <si>
    <t>把y的第一行写在一起是这样的，</t>
  </si>
  <si>
    <t>等同于将向量V的每个元素向左右扩散后叠加。</t>
  </si>
  <si>
    <t>B2分别表示为H的不同次数的叠加，</t>
  </si>
  <si>
    <t>将这些H的系数用多项式CNX表示，</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</si>
  <si>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</si>
  <si>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</si>
  <si>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</si>
  <si>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</si>
  <si>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</si>
  <si>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</si>
  <si>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</si>
  <si>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</si>
  <si>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</si>
  <si>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</si>
  <si>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</si>
  <si>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</si>
  <si>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</si>
  <si>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</si>
  <si>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</si>
  <si>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</si>
  <si>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</si>
  <si>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</si>
  <si>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</si>
  <si>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</si>
  <si>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</si>
  <si>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</si>
  <si>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具有带状上三角的可回带结构，</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</si>
  <si>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</si>
  <si>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</si>
  <si>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</si>
  <si>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</si>
  <si>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</si>
  <si>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</si>
  <si>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</si>
  <si>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</si>
  <si>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</si>
  <si>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</si>
  <si>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</si>
  <si>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</si>
  <si>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</si>
  <si>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</si>
  <si>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</si>
  <si>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由此，</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</si>
  <si>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</si>
  <si>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</si>
  <si>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</si>
  <si>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</si>
  <si>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</si>
  <si>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</si>
  <si>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</si>
  <si>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</si>
  <si>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二后二等于三行，</t>
  </si>
  <si>
    <t>任意一行都不能由别的行叠加及线性无关，</t>
  </si>
  <si>
    <t>这是因为矩阵D是由GH生成的，</t>
  </si>
  <si>
    <t>考虑到UP主信号与系统，</t>
  </si>
  <si>
    <t>数字信号处理，</t>
  </si>
  <si>
    <t>我们以N等于5为例，</t>
  </si>
  <si>
    <t>也就是矩阵D的第一行，</t>
  </si>
  <si>
    <t>因此，如果g(x)不为1，则q(x)不满足q(x)p(x)=1 mod f(x)。或者说，满足q(x)p(x)=1的q(x)不存在。</t>
  </si>
  <si>
    <t>这次，我们需要用反向叠加法来求x。我们以n=5为例。</t>
  </si>
  <si>
    <t>第n行第n减二撇等于n减二个元素为一，</t>
  </si>
  <si>
    <t>而是把多个QX拼接起来的结果。</t>
  </si>
  <si>
    <t>那就是我们假设满足QXPX等于一modFX的多项式QX存在，</t>
  </si>
  <si>
    <t>如果这样的多项式QX不存在，</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</si>
  <si>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</si>
  <si>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</si>
  <si>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</si>
  <si>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</si>
  <si>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</si>
  <si>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</si>
  <si>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</si>
  <si>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</si>
  <si>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00:02:18,480 --&gt; 00:02:21,560</t>
  </si>
  <si>
    <t>00:02:21,560 --&gt; 00:02:23,120</t>
  </si>
  <si>
    <t>而旁边的翻转向量。</t>
  </si>
  <si>
    <t>00:02:23,400 --&gt; 00:02:28,080</t>
  </si>
  <si>
    <t>00:02:28,080 --&gt; 00:02:31,520</t>
  </si>
  <si>
    <t>00:02:31,520 --&gt; 00:02:34,600</t>
  </si>
  <si>
    <t>00:02:34,600 --&gt; 00:02:36,840</t>
  </si>
  <si>
    <t>00:02:38,320 --&gt; 00:02:39,320</t>
  </si>
  <si>
    <t>00:02:39,320 --&gt; 00:02:42,720</t>
  </si>
  <si>
    <t>00:02:42,880 --&gt; 00:02:47,040</t>
  </si>
  <si>
    <t>00:02:47,040 --&gt; 00:02:47,600</t>
  </si>
  <si>
    <t>00:02:47,680 --&gt; 00:02:52,200</t>
  </si>
  <si>
    <t>00:02:53,600 --&gt; 00:02:56,800</t>
  </si>
  <si>
    <t>00:02:56,800 --&gt; 00:02:58,920</t>
  </si>
  <si>
    <t>00:02:59,040 --&gt; 00:03:02,280</t>
  </si>
  <si>
    <t>00:03:02,280 --&gt; 00:03:08,640</t>
  </si>
  <si>
    <t>00:03:08,640 --&gt; 00:03:12,880</t>
  </si>
  <si>
    <t>00:03:14,480 --&gt; 00:03:15,040</t>
  </si>
  <si>
    <t>00:03:15,280 --&gt; 00:03:21,680</t>
  </si>
  <si>
    <t>00:03:21,680 --&gt; 00:03:26,240</t>
  </si>
  <si>
    <t>00:03:27,760 --&gt; 00:03:28,880</t>
  </si>
  <si>
    <t>00:03:28,880 --&gt; 00:03:32,400</t>
  </si>
  <si>
    <t>00:03:32,880 --&gt; 00:03:36,760</t>
  </si>
  <si>
    <t>00:03:36,760 --&gt; 00:03:41,080</t>
  </si>
  <si>
    <t>00:03:41,280 --&gt; 00:03:43,800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</si>
  <si>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</si>
  <si>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</si>
  <si>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</si>
  <si>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</si>
  <si>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</si>
  <si>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</si>
  <si>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</si>
  <si>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</si>
  <si>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</si>
  <si>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00:04:20,960 --&gt; 00:04:23,600</t>
  </si>
  <si>
    <t>00:04:24,160 --&gt; 00:04:28,800</t>
  </si>
  <si>
    <t>00:04:30,240 --&gt; 00:04:33,680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</si>
  <si>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</si>
  <si>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</si>
  <si>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</si>
  <si>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</si>
  <si>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</si>
  <si>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</si>
  <si>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</si>
  <si>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</si>
  <si>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</si>
  <si>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</si>
  <si>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</si>
  <si>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</si>
  <si>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</si>
  <si>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</si>
  <si>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</si>
  <si>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00:05:10,480 --&gt; 00:05:12,320</t>
  </si>
  <si>
    <t>因为最后一次推倒的是灯，</t>
  </si>
  <si>
    <t>00:05:12,320 --&gt; 00:05:14,240</t>
  </si>
  <si>
    <t>因此按钮也是五行。</t>
  </si>
  <si>
    <t>00:05:15,760 --&gt; 00:05:17,000</t>
  </si>
  <si>
    <t>对于翻转的情况，</t>
  </si>
  <si>
    <t>00:05:17,000 --&gt; 00:05:18,440</t>
  </si>
  <si>
    <t>则可以单独列出来，</t>
  </si>
  <si>
    <t>00:05:18,440 --&gt; 00:05:19,960</t>
  </si>
  <si>
    <t>00:05:19,960 --&gt; 00:05:22,720</t>
  </si>
  <si>
    <t>写成公式外。</t>
  </si>
  <si>
    <t>00:05:22,720 --&gt; 00:05:24,880</t>
  </si>
  <si>
    <t>即后一行的翻转是前一行，</t>
  </si>
  <si>
    <t>00:05:24,880 --&gt; 00:05:29,160</t>
  </si>
  <si>
    <t>左中右和上上行叠加后的翻转。</t>
  </si>
  <si>
    <t>00:05:29,160 --&gt; 00:05:33,800</t>
  </si>
  <si>
    <t>可以注意到这里的公式外和公式B的推导公式是类似的。</t>
  </si>
  <si>
    <t>00:05:34,320 --&gt; 00:05:37,120</t>
  </si>
  <si>
    <t>只不过Y是从0向量开始推导的，</t>
  </si>
  <si>
    <t>00:05:37,120 --&gt; 00:05:43,040</t>
  </si>
  <si>
    <t>并且不能省略翻转符号非1使用0向量，</t>
  </si>
  <si>
    <t>00:05:43,040 --&gt; 00:05:46,360</t>
  </si>
  <si>
    <t>第一次翻转发生在从1到2行的推导过程中，</t>
  </si>
  <si>
    <t>00:05:46,360 --&gt; 00:05:48,520</t>
  </si>
  <si>
    <t>00:05:48,720 --&gt; 00:05:53,080</t>
  </si>
  <si>
    <t>因此Y的第一行是全0，</t>
  </si>
  <si>
    <t>00:05:53,080 --&gt; 00:05:55,640</t>
  </si>
  <si>
    <t>2翻转符号非必须存在，</t>
  </si>
  <si>
    <t>00:05:55,640 --&gt; 00:05:57,360</t>
  </si>
  <si>
    <t>00:05:57,360 --&gt; 00:05:59,160</t>
  </si>
  <si>
    <t>00:05:59,160 --&gt; 00:06:01,440</t>
  </si>
  <si>
    <t>00:06:01,440 --&gt; 00:06:03,320</t>
  </si>
  <si>
    <t>因此不用翻转符号非。</t>
  </si>
  <si>
    <t>00:06:05,120 --&gt; 00:06:07,360</t>
  </si>
  <si>
    <t>三不使用X而使用Y，</t>
  </si>
  <si>
    <t>00:06:08,000 --&gt; 00:06:11,520</t>
  </si>
  <si>
    <t>00:06:11,520 --&gt; 00:06:13,480</t>
  </si>
  <si>
    <t>00:06:13,480 --&gt; 00:06:16,640</t>
  </si>
  <si>
    <t>00:06:16,640 --&gt; 00:06:17,280</t>
  </si>
  <si>
    <t>00:06:17,360 --&gt; 00:06:20,800</t>
  </si>
  <si>
    <t>00:06:22,400 --&gt; 00:06:23,040</t>
  </si>
  <si>
    <t>00:06:23,040 --&gt; 00:06:24,400</t>
  </si>
  <si>
    <t>00:06:24,400 --&gt; 00:06:27,040</t>
  </si>
  <si>
    <t>00:06:27,040 --&gt; 00:06:29,040</t>
  </si>
  <si>
    <t>00:06:29,120 --&gt; 00:06:30,760</t>
  </si>
  <si>
    <t>00:06:32,320 --&gt; 00:06:35,640</t>
  </si>
  <si>
    <t>接着按第三行按钮消去第二行的灯，</t>
  </si>
  <si>
    <t>00:06:35,640 --&gt; 00:06:37,760</t>
  </si>
  <si>
    <t>不断递推直到最后一行。</t>
  </si>
  <si>
    <t>00:06:39,280 --&gt; 00:06:45,800</t>
  </si>
  <si>
    <t>最终最后一行按钮和灯的状态和前面推得的矩阵是一样的。</t>
  </si>
  <si>
    <t>00:06:45,800 --&gt; 00:06:49,400</t>
  </si>
  <si>
    <t>00:06:49,400 --&gt; 00:06:54,200</t>
  </si>
  <si>
    <t>00:06:55,680 --&gt; 00:06:56,880</t>
  </si>
  <si>
    <t>00:06:56,880 --&gt; 00:06:59,880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</si>
  <si>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</si>
  <si>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</si>
  <si>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</si>
  <si>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</si>
  <si>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</si>
  <si>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</si>
  <si>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</si>
  <si>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</si>
  <si>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</si>
  <si>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</si>
  <si>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00:07:28,200 --&gt; 00:07:29,960</t>
  </si>
  <si>
    <t>我们将矩阵的行重排。</t>
  </si>
  <si>
    <t>00:07:30,560 --&gt; 00:07:32,920</t>
  </si>
  <si>
    <t>其实是调换了N和Y的位置，</t>
  </si>
  <si>
    <t>00:07:32,920 --&gt; 00:07:38,600</t>
  </si>
  <si>
    <t>00:07:38,600 --&gt; 00:07:41,560</t>
  </si>
  <si>
    <t>00:07:41,560 --&gt; 00:07:44,000</t>
  </si>
  <si>
    <t>00:07:44,240 --&gt; 00:07:46,440</t>
  </si>
  <si>
    <t>00:07:48,000 --&gt; 00:07:50,120</t>
  </si>
  <si>
    <t>00:07:50,120 --&gt; 00:07:51,920</t>
  </si>
  <si>
    <t>00:07:51,920 --&gt; 00:07:53,840</t>
  </si>
  <si>
    <t>00:07:55,280 --&gt; 00:07:57,200</t>
  </si>
  <si>
    <t>这是一个十分重要的性质。</t>
  </si>
  <si>
    <t>00:07:57,760 --&gt; 00:08:02,800</t>
  </si>
  <si>
    <t>使用这个性质可以由第一个灯直接推到后面的灯，</t>
  </si>
  <si>
    <t>00:08:02,800 --&gt; 00:08:05,360</t>
  </si>
  <si>
    <t>00:08:05,360 --&gt; 00:08:08,080</t>
  </si>
  <si>
    <t>00:08:09,600 --&gt; 00:08:14,480</t>
  </si>
  <si>
    <t>下面让我们用数学归纳法证明这个性质，</t>
  </si>
  <si>
    <t>00:08:14,480 --&gt; 00:08:18,120</t>
  </si>
  <si>
    <t>00:08:18,120 --&gt; 00:08:20,760</t>
  </si>
  <si>
    <t>00:08:22,320 --&gt; 00:08:22,840</t>
  </si>
  <si>
    <t>00:08:22,840 --&gt; 00:08:27,960</t>
  </si>
  <si>
    <t>我们假定前两个矩阵bn减1和bn减2满足这个性质，</t>
  </si>
  <si>
    <t>00:08:28,160 --&gt; 00:08:32,520</t>
  </si>
  <si>
    <t>现在来证明bn也满足这个性质。</t>
  </si>
  <si>
    <t>00:08:32,520 --&gt; 00:08:37,720</t>
  </si>
  <si>
    <t>00:08:37,720 --&gt; 00:08:38,560</t>
  </si>
  <si>
    <t>对于bn，</t>
  </si>
  <si>
    <t>00:08:38,560 --&gt; 00:08:40,920</t>
  </si>
  <si>
    <t>00:08:40,920 --&gt; 00:08:44,960</t>
  </si>
  <si>
    <t>00:08:44,960 --&gt; 00:08:47,640</t>
  </si>
  <si>
    <t>00:08:47,640 --&gt; 00:08:51,120</t>
  </si>
  <si>
    <t>现在重新排列项目顺序将y和n调换。</t>
  </si>
  <si>
    <t>00:08:51,360 --&gt; 00:08:54,560</t>
  </si>
  <si>
    <t>类似优化生成矩阵章节中的调换操作，</t>
  </si>
  <si>
    <t>00:08:56,080 --&gt; 00:08:58,600</t>
  </si>
  <si>
    <t>不难发现这四项属于B、</t>
  </si>
  <si>
    <t>00:08:58,600 --&gt; 00:09:00,360</t>
  </si>
  <si>
    <t>N减1或B、</t>
  </si>
  <si>
    <t>00:09:00,480 --&gt; 00:09:01,080</t>
  </si>
  <si>
    <t>N减2，</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</si>
  <si>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</si>
  <si>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</si>
  <si>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</si>
  <si>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</si>
  <si>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</si>
  <si>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</si>
  <si>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</si>
  <si>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</si>
  <si>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</si>
  <si>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</si>
  <si>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</si>
  <si>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00:09:31,120 --&gt; 00:09:33,840</t>
  </si>
  <si>
    <t>因此第二个矩阵也满足这个性质，</t>
  </si>
  <si>
    <t>00:09:35,360 --&gt; 00:09:37,320</t>
  </si>
  <si>
    <t>00:09:37,520 --&gt; 00:09:42,320</t>
  </si>
  <si>
    <t>我们只需要知道BN的第一行就能通过公式推导出后续的行，</t>
  </si>
  <si>
    <t>00:09:42,480 --&gt; 00:09:44,320</t>
  </si>
  <si>
    <t>00:09:46,000 --&gt; 00:09:48,600</t>
  </si>
  <si>
    <t>00:09:48,720 --&gt; 00:09:51,000</t>
  </si>
  <si>
    <t>00:09:51,000 --&gt; 00:09:53,360</t>
  </si>
  <si>
    <t>00:09:53,520 --&gt; 00:09:56,120</t>
  </si>
  <si>
    <t>00:09:57,760 --&gt; 00:09:59,960</t>
  </si>
  <si>
    <t>我们以N等于7为例，</t>
  </si>
  <si>
    <t>00:09:59,960 --&gt; 00:10:03,240</t>
  </si>
  <si>
    <t>00:10:03,520 --&gt; 00:10:06,000</t>
  </si>
  <si>
    <t>00:10:06,160 --&gt; 00:10:08,080</t>
  </si>
  <si>
    <t>00:10:09,520 --&gt; 00:10:12,800</t>
  </si>
  <si>
    <t>我们的目标是对于BX等于Y。</t>
  </si>
  <si>
    <t>00:10:13,040 --&gt; 00:10:16,160</t>
  </si>
  <si>
    <t>在已知B的第一行和Y的情况下求X，</t>
  </si>
  <si>
    <t>00:10:17,680 --&gt; 00:10:21,360</t>
  </si>
  <si>
    <t>00:10:21,360 --&gt; 00:10:23,360</t>
  </si>
  <si>
    <t>00:10:24,800 --&gt; 00:10:29,920</t>
  </si>
  <si>
    <t>注意这里的B撇矩阵不是刚才说的当N确定时的完整的矩阵B，</t>
  </si>
  <si>
    <t>00:10:30,160 --&gt; 00:10:34,360</t>
  </si>
  <si>
    <t>而是BN的第一行拼接起来的结果。</t>
  </si>
  <si>
    <t>00:10:34,360 --&gt; 00:10:34,880</t>
  </si>
  <si>
    <t>00:10:34,880 --&gt; 00:10:36,560</t>
  </si>
  <si>
    <t>这里从N等于0开始，</t>
  </si>
  <si>
    <t>00:10:36,560 --&gt; 00:10:37,800</t>
  </si>
  <si>
    <t>一共递推N次，</t>
  </si>
  <si>
    <t>00:10:38,000 --&gt; 00:10:41,200</t>
  </si>
  <si>
    <t>最后一个1不包含在矩阵B的第一行内。</t>
  </si>
  <si>
    <t>00:10:41,760 --&gt; 00:10:43,280</t>
  </si>
  <si>
    <t>00:10:43,600 --&gt; 00:10:45,880</t>
  </si>
  <si>
    <t>00:10:45,880 --&gt; 00:10:52,080</t>
  </si>
  <si>
    <t>最后一个一省去改写后的矩阵即为b撇撇等于b撇加i，</t>
  </si>
  <si>
    <t>00:10:53,520 --&gt; 00:10:56,000</t>
  </si>
  <si>
    <t>记为y撇合并在一起后的y撇有以上递推公式，</t>
  </si>
  <si>
    <t>我们需要将矩阵b进行分解，</t>
  </si>
  <si>
    <t>这里介绍一个非常重要的矩阵h。</t>
  </si>
  <si>
    <t>称为邻接扩散矩阵，</t>
  </si>
  <si>
    <t>如果X和Y得差为10取1，</t>
  </si>
  <si>
    <t>否则取0。</t>
  </si>
  <si>
    <t>不难发现首行叠加法中的各个矩阵B可以用H表示为以上公式。</t>
  </si>
  <si>
    <t>则有和矩阵B类似的递推公式，</t>
  </si>
  <si>
    <t>因此表达式中只有X减1而没有X加1。</t>
  </si>
  <si>
    <t>也就是H的n次方，</t>
  </si>
  <si>
    <t>将其首行H的n次方0拼接起来，</t>
  </si>
  <si>
    <t>看起来像是这样的。</t>
  </si>
  <si>
    <t>我们把这个下三角矩阵即为K，</t>
  </si>
  <si>
    <t>又称克雷洛夫矩阵或扩散机矩阵。</t>
  </si>
  <si>
    <t>也就是前一行的左右扩散。</t>
  </si>
  <si>
    <t>对于K的每个元素有以上递推公式。</t>
  </si>
  <si>
    <t>这样原始求X的问题就转化为了PHX等于Y，</t>
  </si>
  <si>
    <t>现在我们需要把多项式PH的系数计算出来，</t>
  </si>
  <si>
    <t>这个系数构成的向量我们记为P。</t>
  </si>
  <si>
    <t>我们只关心矩阵第一行B零，</t>
  </si>
  <si>
    <t>即为B。</t>
  </si>
  <si>
    <t>根据刚才K的定义，</t>
  </si>
  <si>
    <t>我们可以得到B等于KP。</t>
  </si>
  <si>
    <t>又称反克雷洛夫矩阵或解偶矩阵。</t>
  </si>
  <si>
    <t>使用这两个性质构造的矩阵K和F可以证明S等于KF为单位矩阵i</t>
  </si>
  <si>
    <t>提示矩阵S等于KF满足10字偶校验约束，</t>
  </si>
  <si>
    <t>这里说明一下矩阵F的每行对应多项式FNX。</t>
  </si>
  <si>
    <t>同时BN矩阵也可以表示为以上形式。</t>
  </si>
  <si>
    <t>我们便求出了P，</t>
  </si>
  <si>
    <t>因此写为P等于FB，</t>
  </si>
  <si>
    <t>则有P等于B撇撇F，</t>
  </si>
  <si>
    <t>这里省去了转置符号。</t>
  </si>
  <si>
    <t>而只需要B的第一行及向量B，</t>
  </si>
  <si>
    <t>通过FX和PX来求QX。</t>
  </si>
  <si>
    <t>欧几里德算法，</t>
  </si>
  <si>
    <t>现在我们定义多项式PX，</t>
  </si>
  <si>
    <t>计算K和F也是如此，</t>
  </si>
  <si>
    <t>从而无需BC或F在ON的时间内由P的递推公式直接推得。</t>
  </si>
  <si>
    <t>例如当n等于5时，</t>
  </si>
  <si>
    <t>由此得到的GX不为一，</t>
  </si>
  <si>
    <t>且最高次数为四。</t>
  </si>
  <si>
    <t>得到的GX也不为一。</t>
  </si>
  <si>
    <t>其最高次数为二。</t>
  </si>
  <si>
    <t>发现求得的X也不是正确的解。</t>
  </si>
  <si>
    <t>两种方法求得的QX和GX都不相同，</t>
  </si>
  <si>
    <t>GX都不唯一，</t>
  </si>
  <si>
    <t>并且QHY也都不是正确的解。</t>
  </si>
  <si>
    <t>如果GX不唯一，</t>
  </si>
  <si>
    <t>整理后，</t>
  </si>
  <si>
    <t>如果GX等于1，</t>
  </si>
  <si>
    <t>则会有右边这些式子。</t>
  </si>
  <si>
    <t>前面使用的扩展欧几里得法中，</t>
  </si>
  <si>
    <t>不考虑前二行。</t>
  </si>
  <si>
    <t>由于结果是相同的，</t>
  </si>
  <si>
    <t>谢谢观看。</t>
  </si>
  <si>
    <t>此外刚才递推得到的矩阵C对应的多项式CNX等价于解的数量章节</t>
  </si>
  <si>
    <t>中提到的FNX加1，</t>
  </si>
  <si>
    <t>将多项式PX写成矩阵的形式记为P，</t>
  </si>
  <si>
    <t>如果有一个多项式QX满足QXPX等于一modFX，</t>
  </si>
  <si>
    <t>现在我们以2乘2为界，</t>
  </si>
  <si>
    <t>可以发现Q撇不满足十四偶校验约束，</t>
  </si>
  <si>
    <t>现在我们定义多项是Q撇X满足Q撇XPX等于GXmodFX。</t>
  </si>
  <si>
    <t>其中GX也就是刚才提到的最大公因子Q撇X就是刚才求得的QX。</t>
  </si>
  <si>
    <t>由于原本求得的X并不是正确的解，</t>
  </si>
  <si>
    <t>我们将其重命名为Z即Z等于Q撇HY。</t>
  </si>
  <si>
    <t>即Q撇X，</t>
  </si>
  <si>
    <t>P撇X等于1modFX。</t>
  </si>
  <si>
    <t>其质与矩阵B相同，</t>
  </si>
  <si>
    <t>也请小伙伴们多多留言和指正，</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</si>
  <si>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</si>
  <si>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</si>
  <si>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</si>
  <si>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</si>
  <si>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</si>
  <si>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</si>
  <si>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</si>
  <si>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</si>
  <si>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</si>
  <si>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</si>
  <si>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</si>
  <si>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</si>
  <si>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</si>
  <si>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</si>
  <si>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</si>
  <si>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</si>
  <si>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</si>
  <si>
    <t>00:00:00.000 点灯游戏的O(n²)解法</t>
  </si>
  <si>
    <t>00:00:27.833 首行叠加法（续上集）</t>
  </si>
  <si>
    <t>Distant_Calls</t>
    <phoneticPr fontId="1" type="noConversion"/>
  </si>
  <si>
    <t>alphacentauri</t>
    <phoneticPr fontId="1" type="noConversion"/>
  </si>
  <si>
    <t>insearchoflife</t>
    <phoneticPr fontId="1" type="noConversion"/>
  </si>
  <si>
    <t>Toilet Story 4</t>
    <phoneticPr fontId="1" type="noConversion"/>
  </si>
  <si>
    <t>Dead Feelings</t>
    <phoneticPr fontId="1" type="noConversion"/>
  </si>
  <si>
    <t>Toilet Story 3</t>
  </si>
  <si>
    <t>Toilet Story 6</t>
  </si>
  <si>
    <t>Fallen Down</t>
  </si>
  <si>
    <t>infinitebeing</t>
  </si>
  <si>
    <t>event_11</t>
  </si>
  <si>
    <t>Toilet Story 2</t>
    <phoneticPr fontId="1" type="noConversion"/>
  </si>
  <si>
    <t>00:01:38.433 让我们举一个具体的例子。在5×5的格子中，我们将按钮和灯编号为1—25。</t>
  </si>
  <si>
    <t>00:01:46.633 在《叠加法》中，我们将灯表示为所有按钮的叠加。例如：L1=B1⊕B2⊕B6，L6=B1⊕B6⊕B7⊕B11。</t>
  </si>
  <si>
    <t>00:01:59.733 通过这种方法，我们得到了25个未知数的一次方程组。我们将其写成增广矩阵，也就是按钮矩阵和翻转向量，即灯向量的形式。</t>
  </si>
  <si>
    <t>00:02:12.933 而在《首行叠加法》中，我们需要把灯表示为第一行按钮的叠加。</t>
  </si>
  <si>
    <t>00:02:19.367 这里的五个矩阵，分别代表第y列是由第一行的哪几个按钮叠加的。</t>
  </si>
  <si>
    <t>00:02:25.967 由于按法是动态的，当第二行按钮还未被按下时，L1=B1⊕B2，即第一个灯L1是由第一行的第一、第二个按钮B1,B2叠加的。</t>
  </si>
  <si>
    <t>00:02:39.167 然后，B6=¬L1=¬(B1⊕B2)，即第六个按钮B6是第一个灯L1的翻转。因此，第二行按钮B6和第一行灯L1的叠加状态是相同的。</t>
  </si>
  <si>
    <t>00:02:53.867 只不过B6是L1的翻转。而旁边的翻转向量，代表的就是按钮或灯有没有翻转。</t>
  </si>
  <si>
    <t>00:03:03.567 例如，当第一个向量的第一个灯L1亮起时，表示L1除了由刚才说的按钮叠加外，还需要翻转才是正确的状态。</t>
  </si>
  <si>
    <t>00:03:14.167 同理，B7=¬L2=¬(B1⊕B2⊕B3)，即第七个按钮B7是第二个灯L2的翻转。同样，第二行的按钮B7和第一行灯L2的叠加状态是相同的。</t>
  </si>
  <si>
    <t>00:03:30.167 这里，我们将第一个按钮B1的状态补全，将B1用第一行的按钮叠加时，有B1=B1。</t>
  </si>
  <si>
    <t>00:03:39.067 接下来我们来看第六个灯。L6=B1⊕B6⊕B7=B1⊕¬(B1⊕B2)⊕¬(B1⊕B2⊕B3)=B1⊕B3。</t>
  </si>
  <si>
    <t>00:03:51.867 又比如，L7=B2⊕B6⊕B7⊕B8=B2⊕¬(B1⊕B2)⊕¬(B1⊕B2⊕B3)⊕¬(B2⊕B3⊕B4)=¬B4。</t>
  </si>
  <si>
    <t>00:04:05.467 这样不断递推，我们可以将任意L表示为B1—B5的叠加。加上翻转后，得到完整的矩阵。</t>
  </si>
  <si>
    <t>00:04:16.400 现在，如果我们把序号1—25用坐标x,y表示，则按钮和灯可写为以上公式。让我们以L7(2)=L(2,2,2)为例。</t>
  </si>
  <si>
    <t>00:04:29.867 这里，我们的矩阵同时满足另一个性质，让我们称之为十字偶校验约束。</t>
  </si>
  <si>
    <t>00:04:36.967 某个元素的左右两个矩阵的对应位置的元素，和元素所在矩阵左右两个元素的叠加后为零。</t>
  </si>
  <si>
    <t>00:04:45.367 这也就是上集视频中《优化生成矩阵》章节中的性质，之后会给出证明。</t>
  </si>
  <si>
    <t>00:04:53.167 通过这个性质，递推公式可化为只根据当前矩阵的元素来叠加，无需依赖于左右矩阵。</t>
  </si>
  <si>
    <t>00:05:02.167 因此，我们可以在公式中去除y。于是，灯可以表示为当前矩阵的上左中右的按钮的叠加。</t>
  </si>
  <si>
    <t>00:05:11.567 又因为，后一行的按钮是前一行灯的翻转，而后一行的灯是上左中右的灯的翻转的叠加。</t>
  </si>
  <si>
    <t>00:05:21.267 因此，如果把翻转¬提取出来，便有了一开始的推导公式。</t>
  </si>
  <si>
    <t>00:05:27.367 也就是，按钮是前一行的左中右的按钮和上上行的按钮的叠加。以及，灯是前一行的左中右的按钮和上上行的灯的叠加。</t>
  </si>
  <si>
    <t>00:05:39.267 可以注意到，按钮和灯的递推公式具有相同的形式，这是因为前一行灯就是后一行按钮。</t>
  </si>
  <si>
    <t>00:05:48.367 因为最终需要推导的是灯，因此灯是从按钮的第一行推导5行。因为最后一次推导的是灯，因此按钮也是5行。</t>
  </si>
  <si>
    <t>00:05:59.567 对于翻转的情况，则可以单独列出来，以类似的方法推导，写成公式Y。</t>
  </si>
  <si>
    <t>00:06:06.667 即后一行的翻转是前一行左中右和上上行叠加后的翻转。</t>
  </si>
  <si>
    <t>00:06:13.267 可以注意到，这里的公式Y和公式B的推导公式是类似的。只不过，Y是从零向量开始推导的，并且不能省略翻转符号¬。</t>
  </si>
  <si>
    <t>00:06:25.367 1. 使用零向量：第一次翻转发生在从一到二行的推导过程中，在此之前没有发生过翻转，因此Y的第一行是全零。</t>
  </si>
  <si>
    <t>00:06:37.467 2. 翻转符号¬必须存在：每次推导都需要翻转，因此不可省略。而前者将这个翻转取出来了，因此不用翻转符号¬。</t>
  </si>
  <si>
    <t>00:06:50.067 3. 不使用x而使用y：翻转是前面所有按钮的翻转叠加后提取出来的，代表的是灯的翻转，而不是某个按钮的翻转。</t>
  </si>
  <si>
    <t>00:07:03.700 事实上，按钮矩阵也可以用另一种更直观的方法推得。</t>
  </si>
  <si>
    <t>00:07:09.800 首先，在第一个矩阵中，我们点击第一行第一个按钮。然后，点击第二行的按钮，尽量消去第一行的灯。</t>
  </si>
  <si>
    <t>00:07:19.800 接着按第三行按钮，消去第二行的灯。不断递推，直到最后一行。</t>
  </si>
  <si>
    <t>00:07:27.200 最终，最后一行按钮和灯的状态，和前面推得的矩阵是一样的。</t>
  </si>
  <si>
    <t>00:07:34.400 同样，在第二个矩阵点击第一行第二个按钮，然后递推，也可以得到第二个矩阵最后一行按钮和灯的状态。</t>
  </si>
  <si>
    <t>00:07:44.600 通过这个方法，我们可以得到所有矩阵最后一行的状态。</t>
  </si>
  <si>
    <t>00:07:52.033 另外，翻转向量也可以用相似的方法推得。</t>
  </si>
  <si>
    <t>00:07:57.133 我们把所有灯全部点亮，然后用刚才的方法尝试把所有灯消去，同样可以得到翻转向量最后一行的状态。</t>
  </si>
  <si>
    <t>00:08:07.167 我们把这种方法称作余数矩阵法，和首行叠加法的原理本质上是相同的，有兴趣的小伙伴可以自行证明。</t>
  </si>
  <si>
    <t>00:08:21.167 在《生成优化矩阵》章节中，我们将矩阵的行重排。其实是调换了n和y的位置，使原来从左到右的第y个矩阵变为了第n个矩阵。</t>
  </si>
  <si>
    <t>00:08:34.600 这n个矩阵都满足十字偶校验约束，即上下左右四个格子叠加为零，因此这里的公式省去了n。</t>
  </si>
  <si>
    <t>00:08:44.500 这里和之前的情况是一样的，只不过n和y调换了，因此位置发生了变化。</t>
  </si>
  <si>
    <t>00:08:52.300 这是一个十分重要的性质。使用这个性质，可以由第一个灯直接推导后面的灯。</t>
  </si>
  <si>
    <t>00:08:59.900 在之后的O(n²)算法中，其本质也是用这个性质进行的优化。</t>
  </si>
  <si>
    <t>00:09:07.000 下面让我们用数学归纳法，证明这个性质。</t>
  </si>
  <si>
    <t>00:09:12.100 由于右边的按钮矩阵就是左边的灯矩阵，为了方便，我们就只看按钮矩阵。</t>
  </si>
  <si>
    <t>00:09:20.300 首先，我们假定前两个矩阵B(n-1)和B(n-2)满足这个性质，现在来证明B(n)也满足这个性质。</t>
  </si>
  <si>
    <t>00:09:31.000 将刚才的矩阵递推关系加上参数y并重写。</t>
  </si>
  <si>
    <t>00:09:36.400 对于B(n)，我们将式子竖着写成四项，然后将递推关系代入这个式子。</t>
  </si>
  <si>
    <t>00:09:43.600 代入后的式子包含16项。现在重新排列项目顺序，将y和n调换，类似《优化生成矩阵》章节中的调换操作。</t>
  </si>
  <si>
    <t>00:09:55.200 不难发现，这四项属于B(n-1)或B(n-2)，并且元素之间的关系满足十字偶校验约束，因此整个式子化为了零。</t>
  </si>
  <si>
    <t>00:10:09.700 现在，我们只需要证明最左边的两个矩阵也满足这个性质即可。第一个矩阵是单位矩阵，显然满足这个性质。</t>
  </si>
  <si>
    <t>00:10:20.300 第二个矩阵可以表示为左边两个矩阵的叠加。由于单位矩阵左边没有矩阵，因此相当于叠加了一个零矩阵。</t>
  </si>
  <si>
    <t>00:10:30.400 由于零矩阵显然满足这个性质，因此第二个矩阵也满足这个性质。</t>
  </si>
  <si>
    <t>00:10:37.500 因为B(n)有了这个性质，我们只需要知道B(n)的第一行，就能通过公式推导出后续的行，求得完整的矩阵B(n)。</t>
  </si>
  <si>
    <t>00:10:51.000 为了实现O(n²)的算法，我们也需要用到类似的方法，尽量不去对整个矩阵进行操作，而是通过第一行来求逆或求解。</t>
  </si>
  <si>
    <t>00:11:03.067 我们以n=7为例。这里的B就是前面提到的按钮矩阵B(n)，而y就是翻转向量的最后一行，即B(n)的增广向量。</t>
  </si>
  <si>
    <t>00:11:15.433 我们的目标是：对于Bx=y，在已知B的第一行和y的情况下求x。</t>
  </si>
  <si>
    <t>00:11:24.367 如果将n在不同情况下的B的第一行写在一起，矩阵长这样，记为B'。</t>
  </si>
  <si>
    <t>00:11:31.600 注意，这里的B'矩阵不是刚才说的当n确定时的完整的矩阵B，而是B(n)的第一行拼接起来的结果。</t>
  </si>
  <si>
    <t>00:11:41.800 另外，这里从n=0开始一共递推n次，最后一个1不包含在矩阵B的第一行内。例如n=7时，第一行为1011011，最后一个1省去。</t>
  </si>
  <si>
    <t>00:11:56.533 改写后的矩阵记为B''=B'⊕I。</t>
  </si>
  <si>
    <t>00:12:01.367 把Y的第一行写在一起是这样的，记为Y'。</t>
  </si>
  <si>
    <t>00:12:06.533 合并在一起后的Y'有以上递推公式。</t>
  </si>
  <si>
    <t>00:12:12.633 为了不对整个矩阵进行操作，我们需要将矩阵B进行分解。这里介绍一个非常重要的矩阵H，称为邻接扩散矩阵。</t>
  </si>
  <si>
    <t>00:12:24.167 对于H的每一个元素，如果x和y的差为一时取一，否则取零。如果将向量v乘以该矩阵，等同于将向量v的每个元素向左右扩散后叠加。</t>
  </si>
  <si>
    <t>00:12:38.200 这是因为，矩阵的对应行就是向量每个元素左右扩散的结果。</t>
  </si>
  <si>
    <t>00:12:44.367 不难发现，《首行叠加法》中的各个矩阵B，可以用H表示为以上公式。</t>
  </si>
  <si>
    <t>00:12:52.167 这里，B(0)、B(1)、B(2)分别表示为H的不同次数的叠加。</t>
  </si>
  <si>
    <t>00:12:59.067 将这些H的系数用多项式c(n,x)表示，则有和矩阵B类似的递推公式。同时，将系数c写成矩阵的形式，记为C。</t>
  </si>
  <si>
    <t>00:13:11.200 注意，这里的乘以H的操作在系数上代表右移而不是左右扩散，因此，表达式中只有x-1而没有x+1。</t>
  </si>
  <si>
    <t>00:13:33.167 我们把这个下三角矩阵记为K，又称Krylov矩阵或扩散基矩阵。对于K的第n行，有以上公式。</t>
  </si>
  <si>
    <t>00:13:43.767 这里后一行是前一行乘以H，也就是前一行的左右扩散。因此对于K的每个元素，有以上递推公式。</t>
  </si>
  <si>
    <r>
      <t>00:13:56.100 现在，我们定义多项式p(x)。我们的目标是把B拆分成H</t>
    </r>
    <r>
      <rPr>
        <b/>
        <sz val="11"/>
        <color theme="1"/>
        <rFont val="等线"/>
        <family val="2"/>
        <charset val="134"/>
        <scheme val="minor"/>
      </rPr>
      <t>ⁿ</t>
    </r>
    <r>
      <rPr>
        <b/>
        <sz val="11"/>
        <color theme="1"/>
        <rFont val="等线"/>
        <family val="3"/>
        <charset val="134"/>
        <scheme val="minor"/>
      </rPr>
      <t>。</t>
    </r>
  </si>
  <si>
    <t>00:14:04.000 将矩阵H代入多项式p(x)，得到p(H)，并用其表示矩阵B。</t>
  </si>
  <si>
    <t>00:14:11.400 这样，原始求x的问题就转化为了p(H)x=y。</t>
  </si>
  <si>
    <t>00:14:18.300 现在，我们需要把多项式p(H)的系数计算出来。这个系数构成的向量我们记为p。</t>
  </si>
  <si>
    <t>00:14:27.200 为了简化运算，我们只关心矩阵第一行B(0)，记为b。根据刚才K的定义，我们可以得到b=Kp。</t>
  </si>
  <si>
    <t>00:14:39.133 为了求得p，我们可以将两边同时乘以K的逆矩阵，记为F，又称反Krylov矩阵或解耦矩阵。</t>
  </si>
  <si>
    <t>00:14:48.967 这个矩阵F也是下三角矩阵，并且和矩阵K看上去差不多，不过并不相同。事实上，这个矩阵F也满足类似的性质。</t>
  </si>
  <si>
    <t>00:15:00.933 使用这两个性质构造的矩阵K和F，可以证明S=KF为单位矩阵I，有兴趣的小伙伴可以自己试着证明一下。</t>
  </si>
  <si>
    <t>00:15:12.033 提示：矩阵S=KF满足十字偶校验约束，也就是满足以上递推公式。</t>
  </si>
  <si>
    <t>00:15:20.600 这里说明一下，矩阵F的每行对应多项式f(n,x)，也就是上集视频《解的数量》章节中提到的OEIS中的Fibonacci多项式。</t>
  </si>
  <si>
    <t>00:15:32.267 此外，刚才递推得到的矩阵C对应的多项式c(n,x)，等价于《解的数量》章节中提到的f(n,x+1)。</t>
  </si>
  <si>
    <t>00:15:42.767 这个证明也不难，可以由F和C的关系求出F和C的递推公式，或者由递推公式反推。</t>
  </si>
  <si>
    <t>00:15:51.867 同时，B(n)矩阵也可以表示为以上形式。这里的H⊕I等价于x+1。</t>
  </si>
  <si>
    <t>00:16:02.167 让我们继续求p。由于F和K互逆，于是我们有：Fb=FKp=p。将向量b和矩阵F相乘，我们便求出了p。</t>
  </si>
  <si>
    <t>00:16:15.267 为了和视频中演示的一致，由于b是竖着的，因此写为p=Fb。对于矩阵乘法运算来说，则有P=B''F。这里省去了转置符号。</t>
  </si>
  <si>
    <t>00:16:29.800 将多项式p(x)写成矩阵的形式，记为P。</t>
  </si>
  <si>
    <t>00:16:36.967 有了p=Fb之后，后续的计算我们都不需要用到完整的B，而只需要B的第一行，即向量b。</t>
  </si>
  <si>
    <t>00:16:46.400 这是因为，问题已经从Bx=y转化为了p(H)x=y。因此，在前面说到的生成矩阵，也只需要计算向量b，也就是矩阵B'。</t>
  </si>
  <si>
    <t>00:17:00.033 由于在不同n的情况下计算b的公式是一样的，我们可以把n-1情况下算出的b，直接用于计算n的情况。</t>
  </si>
  <si>
    <t>00:17:09.500 这样，如果我们是从n=0开始计算的，我们只需要O(n)的时间复杂度便可求出b。</t>
  </si>
  <si>
    <t>00:17:17.933 同样，计算K和F也是如此。因为每行之间有递推公式，如果从n=0开始计算，也可以在O(n)时间内求出。</t>
  </si>
  <si>
    <t>00:17:29.133 如果需要直接计算特定n，可以用其它方法优化到O(n·log(n))。因为这里的算法不涉及这个优化，因此就不展开了。</t>
  </si>
  <si>
    <t>00:17:40.467 为了求出p=Fb，我们需要将向量和矩阵相乘，一般情况下，其时间复杂度是O(n²)。</t>
  </si>
  <si>
    <t>00:17:50.333 因为矩阵F是有递推规律的，理论上使用FFT等算法，可以把乘法优化到O(n·log(n))。</t>
  </si>
  <si>
    <t>00:17:59.500 另一方面，这里在计算p的时候，我们将B''的对角线去除了，即P=B''F。假如我们保留B''的对角线，则有C=B'F。</t>
  </si>
  <si>
    <t>00:18:13.700 为了证明这一点，我们假定B'F=C'，得出以上递推公式。由于C'的递推公式和C是相同的，因此这里的C'就是C，即C'=C=B'F。</t>
  </si>
  <si>
    <t>00:18:29.400 由于C=B'F，我们可以推得P=C⊕F。因此，我们可以计算出C和F，叠加后直接求得P，无需使用矩阵乘法。</t>
  </si>
  <si>
    <t>00:18:41.800 同时，由于P=C⊕F，P也可以写成这个递推公式，从而无需B，C或F，在O(n)的时间内，由P的递推公式直接推得。</t>
  </si>
  <si>
    <t>00:18:55.000 由于这个证明较长，因此这里就不展示出来了。有兴趣的小伙伴可以从C和F的递推公式自行证明。</t>
  </si>
  <si>
    <t>00:19:05.300 现在，我们已用多种方法求得了p，并将原始问题转化为了p(H)x=y，可这又有什么用呢？</t>
  </si>
  <si>
    <t>00:19:18.200 试想一下，如果有一个多项式q(x)，满足q(x)p(x)=1 mod f(x)。这里的f(x)就是前面提到的多项式f(n,x)。</t>
  </si>
  <si>
    <t>00:19:30.200 那么，将式子两边同时乘以q(H)，便有：x=q(H)y。这样，我们就能立即求出x。</t>
  </si>
  <si>
    <t>00:19:41.233 我们把这样的多项式q(x)称之为p(x)的逆多项式。那么，如何求出逆多项式q(x)呢？</t>
  </si>
  <si>
    <t>00:19:50.467 我们可以使用扩展欧几里得算法，通过f(x)和p(x)来求q(x)。</t>
  </si>
  <si>
    <t>00:19:58.167 这里，我们同时定义一个零多项式o(x)和单位多项式e(x)，在对f(x)和p(x)操作的同时，对o(x)和e(x)做相同的操作。</t>
  </si>
  <si>
    <t>00:20:10.767 类似矩阵求逆，我们的目标是：将f(x)变为零多项式，p(x)变为单位多项式。</t>
  </si>
  <si>
    <t>00:20:19.367 我们使用辗转相减法，将p(x)右移，使其最高次项和f(x)对齐，然后叠加到f(x)上，从而消去f(x)的最高次项。</t>
  </si>
  <si>
    <t>00:20:31.967 叠加后，如果f(x)的最高次数仍旧大于等于p(x)，则继续右移p(x)并叠加到f(x)上。</t>
  </si>
  <si>
    <t>00:20:41.567 否则，当f(x)的最高次数小于p(x)时，将p(x)和f(x)互换，使得f(x)的最高次数始终大于或等于p(x)，让叠加操作可以继续下去。</t>
  </si>
  <si>
    <t>00:20:55.167 重复这样的操作，直到f(x)最终被叠加为零。</t>
  </si>
  <si>
    <t>00:21:03.267 最后，剩下的p(x)为两个多项式的最大公因子，记为g(x)，同时，剩下的e(x)为p(x)的逆，也就是q(x)。</t>
  </si>
  <si>
    <t>00:21:14.933 我们将q(x)写成矩阵Q。注意，这里的矩阵Q不是前面的完整逆矩阵Q'，而是把多个q(x)拼接起来的结果。</t>
  </si>
  <si>
    <t>00:21:26.500 现在，我们已求得q(x)，接着，我们可以根据q(H)y的定义，用这个式子来求x。</t>
  </si>
  <si>
    <t>00:10:56,000 --&gt; 00:11:03,280</t>
  </si>
  <si>
    <t>00:11:03,280 --&gt; 00:11:05,360</t>
  </si>
  <si>
    <t>00:11:05,360 --&gt; 00:11:08,200</t>
  </si>
  <si>
    <t>00:11:08,200 --&gt; 00:11:10,680</t>
  </si>
  <si>
    <t>00:11:10,880 --&gt; 00:11:12,640</t>
  </si>
  <si>
    <t>00:11:14,080 --&gt; 00:11:15,760</t>
  </si>
  <si>
    <t>00:11:15,760 --&gt; 00:11:18,480</t>
  </si>
  <si>
    <t>00:11:18,560 --&gt; 00:11:19,280</t>
  </si>
  <si>
    <t>00:11:20,000 --&gt; 00:11:22,160</t>
  </si>
  <si>
    <t>00:11:22,160 --&gt; 00:11:27,520</t>
  </si>
  <si>
    <t>00:11:27,520 --&gt; 00:11:33,480</t>
  </si>
  <si>
    <t>00:11:33,480 --&gt; 00:11:39,160</t>
  </si>
  <si>
    <t>00:11:40,800 --&gt; 00:11:41,880</t>
  </si>
  <si>
    <t>00:11:42,080 --&gt; 00:11:42,760</t>
  </si>
  <si>
    <t>00:11:42,760 --&gt; 00:11:45,920</t>
  </si>
  <si>
    <t>00:11:47,360 --&gt; 00:11:50,800</t>
  </si>
  <si>
    <t>00:11:50,960 --&gt; 00:11:53,960</t>
  </si>
  <si>
    <t>00:11:53,960 --&gt; 00:11:59,080</t>
  </si>
  <si>
    <t>00:11:59,080 --&gt; 00:12:04,440</t>
  </si>
  <si>
    <t>00:12:04,440 --&gt; 00:12:08,160</t>
  </si>
  <si>
    <t>00:12:10,000 --&gt; 00:12:12,360</t>
  </si>
  <si>
    <t>00:12:12,360 --&gt; 00:12:14,600</t>
  </si>
  <si>
    <t>00:12:14,600 --&gt; 00:12:17,400</t>
  </si>
  <si>
    <t>00:12:17,400 --&gt; 00:12:20,320</t>
  </si>
  <si>
    <t>00:12:20,320 --&gt; 00:12:22,560</t>
  </si>
  <si>
    <t>00:12:22,720 --&gt; 00:12:25,760</t>
  </si>
  <si>
    <t>00:12:26,240 --&gt; 00:12:30,200</t>
  </si>
  <si>
    <t>00:12:30,200 --&gt; 00:12:32,520</t>
  </si>
  <si>
    <t>00:12:32,640 --&gt; 00:12:34,560</t>
  </si>
  <si>
    <t>00:12:35,040 --&gt; 00:12:35,520</t>
  </si>
  <si>
    <t>00:12:35,520 --&gt; 00:12:38,280</t>
  </si>
  <si>
    <t>00:12:39,760 --&gt; 00:12:42,160</t>
  </si>
  <si>
    <t>00:12:42,640 --&gt; 00:12:45,880</t>
  </si>
  <si>
    <t>00:12:47,360 --&gt; 00:12:52,880</t>
  </si>
  <si>
    <t>将矩阵H代入多项式PX得到PH并用其表示矩阵B，</t>
  </si>
  <si>
    <t>00:12:54,400 --&gt; 00:12:59,280</t>
  </si>
  <si>
    <t>00:13:00,800 --&gt; 00:13:04,640</t>
  </si>
  <si>
    <t>00:13:05,120 --&gt; 00:13:07,680</t>
  </si>
  <si>
    <t>00:13:09,280 --&gt; 00:13:10,400</t>
  </si>
  <si>
    <t>00:13:10,400 --&gt; 00:13:12,640</t>
  </si>
  <si>
    <t>00:13:12,720 --&gt; 00:13:13,440</t>
  </si>
  <si>
    <t>00:13:13,920 --&gt; 00:13:15,440</t>
  </si>
  <si>
    <t>00:13:15,440 --&gt; 00:13:17,440</t>
  </si>
  <si>
    <t>00:13:18,880 --&gt; 00:13:19,800</t>
  </si>
  <si>
    <t>00:13:19,800 --&gt; 00:13:22,800</t>
  </si>
  <si>
    <t>00:13:22,800 --&gt; 00:13:23,440</t>
  </si>
  <si>
    <t>00:13:23,680 --&gt; 00:13:28,160</t>
  </si>
  <si>
    <t>00:13:28,160 --&gt; 00:13:30,640</t>
  </si>
  <si>
    <t>00:13:30,640 --&gt; 00:13:32,880</t>
  </si>
  <si>
    <t>00:13:32,880 --&gt; 00:13:34,760</t>
  </si>
  <si>
    <t>00:13:34,760 --&gt; 00:13:35,440</t>
  </si>
  <si>
    <t>00:13:35,440 --&gt; 00:13:38,120</t>
  </si>
  <si>
    <t>00:13:39,600 --&gt; 00:13:45,720</t>
  </si>
  <si>
    <t>00:13:45,720 --&gt; 00:13:45,760</t>
  </si>
  <si>
    <t>00:13:45,920 --&gt; 00:13:50,360</t>
  </si>
  <si>
    <t>00:13:50,360 --&gt; 00:13:54,800</t>
  </si>
  <si>
    <t>00:13:54,800 --&gt; 00:13:58,480</t>
  </si>
  <si>
    <t>00:13:58,480 --&gt; 00:14:02,960</t>
  </si>
  <si>
    <t>00:14:03,080 --&gt; 00:14:08,560</t>
  </si>
  <si>
    <t>00:14:08,560 --&gt; 00:14:08,600</t>
  </si>
  <si>
    <t>00:14:10,080 --&gt; 00:14:16,240</t>
  </si>
  <si>
    <t>00:14:16,240 --&gt; 00:14:18,720</t>
  </si>
  <si>
    <t>00:14:18,720 --&gt; 00:14:21,800</t>
  </si>
  <si>
    <t>00:14:21,800 --&gt; 00:14:27,640</t>
  </si>
  <si>
    <t>00:14:29,120 --&gt; 00:14:32,240</t>
  </si>
  <si>
    <t>00:14:32,840 --&gt; 00:14:35,520</t>
  </si>
  <si>
    <t>00:14:37,120 --&gt; 00:14:38,480</t>
  </si>
  <si>
    <t>00:14:38,960 --&gt; 00:14:40,640</t>
  </si>
  <si>
    <t>00:14:40,640 --&gt; 00:14:44,160</t>
  </si>
  <si>
    <t>00:14:44,640 --&gt; 00:14:46,960</t>
  </si>
  <si>
    <t>00:14:46,960 --&gt; 00:14:49,840</t>
  </si>
  <si>
    <t>00:14:49,840 --&gt; 00:14:51,880</t>
  </si>
  <si>
    <t>00:14:51,880 --&gt; 00:14:53,560</t>
  </si>
  <si>
    <t>00:14:53,560 --&gt; 00:14:56,200</t>
  </si>
  <si>
    <t>00:14:56,200 --&gt; 00:14:58,000</t>
  </si>
  <si>
    <t>00:14:58,080 --&gt; 00:15:00,200</t>
  </si>
  <si>
    <t>00:15:00,720 --&gt; 00:15:02,360</t>
  </si>
  <si>
    <t>00:15:03,840 --&gt; 00:15:07,520</t>
  </si>
  <si>
    <t>00:15:09,040 --&gt; 00:15:10,880</t>
  </si>
  <si>
    <t>00:15:10,880 --&gt; 00:15:13,920</t>
  </si>
  <si>
    <t>00:15:14,160 --&gt; 00:15:16,920</t>
  </si>
  <si>
    <t>00:15:18,400 --&gt; 00:15:23,760</t>
  </si>
  <si>
    <t>00:15:24,400 --&gt; 00:15:28,720</t>
  </si>
  <si>
    <t>00:15:28,800 --&gt; 00:15:30,200</t>
  </si>
  <si>
    <t>00:15:31,920 --&gt; 00:15:35,440</t>
  </si>
  <si>
    <t>由于在不同N的情况下计算B的公式是一样的，</t>
  </si>
  <si>
    <t>00:15:35,440 --&gt; 00:15:39,880</t>
  </si>
  <si>
    <t>我们可以把N减一情况下算出的B直接用于计算N的情况，</t>
  </si>
  <si>
    <t>00:15:41,360 --&gt; 00:15:44,400</t>
  </si>
  <si>
    <t>这样如果我们是从N等于0开始计算的，</t>
  </si>
  <si>
    <t>00:15:44,560 --&gt; 00:15:49,960</t>
  </si>
  <si>
    <t>我们只需要open的时间复杂度便可求出B同样。</t>
  </si>
  <si>
    <t>00:15:50,240 --&gt; 00:15:52,800</t>
  </si>
  <si>
    <t>00:15:52,800 --&gt; 00:15:54,560</t>
  </si>
  <si>
    <t>00:15:54,720 --&gt; 00:15:56,880</t>
  </si>
  <si>
    <t>00:15:56,880 --&gt; 00:16:00,880</t>
  </si>
  <si>
    <t>00:16:00,880 --&gt; 00:16:02,800</t>
  </si>
  <si>
    <t>00:16:02,800 --&gt; 00:16:05,920</t>
  </si>
  <si>
    <t>00:16:06,480 --&gt; 00:16:08,720</t>
  </si>
  <si>
    <t>00:16:08,800 --&gt; 00:16:11,920</t>
  </si>
  <si>
    <t>00:16:11,920 --&gt; 00:16:13,680</t>
  </si>
  <si>
    <t>00:16:13,760 --&gt; 00:16:16,200</t>
  </si>
  <si>
    <t>00:16:16,400 --&gt; 00:16:17,400</t>
  </si>
  <si>
    <t>00:16:17,400 --&gt; 00:16:21,760</t>
  </si>
  <si>
    <t>00:16:21,760 --&gt; 00:16:24,120</t>
  </si>
  <si>
    <t>00:16:24,120 --&gt; 00:16:28,880</t>
  </si>
  <si>
    <t>00:16:28,880 --&gt; 00:16:31,400</t>
  </si>
  <si>
    <t>00:16:31,400 --&gt; 00:16:33,040</t>
  </si>
  <si>
    <t>00:16:33,040 --&gt; 00:16:35,520</t>
  </si>
  <si>
    <t>00:16:35,520 --&gt; 00:16:37,440</t>
  </si>
  <si>
    <t>00:16:38,080 --&gt; 00:16:40,480</t>
  </si>
  <si>
    <t>00:16:40,480 --&gt; 00:16:42,400</t>
  </si>
  <si>
    <t>00:16:44,040 --&gt; 00:16:45,160</t>
  </si>
  <si>
    <t>00:16:45,160 --&gt; 00:16:49,680</t>
  </si>
  <si>
    <t>00:16:49,680 --&gt; 00:16:52,800</t>
  </si>
  <si>
    <t>00:16:52,800 --&gt; 00:16:55,040</t>
  </si>
  <si>
    <t>00:16:55,040 --&gt; 00:16:57,520</t>
  </si>
  <si>
    <t>00:16:59,040 --&gt; 00:17:00,840</t>
  </si>
  <si>
    <t>00:17:00,960 --&gt; 00:17:03,400</t>
  </si>
  <si>
    <t>00:17:04,000 --&gt; 00:17:04,520</t>
  </si>
  <si>
    <t>00:17:04,520 --&gt; 00:17:08,280</t>
  </si>
  <si>
    <t>00:17:08,280 --&gt; 00:17:09,720</t>
  </si>
  <si>
    <t>00:17:11,200 --&gt; 00:17:11,800</t>
  </si>
  <si>
    <t>00:17:11,800 --&gt; 00:17:13,720</t>
  </si>
  <si>
    <t>00:17:13,920 --&gt; 00:17:16,200</t>
  </si>
  <si>
    <t>00:17:16,200 --&gt; 00:17:22,400</t>
  </si>
  <si>
    <t>00:17:24,000 --&gt; 00:17:25,600</t>
  </si>
  <si>
    <t>00:17:25,600 --&gt; 00:17:28,160</t>
  </si>
  <si>
    <t>00:17:28,160 --&gt; 00:17:34,040</t>
  </si>
  <si>
    <t>00:17:34,040 --&gt; 00:17:36,480</t>
  </si>
  <si>
    <t>00:17:36,640 --&gt; 00:17:40,160</t>
  </si>
  <si>
    <t>00:17:40,320 --&gt; 00:17:41,520</t>
  </si>
  <si>
    <t>00:17:43,040 --&gt; 00:17:43,840</t>
  </si>
  <si>
    <t>00:17:43,840 --&gt; 00:17:49,080</t>
  </si>
  <si>
    <t>00:17:49,600 --&gt; 00:17:55,000</t>
  </si>
  <si>
    <t>00:17:55,000 --&gt; 00:18:00,320</t>
  </si>
  <si>
    <t>00:18:00,800 --&gt; 00:18:03,000</t>
  </si>
  <si>
    <t>这样我们就能立即求出X，</t>
  </si>
  <si>
    <t>00:18:04,480 --&gt; 00:18:08,880</t>
  </si>
  <si>
    <t>00:18:09,360 --&gt; 00:18:12,320</t>
  </si>
  <si>
    <t>00:18:13,680 --&gt; 00:18:16,280</t>
  </si>
  <si>
    <t>00:18:16,280 --&gt; 00:18:19,360</t>
  </si>
  <si>
    <t>00:18:21,040 --&gt; 00:18:26,360</t>
  </si>
  <si>
    <t>00:18:26,360 --&gt; 00:18:29,120</t>
  </si>
  <si>
    <t>00:18:29,120 --&gt; 00:18:33,560</t>
  </si>
  <si>
    <t>00:18:33,560 --&gt; 00:18:34,760</t>
  </si>
  <si>
    <t>00:18:34,760 --&gt; 00:18:40,360</t>
  </si>
  <si>
    <t>00:18:41,880 --&gt; 00:18:43,600</t>
  </si>
  <si>
    <t>00:18:43,600 --&gt; 00:18:47,920</t>
  </si>
  <si>
    <t>00:18:47,920 --&gt; 00:18:49,840</t>
  </si>
  <si>
    <t>00:18:49,840 --&gt; 00:18:53,680</t>
  </si>
  <si>
    <t>00:18:53,680 --&gt; 00:18:54,320</t>
  </si>
  <si>
    <t>00:18:54,320 --&gt; 00:18:58,080</t>
  </si>
  <si>
    <t>00:18:58,080 --&gt; 00:19:02,920</t>
  </si>
  <si>
    <t>00:19:02,920 --&gt; 00:19:03,440</t>
  </si>
  <si>
    <t>00:19:03,440 --&gt; 00:19:06,480</t>
  </si>
  <si>
    <t>00:19:06,480 --&gt; 00:19:08,640</t>
  </si>
  <si>
    <t>00:19:08,880 --&gt; 00:19:12,840</t>
  </si>
  <si>
    <t>00:19:12,840 --&gt; 00:19:16,400</t>
  </si>
  <si>
    <t>00:19:16,400 --&gt; 00:19:17,600</t>
  </si>
  <si>
    <t>00:19:17,680 --&gt; 00:19:20,200</t>
  </si>
  <si>
    <t>00:19:21,680 --&gt; 00:19:25,480</t>
  </si>
  <si>
    <t>00:19:25,600 --&gt; 00:19:26,800</t>
  </si>
  <si>
    <t>00:19:26,800 --&gt; 00:19:30,040</t>
  </si>
  <si>
    <t>00:19:30,040 --&gt; 00:19:31,360</t>
  </si>
  <si>
    <t>00:19:32,800 --&gt; 00:19:35,120</t>
  </si>
  <si>
    <t>00:19:35,760 --&gt; 00:19:39,520</t>
  </si>
  <si>
    <t>00:19:39,680 --&gt; 00:19:43,800</t>
  </si>
  <si>
    <t>00:19:43,800 --&gt; 00:19:45,880</t>
  </si>
  <si>
    <t>00:19:45,880 --&gt; 00:19:48,640</t>
  </si>
  <si>
    <t>00:19:48,720 --&gt; 00:19:50,480</t>
  </si>
  <si>
    <t>00:19:52,000 --&gt; 00:19:55,920</t>
  </si>
  <si>
    <t>00:19:56,080 --&gt; 00:19:58,560</t>
  </si>
  <si>
    <t>00:19:58,640 --&gt; 00:19:59,920</t>
  </si>
  <si>
    <t>00:20:01,520 --&gt; 00:20:02,240</t>
  </si>
  <si>
    <t>00:20:02,240 --&gt; 00:20:05,000</t>
  </si>
  <si>
    <t>00:20:05,120 --&gt; 00:20:10,120</t>
  </si>
  <si>
    <t>00:20:10,120 --&gt; 00:20:15,040</t>
  </si>
  <si>
    <t>因此我们也可以通过KQ求出逆矩阵Q撇的第一行Q撇0，</t>
  </si>
  <si>
    <t>00:20:15,520 --&gt; 00:20:18,120</t>
  </si>
  <si>
    <t>00:20:18,400 --&gt; 00:20:20,720</t>
  </si>
  <si>
    <t>00:20:22,240 --&gt; 00:20:24,720</t>
  </si>
  <si>
    <t>00:20:24,720 --&gt; 00:20:28,600</t>
  </si>
  <si>
    <t>00:20:28,600 --&gt; 00:20:31,320</t>
  </si>
  <si>
    <t>00:20:31,520 --&gt; 00:20:37,880</t>
  </si>
  <si>
    <t>00:20:39,360 --&gt; 00:20:41,920</t>
  </si>
  <si>
    <t>00:20:41,920 --&gt; 00:20:43,200</t>
  </si>
  <si>
    <t>00:20:44,640 --&gt; 00:20:47,000</t>
  </si>
  <si>
    <t>00:20:47,000 --&gt; 00:20:53,720</t>
  </si>
  <si>
    <t>我们提到了公式R撇N这里GCD表示最大公因子，</t>
  </si>
  <si>
    <t>00:20:53,720 --&gt; 00:20:58,880</t>
  </si>
  <si>
    <t>00:21:00,480 --&gt; 00:21:01,000</t>
  </si>
  <si>
    <t>00:21:01,000 --&gt; 00:21:02,720</t>
  </si>
  <si>
    <t>00:21:02,800 --&gt; 00:21:06,720</t>
  </si>
  <si>
    <t>高斯消元后的B的尾逆矩阵Q撇和单位矩阵一撇是这样的，</t>
  </si>
  <si>
    <t>其至为2等于3，</t>
  </si>
  <si>
    <t>1矩阵B左上角R乘2的子矩阵可逆。</t>
  </si>
  <si>
    <t>因此类似Q撇0等于KQ。</t>
  </si>
  <si>
    <t>这里N等于5，</t>
  </si>
  <si>
    <t>R等于3，</t>
  </si>
  <si>
    <t>1后2等于3行。</t>
  </si>
  <si>
    <t>第n行最左边的n减二撇负一等于n减三个元素为零，</t>
  </si>
  <si>
    <t>第三行的第一个元素为一。</t>
  </si>
  <si>
    <t>由于Z的第一个元素已经为零，</t>
  </si>
  <si>
    <t>则Z的第一个元素会变为一，</t>
  </si>
  <si>
    <t>因此不能叠加第三行。</t>
  </si>
  <si>
    <t>该元素为一。</t>
  </si>
  <si>
    <t>我们需要将第四行叠加到Z上。</t>
  </si>
  <si>
    <t>现在Z的第二个元素被消去了，</t>
  </si>
  <si>
    <t>同时X的第四个元素被标记为1。</t>
  </si>
  <si>
    <t>由于Z的第三个元素变为了1，</t>
  </si>
  <si>
    <t>变为了0，</t>
  </si>
  <si>
    <t>并且X的第五个元素被标记为1。</t>
  </si>
  <si>
    <t>不难发现这里求得的X是一个特解，</t>
  </si>
  <si>
    <t>由于前二撇行共有二的二撇次方种。</t>
  </si>
  <si>
    <t>表现出高度的对称性。</t>
  </si>
  <si>
    <t>其中，</t>
  </si>
  <si>
    <t>行和列的坐标可以互换，</t>
  </si>
  <si>
    <t>既然我们可以在第一个式子用反向叠加法求X，</t>
  </si>
  <si>
    <t>这里D等于GH不可逆，</t>
  </si>
  <si>
    <t>因此P撇H不唯一。</t>
  </si>
  <si>
    <t>不过，</t>
  </si>
  <si>
    <t>当G等于E时，</t>
  </si>
  <si>
    <t>还需标记每行首个唯一的元素的位置来选择。</t>
  </si>
  <si>
    <t>直接计算QHY会更加方便。</t>
  </si>
  <si>
    <t>最终，</t>
  </si>
  <si>
    <t>我们通过欧几里德法和反向叠加法。</t>
  </si>
  <si>
    <t>完成了BX等于Y的求解，</t>
  </si>
  <si>
    <t>有兴趣的小伙伴可自行研究并留言，</t>
  </si>
  <si>
    <t>觉得视频内容表述不清或者发现视频中的任何错误，</t>
  </si>
  <si>
    <t>00:08:19.767 优化生成矩阵（续上集）</t>
  </si>
  <si>
    <t>00:10:49.600 首行求逆法</t>
  </si>
  <si>
    <t>00:19:16.800 扩展欧几里得法</t>
  </si>
  <si>
    <r>
      <t>00:13:22.633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</si>
  <si>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因此，我们也可以通过Kq求出逆矩阵Q'的第一行Q'(0)，再通过递推公式求得完整的Q'，最后再和y相乘求得x。</t>
  </si>
  <si>
    <t>例如，当n=5时，高斯消元后的B的伪逆矩阵Q'和单位矩阵E'是这样的。</t>
  </si>
  <si>
    <t>1. 矩阵B左上角r×r的子矩阵可逆，并且和Q'左上角r×r的子矩阵互为逆矩阵。</t>
  </si>
  <si>
    <t>因此，类似Q'(0)=Kq，只需要将g(x)和K直接相乘，即可得到第一个矩阵的最后一行，即矩阵D的第一行d。</t>
  </si>
  <si>
    <t>而B=p'(H)D破坏了这一结构，不满足这些性质。这里，D=g(H)不可逆，因此p'(H)不唯一。</t>
  </si>
  <si>
    <t>00:21:35.400 这里，我们将y不断乘以矩阵H进行左右扩散，再根据q(x)的值进行叠加，从而得到x。</t>
  </si>
  <si>
    <t>00:21:46.433 另一方面，由于q(H)就是B的逆矩阵Q'，并且可以证明Q'也满足十字偶校验约束。</t>
  </si>
  <si>
    <t>00:21:55.467 因此，我们也可以通过Kq求出逆矩阵Q'的第一行Q'(0)，再通过递推公式求得完整的Q'，最后再和y相乘求得x。</t>
  </si>
  <si>
    <t>00:22:07.800 两种方法求得的x是相同的，有兴趣的小伙伴可以自行证明。</t>
  </si>
  <si>
    <t>00:22:14.400 不过，整个求解的过程中有一个问题，那就是我们假设满足q(x)p(x)=1 mod f(x)的多项式q(x)存在。</t>
  </si>
  <si>
    <t>00:22:25.500 如果这样的多项式q(x)不存在，我们又当如何呢？</t>
  </si>
  <si>
    <t>00:22:35.067 在上集视频《解的数量》章节中，我们提到了公式r'(n)。</t>
  </si>
  <si>
    <t>00:22:41.467 这里，gcd表示最大公因子。不难发现，这里的gcd(f,c)就是前面扩展欧几里得算法中的g。</t>
  </si>
  <si>
    <t>00:22:51.167 同时，由于F=C⊕P，因此gcd(f,c)和gcd(f,p)是相等的。</t>
  </si>
  <si>
    <t>00:22:59.167 这里，deg表示最高次数，r'是静默操作数，也就是n-r。r'的值决定了解的数量，即2ʳ'。</t>
  </si>
  <si>
    <t>00:23:11.167 将g(x)写成矩阵的形式，记为G。</t>
  </si>
  <si>
    <t>00:23:16.700 不难注意到，只有当矩阵B为可逆矩阵时，g(x)=1，并且g(x)的最高次数为r'=n-r=0。</t>
  </si>
  <si>
    <t>00:23:28.033 例如，当n=5时，高斯消元后的B的伪逆矩阵Q'和单位矩阵E'是这样的。</t>
  </si>
  <si>
    <t>00:23:37.333 这里，矩阵B不可逆，其秩为r=3。现在，我们以r×r为界，将矩阵分为四个部分。</t>
  </si>
  <si>
    <t>00:23:47.933 1. 矩阵B左上角r×r的子矩阵可逆，并且和Q'左上角r×r的子矩阵互为逆矩阵。</t>
  </si>
  <si>
    <t>00:23:58.233 2. Q'右下角和E'左上角为单位矩阵，Q'右上角和E'下方为零矩阵。</t>
  </si>
  <si>
    <t>00:24:07.667 3. Q'左下角Wr和E'右上角的静默操作相同，并且其值等于Q'左上角乘以B右上角，或者B左下角乘以Q'左上角。</t>
  </si>
  <si>
    <t>00:24:21.733 这些性质可以通过分块矩阵乘法，结合高斯消元法和矩阵B的对称性得出，有兴趣的小伙伴可以自行证明。</t>
  </si>
  <si>
    <t>00:24:32.400 可以发现，Q'不满足十字偶校验约束，因而无法通过公式递推求得。并且使用Q'第一行求得的x也不是原方程的解。</t>
  </si>
  <si>
    <t>00:24:44.033 如果我们令Q'第一行为q(x)，并且和p(x)相乘，由此得到的g(x)不为1，且最高次数为4。</t>
  </si>
  <si>
    <t>00:24:55.333 另一方面，如果我们直接使用扩展欧几里得法，通过p(x)和f(x)进行求解，得到的g(x)也不为1。</t>
  </si>
  <si>
    <t>00:25:05.367 将求得的q(x)和p(x)相乘，得到刚才求得的g(x)，其最高次数为2。</t>
  </si>
  <si>
    <t>00:25:14.767 这里，我们计算q(H)y，发现求得的x也不是正确的解。</t>
  </si>
  <si>
    <t>00:25:22.200 两种方法求得的q(x)和g(x)都不相同，g(x)都不为1，并且q(H)y也都不是正确的解。</t>
  </si>
  <si>
    <t>00:25:33.100 因此，如果g(x)不为1，则q(x)不满足q(x)p(x)=1 mod f(x)。或者说，满足q(x)p(x)=1的q(x)不存在。</t>
  </si>
  <si>
    <t>00:25:46.167 那么对于不可逆的矩阵B，我们又有什么方法可以求出正确的解呢？</t>
  </si>
  <si>
    <t>00:25:55.933 在刚才的《首行求逆法》中，我们有这些公式。</t>
  </si>
  <si>
    <t>00:26:00.433 现在，我们定义多项式q'(x)，满足q'(x)p(x)=g(x) mod f(x)。</t>
  </si>
  <si>
    <t>00:26:08.833 其中，g(x)也就是刚才提到的最大公因子，q'(x)就是刚才求得的q(x)。</t>
  </si>
  <si>
    <t>00:26:17.733 由于原本求得的x并不是正确的解，我们将其重命名为z，即z=q'(H)y。</t>
  </si>
  <si>
    <t>00:26:26.933 同时，我们定义q'(x)的逆多项式p'(x)，即q'(x)p'(x)=1 mod f(x)。</t>
  </si>
  <si>
    <t>00:26:36.833 我们不难推出这些式子。为了方便表示，这里将mod f(x)的部分省去了。</t>
  </si>
  <si>
    <t>00:26:44.533 整理后，我们可以得到这些式子。</t>
  </si>
  <si>
    <t>00:26:51.333 最终，我们得到了z=g(H)x。这里，如果g(x)=1，则会有右边这些式子。</t>
  </si>
  <si>
    <t>00:27:03.433 前面使用的扩展欧几里得法中，我们已求得q'(x)和g(x)。因此，接下来只需要使用g(x)和z即可求得x。</t>
  </si>
  <si>
    <t>00:27:15.333 前者，我们有公式z=q'(H)y。我们不断让y乘以H，然后使用向量乘以矩阵的方法求得z。</t>
  </si>
  <si>
    <t>00:27:26.233 现在，我们有公式z=g(H)x。由于需要求得的是x，因此不能再使用这个方法来求解。</t>
  </si>
  <si>
    <t>00:27:38.333 这次，我们需要用反向叠加法来求x。我们以n=5为例。</t>
  </si>
  <si>
    <t>00:27:45.900 首先，我们需要使用类似生成矩阵B的方法生成g(H)，这里记为矩阵D，其秩与矩阵B相同。</t>
  </si>
  <si>
    <t>00:27:57.900 1. 创建n个单位向量，也就是矩阵D的第一行。这里和矩阵B相同，一共有n个向量。</t>
  </si>
  <si>
    <t>00:28:07.500 2. 使用矩阵H，将每个矩阵D的第一行扩散到后续的行。</t>
  </si>
  <si>
    <t>00:28:14.100 3. 根据多项式g(x)，将每个矩阵D的对应行叠加起来，叠加完的行共同构成一个新的矩阵D。</t>
  </si>
  <si>
    <t>00:28:25.133 可以发现，这里的步骤和《首行叠加法》类似，共有n个矩阵要生成，时间复杂度是O(n³)。</t>
  </si>
  <si>
    <t>00:28:35.033 不过，聪明的你一定能想到，通过《生成矩阵法》调换矩阵的行以后，这些矩阵也都满足十字偶校验约束。</t>
  </si>
  <si>
    <t>00:28:44.933 因此，我们同样只需要生成第一个矩阵，然后递推即可得到矩阵D，时间复杂度降为了O(n²)。</t>
  </si>
  <si>
    <t>00:28:55.133 在生成第一个矩阵的过程中，每行乘以矩阵H的结果，就是刚才的矩阵K。</t>
  </si>
  <si>
    <t>00:29:02.667 因此，类似Q'(0)=Kq，只需要将g(x)和K直接相乘，即可得到第一个矩阵的最后一行，即矩阵D的第一行d。</t>
  </si>
  <si>
    <t>00:29:14.667 然后，我们就可以使用十字偶校验约束的递推关系，求得之后的行。</t>
  </si>
  <si>
    <t>00:29:22.367 由于矩阵D是由矩阵H生成的，因此具有以下这些性质。这里，n=5，r=3，r'=2。</t>
  </si>
  <si>
    <t>00:29:33.567 1. 后r=3行，第n行最左边的n-r'-1=n-3个元素为0。</t>
  </si>
  <si>
    <t>00:29:41.767 2. 后r=3行，第n行第n-r'=n-2个元素为1。</t>
  </si>
  <si>
    <t>00:29:49.967 3. 后r=3行，任意一行都不能由别的行叠加，即线性无关。</t>
  </si>
  <si>
    <t>00:29:57.467 4. 前r'=2行，任意一行都可以由后r=3行叠加。</t>
  </si>
  <si>
    <t>00:30:04.467 这些性质都不难证明，有兴趣的小伙伴可以自行证明。</t>
  </si>
  <si>
    <t>00:30:12.967 现在，我们有z=g(H)x=Dx。我们可以利用D的性质进行求解。接下来，我们需要将z拆解成矩阵D的若干行的叠加，从而表示出x。</t>
  </si>
  <si>
    <t>00:30:27.433 由于矩阵D后三行线性无关，因此我们只考虑把后三行叠加起来，不考虑前二行。</t>
  </si>
  <si>
    <t>00:30:36.333 这里，我们尝试将后三行的若干行叠加到现有的z上，使其被消去。</t>
  </si>
  <si>
    <t>00:30:43.233 让我们观察z的第一个元素和D的后三行。在D的后三行中，第三行的第一个元素为1。</t>
  </si>
  <si>
    <t>00:30:53.433 由于z的第一个元素已经为0。如果我们叠加第三行，则z的第一个元素会变为1。因此不能叠加第三行。</t>
  </si>
  <si>
    <t>00:31:04.633 我们再看z的第二个元素，该元素为1，因此，我们需要将第四行叠加到z上。</t>
  </si>
  <si>
    <t>00:31:12.833 现在，z的第二个元素被消去了，同时，x的第四个元素被标记为1。</t>
  </si>
  <si>
    <t>00:31:20.633 我们接着看z的第三个元素。由于z的第三个元素变为了1，我们需要叠加D的第五行。</t>
  </si>
  <si>
    <t>00:31:29.833 这次，z被彻底消去了，变为了零，并且，x的第五个元素被标记为1。</t>
  </si>
  <si>
    <t>00:31:38.133 由此，我们通过依次叠加D的后三行，将z的元素依次消去。同时，将叠加的行标记为1，也就求得了最终的x。</t>
  </si>
  <si>
    <t>00:31:49.633 不难发现这里求得的x是一个特解。</t>
  </si>
  <si>
    <t>00:31:54.233 由于前r'行可以表示为后r行的线性叠加，因此我们可以在消去z之前，先将其和前r'的任意行叠加，然后再求解。</t>
  </si>
  <si>
    <t>00:32:06.133 由于前r'行共有2ʳ'种，因此求得的解也有2ʳ'种。</t>
  </si>
  <si>
    <t>00:32:14.333 另一方面，由于矩阵D满足十字偶校验约束，表现出高度的对称性。其中，行和列的坐标可以互换。</t>
  </si>
  <si>
    <t>00:32:24.133 因此，我们可以同样只叠加前r行，从右往左进行消去。由于结果是相同的，这里不再赘述。</t>
  </si>
  <si>
    <t>00:32:36.100 细心的小伙伴会发现，这两个式子具有相同的形式。</t>
  </si>
  <si>
    <t>00:32:42.000 既然我们可以在第一个式子用反向叠加法求x，为什么不能用相同的方法在第二个式子求x呢？</t>
  </si>
  <si>
    <t>00:32:54.067 这是因为矩阵D是由g(H)生成的，具有带状上三角的可回代结构，满足前面说到的四个性质。</t>
  </si>
  <si>
    <t>00:33:03.967 而B=p'(H)D破坏了这一结构，不满足这些性质。这里，D=g(H)不可逆，因此p'(H)不唯一。</t>
  </si>
  <si>
    <t>00:33:15.667 不过，当g=1时，这种解法是可行的，尽管这个方法首先需要求出完整的矩阵B。</t>
  </si>
  <si>
    <t>00:33:24.567 同时，因为矩阵B不是三角结构，还需标记每行首个为1的元素的位置来选择。因此，直接计算q(H)y会更加方便。</t>
  </si>
  <si>
    <t>00:33:36.067 最终，我们通过欧几里得法和反向叠加法，完成了Bx=y的求解，实现了点灯游戏O(n²)的时间复杂度的算法。</t>
  </si>
  <si>
    <t>这里，deg表示最高次数，r'是静默操作数，也就是n-r。r'的值决定了解的数量，即2ʳ'。</t>
  </si>
  <si>
    <t>这里，矩阵B不可逆，其秩为r=3。现在，我们以r×r为界，将矩阵分为四个部分。</t>
  </si>
  <si>
    <t>由于前r'行可以表示为后r行的线性叠加，因此我们可以在消去z之前，先将其和前r'的任意行叠加，然后再求解。</t>
  </si>
  <si>
    <t>00:21:08,160 --&gt; 00:21:12,480</t>
  </si>
  <si>
    <t>这里DEG表示最高次数R撇是静默操作数，</t>
  </si>
  <si>
    <t>00:21:12,480 --&gt; 00:21:16,480</t>
  </si>
  <si>
    <t>也就是N减二R撇的值决定了解的数量，</t>
  </si>
  <si>
    <t>00:21:16,560 --&gt; 00:21:19,600</t>
  </si>
  <si>
    <t>即二的二撇次方。</t>
  </si>
  <si>
    <t>00:21:19,600 --&gt; 00:21:22,640</t>
  </si>
  <si>
    <t>将GX写成矩阵的形式记为G。</t>
  </si>
  <si>
    <t>00:21:24,080 --&gt; 00:21:25,120</t>
  </si>
  <si>
    <t>不难注意到，</t>
  </si>
  <si>
    <t>00:21:25,120 --&gt; 00:21:27,520</t>
  </si>
  <si>
    <t>只有当矩阵B为可逆矩阵时，</t>
  </si>
  <si>
    <t>00:21:27,520 --&gt; 00:21:28,720</t>
  </si>
  <si>
    <t>GX等于1。</t>
  </si>
  <si>
    <t>00:21:28,960 --&gt; 00:21:33,440</t>
  </si>
  <si>
    <t>00:21:35,120 --&gt; 00:21:37,120</t>
  </si>
  <si>
    <t>00:21:37,120 --&gt; 00:21:43,480</t>
  </si>
  <si>
    <t>00:21:43,480 --&gt; 00:21:45,320</t>
  </si>
  <si>
    <t>00:21:45,320 --&gt; 00:21:46,800</t>
  </si>
  <si>
    <t>00:21:47,360 --&gt; 00:21:49,520</t>
  </si>
  <si>
    <t>00:21:49,520 --&gt; 00:21:53,320</t>
  </si>
  <si>
    <t>将矩阵分为4个部分，</t>
  </si>
  <si>
    <t>00:21:53,320 --&gt; 00:21:56,800</t>
  </si>
  <si>
    <t>00:21:56,960 --&gt; 00:22:03,000</t>
  </si>
  <si>
    <t>00:22:03,000 --&gt; 00:22:07,040</t>
  </si>
  <si>
    <t>00:22:07,040 --&gt; 00:22:12,040</t>
  </si>
  <si>
    <t>00:22:12,040 --&gt; 00:22:17,080</t>
  </si>
  <si>
    <t>00:22:17,080 --&gt; 00:22:23,960</t>
  </si>
  <si>
    <t>00:22:23,960 --&gt; 00:22:24,000</t>
  </si>
  <si>
    <t>00:22:25,600 --&gt; 00:22:28,520</t>
  </si>
  <si>
    <t>00:22:28,520 --&gt; 00:22:31,840</t>
  </si>
  <si>
    <t>00:22:32,000 --&gt; 00:22:34,520</t>
  </si>
  <si>
    <t>00:22:36,000 --&gt; 00:22:39,160</t>
  </si>
  <si>
    <t>00:22:39,160 --&gt; 00:22:41,360</t>
  </si>
  <si>
    <t>00:22:42,000 --&gt; 00:22:45,880</t>
  </si>
  <si>
    <t>并且使用Q撇第一行求得的X也不是原方程的解，</t>
  </si>
  <si>
    <t>00:22:47,360 --&gt; 00:22:51,880</t>
  </si>
  <si>
    <t>如果我们令Q撇第一行为QX并且和PX相乘。</t>
  </si>
  <si>
    <t>00:22:52,080 --&gt; 00:22:54,280</t>
  </si>
  <si>
    <t>00:22:54,360 --&gt; 00:22:57,160</t>
  </si>
  <si>
    <t>00:22:57,160 --&gt; 00:22:57,840</t>
  </si>
  <si>
    <t>00:22:57,920 --&gt; 00:23:00,600</t>
  </si>
  <si>
    <t>00:23:00,600 --&gt; 00:23:03,440</t>
  </si>
  <si>
    <t>00:23:03,440 --&gt; 00:23:05,400</t>
  </si>
  <si>
    <t>00:23:06,880 --&gt; 00:23:09,720</t>
  </si>
  <si>
    <t>00:23:09,720 --&gt; 00:23:11,800</t>
  </si>
  <si>
    <t>00:23:11,800 --&gt; 00:23:13,280</t>
  </si>
  <si>
    <t>00:23:14,800 --&gt; 00:23:16,960</t>
  </si>
  <si>
    <t>00:23:17,040 --&gt; 00:23:19,560</t>
  </si>
  <si>
    <t>00:23:21,120 --&gt; 00:23:24,840</t>
  </si>
  <si>
    <t>00:23:24,920 --&gt; 00:23:26,280</t>
  </si>
  <si>
    <t>00:23:26,400 --&gt; 00:23:29,240</t>
  </si>
  <si>
    <t>00:23:30,720 --&gt; 00:23:31,360</t>
  </si>
  <si>
    <t>00:23:31,360 --&gt; 00:23:33,120</t>
  </si>
  <si>
    <t>00:23:33,120 --&gt; 00:23:40,560</t>
  </si>
  <si>
    <t>则QX不满足QXPX等于1modFX或者说满足QXPX等于1</t>
  </si>
  <si>
    <t>00:23:40,560 --&gt; 00:23:42,040</t>
  </si>
  <si>
    <t>的QX不存在。</t>
  </si>
  <si>
    <t>00:23:43,520 --&gt; 00:23:44,000</t>
  </si>
  <si>
    <t>00:23:44,000 --&gt; 00:23:45,520</t>
  </si>
  <si>
    <t>00:23:45,600 --&gt; 00:23:48,240</t>
  </si>
  <si>
    <t>00:23:49,760 --&gt; 00:23:51,600</t>
  </si>
  <si>
    <t>00:23:51,600 --&gt; 00:23:52,680</t>
  </si>
  <si>
    <t>00:23:54,160 --&gt; 00:24:00,520</t>
  </si>
  <si>
    <t>00:24:02,400 --&gt; 00:24:08,880</t>
  </si>
  <si>
    <t>00:24:10,720 --&gt; 00:24:13,440</t>
  </si>
  <si>
    <t>00:24:13,520 --&gt; 00:24:17,680</t>
  </si>
  <si>
    <t>00:24:19,760 --&gt; 00:24:20,280</t>
  </si>
  <si>
    <t>00:24:20,280 --&gt; 00:24:23,240</t>
  </si>
  <si>
    <t>我们定义Q撇X的逆多项式P撇X，</t>
  </si>
  <si>
    <t>00:24:23,440 --&gt; 00:24:24,480</t>
  </si>
  <si>
    <t>00:24:24,480 --&gt; 00:24:26,920</t>
  </si>
  <si>
    <t>00:24:28,480 --&gt; 00:24:30,160</t>
  </si>
  <si>
    <t>00:24:30,640 --&gt; 00:24:36,000</t>
  </si>
  <si>
    <t>为了方便表示这里将modFX的部分省去了。</t>
  </si>
  <si>
    <t>00:24:36,000 --&gt; 00:24:36,640</t>
  </si>
  <si>
    <t>00:24:36,640 --&gt; 00:24:38,200</t>
  </si>
  <si>
    <t>我们可以得到这些式子。</t>
  </si>
  <si>
    <t>00:24:39,680 --&gt; 00:24:40,240</t>
  </si>
  <si>
    <t>00:24:40,240 --&gt; 00:24:44,040</t>
  </si>
  <si>
    <t>我们得到了C等于GHX这里，</t>
  </si>
  <si>
    <t>00:24:44,040 --&gt; 00:24:45,520</t>
  </si>
  <si>
    <t>00:24:45,680 --&gt; 00:24:47,160</t>
  </si>
  <si>
    <t>00:24:48,720 --&gt; 00:24:50,880</t>
  </si>
  <si>
    <t>00:24:50,880 --&gt; 00:24:53,640</t>
  </si>
  <si>
    <t>00:24:54,160 --&gt; 00:24:58,480</t>
  </si>
  <si>
    <t>00:25:00,000 --&gt; 00:25:03,360</t>
  </si>
  <si>
    <t>00:25:03,840 --&gt; 00:25:05,640</t>
  </si>
  <si>
    <t>00:25:05,760 --&gt; 00:25:08,960</t>
  </si>
  <si>
    <t>00:25:10,480 --&gt; 00:25:14,320</t>
  </si>
  <si>
    <t>00:25:14,320 --&gt; 00:25:16,080</t>
  </si>
  <si>
    <t>00:25:16,160 --&gt; 00:25:18,560</t>
  </si>
  <si>
    <t>00:25:20,080 --&gt; 00:25:23,120</t>
  </si>
  <si>
    <t>00:25:23,600 --&gt; 00:25:26,960</t>
  </si>
  <si>
    <t>00:25:26,960 --&gt; 00:25:31,600</t>
  </si>
  <si>
    <t>00:25:31,600 --&gt; 00:25:33,080</t>
  </si>
  <si>
    <t>00:25:33,080 --&gt; 00:25:36,720</t>
  </si>
  <si>
    <t>00:25:36,720 --&gt; 00:25:38,640</t>
  </si>
  <si>
    <t>00:25:38,720 --&gt; 00:25:40,560</t>
  </si>
  <si>
    <t>00:25:41,040 --&gt; 00:25:42,720</t>
  </si>
  <si>
    <t>00:25:42,720 --&gt; 00:25:44,160</t>
  </si>
  <si>
    <t>00:25:46,080 --&gt; 00:25:50,640</t>
  </si>
  <si>
    <t>00:25:52,560 --&gt; 00:25:57,440</t>
  </si>
  <si>
    <t>00:25:57,440 --&gt; 00:26:00,320</t>
  </si>
  <si>
    <t>00:26:01,840 --&gt; 00:26:04,960</t>
  </si>
  <si>
    <t>00:26:05,120 --&gt; 00:26:07,000</t>
  </si>
  <si>
    <t>00:26:07,000 --&gt; 00:26:11,160</t>
  </si>
  <si>
    <t>00:26:11,160 --&gt; 00:26:13,240</t>
  </si>
  <si>
    <t>00:26:13,440 --&gt; 00:26:16,320</t>
  </si>
  <si>
    <t>00:26:16,320 --&gt; 00:26:20,640</t>
  </si>
  <si>
    <t>00:26:20,640 --&gt; 00:26:23,560</t>
  </si>
  <si>
    <t>00:26:23,760 --&gt; 00:26:25,760</t>
  </si>
  <si>
    <t>00:26:26,080 --&gt; 00:26:30,640</t>
  </si>
  <si>
    <t>00:26:30,640 --&gt; 00:26:32,640</t>
  </si>
  <si>
    <t>00:26:32,640 --&gt; 00:26:36,400</t>
  </si>
  <si>
    <t>00:26:37,920 --&gt; 00:26:40,720</t>
  </si>
  <si>
    <t>00:26:40,960 --&gt; 00:26:47,160</t>
  </si>
  <si>
    <t>只需要将GX和K直接相乘即可得到第一个矩阵的最后一行即矩阵地</t>
  </si>
  <si>
    <t>00:26:47,160 --&gt; 00:26:48,000</t>
  </si>
  <si>
    <t>的第一行地，</t>
  </si>
  <si>
    <t>00:26:49,520 --&gt; 00:26:54,320</t>
  </si>
  <si>
    <t>然后我们就可以使用十字偶校验约束的递推关系求得之后的行，</t>
  </si>
  <si>
    <t>00:26:55,840 --&gt; 00:26:58,560</t>
  </si>
  <si>
    <t>00:26:58,560 --&gt; 00:27:01,000</t>
  </si>
  <si>
    <t>因此具有以下这些性质，</t>
  </si>
  <si>
    <t>00:27:01,000 --&gt; 00:27:02,320</t>
  </si>
  <si>
    <t>00:27:02,640 --&gt; 00:27:03,280</t>
  </si>
  <si>
    <t>00:27:03,520 --&gt; 00:27:04,560</t>
  </si>
  <si>
    <t>二撇等于2，</t>
  </si>
  <si>
    <t>00:27:06,640 --&gt; 00:27:08,240</t>
  </si>
  <si>
    <t>00:27:08,560 --&gt; 00:27:12,920</t>
  </si>
  <si>
    <t>00:27:14,720 --&gt; 00:27:16,400</t>
  </si>
  <si>
    <t>00:27:16,560 --&gt; 00:27:22,120</t>
  </si>
  <si>
    <t>00:27:22,120 --&gt; 00:27:24,000</t>
  </si>
  <si>
    <t>00:27:24,160 --&gt; 00:27:29,720</t>
  </si>
  <si>
    <t>00:27:29,720 --&gt; 00:27:31,600</t>
  </si>
  <si>
    <t>00:27:31,760 --&gt; 00:27:36,320</t>
  </si>
  <si>
    <t>任意一行都可以由后二等于三行叠加，</t>
  </si>
  <si>
    <t>00:27:36,320 --&gt; 00:27:38,000</t>
  </si>
  <si>
    <t>这些性质都不难证明。</t>
  </si>
  <si>
    <t>00:27:38,160 --&gt; 00:27:40,400</t>
  </si>
  <si>
    <t>00:27:41,840 --&gt; 00:27:45,440</t>
  </si>
  <si>
    <t>00:27:45,920 --&gt; 00:27:48,720</t>
  </si>
  <si>
    <t>00:27:48,720 --&gt; 00:27:52,880</t>
  </si>
  <si>
    <t>00:27:52,960 --&gt; 00:27:55,960</t>
  </si>
  <si>
    <t>00:27:55,960 --&gt; 00:27:58,520</t>
  </si>
  <si>
    <t>00:27:58,520 --&gt; 00:28:01,440</t>
  </si>
  <si>
    <t>00:28:01,440 --&gt; 00:28:02,640</t>
  </si>
  <si>
    <t>00:28:04,320 --&gt; 00:28:08,400</t>
  </si>
  <si>
    <t>00:28:08,400 --&gt; 00:28:11,080</t>
  </si>
  <si>
    <t>00:28:11,080 --&gt; 00:28:14,320</t>
  </si>
  <si>
    <t>00:28:14,880 --&gt; 00:28:16,320</t>
  </si>
  <si>
    <t>00:28:16,320 --&gt; 00:28:19,760</t>
  </si>
  <si>
    <t>00:28:19,760 --&gt; 00:28:22,160</t>
  </si>
  <si>
    <t>00:28:22,640 --&gt; 00:28:24,160</t>
  </si>
  <si>
    <t>00:28:24,240 --&gt; 00:28:27,200</t>
  </si>
  <si>
    <t>00:28:27,200 --&gt; 00:28:29,040</t>
  </si>
  <si>
    <t>00:28:30,560 --&gt; 00:28:32,560</t>
  </si>
  <si>
    <t>00:28:32,560 --&gt; 00:28:33,600</t>
  </si>
  <si>
    <t>00:28:33,720 --&gt; 00:28:34,240</t>
  </si>
  <si>
    <t>00:28:34,240 --&gt; 00:28:38,120</t>
  </si>
  <si>
    <t>00:28:38,120 --&gt; 00:28:40,920</t>
  </si>
  <si>
    <t>00:28:40,920 --&gt; 00:28:45,680</t>
  </si>
  <si>
    <t>00:28:45,680 --&gt; 00:28:48,400</t>
  </si>
  <si>
    <t>00:28:48,400 --&gt; 00:28:50,640</t>
  </si>
  <si>
    <t>00:28:50,800 --&gt; 00:28:52,560</t>
  </si>
  <si>
    <t>00:28:54,160 --&gt; 00:28:56,400</t>
  </si>
  <si>
    <t>00:28:56,400 --&gt; 00:28:57,200</t>
  </si>
  <si>
    <t>00:28:57,360 --&gt; 00:29:00,320</t>
  </si>
  <si>
    <t>00:29:02,000 --&gt; 00:29:02,520</t>
  </si>
  <si>
    <t>00:29:02,520 --&gt; 00:29:06,800</t>
  </si>
  <si>
    <t>我们通过一次叠加地的后三行将Z的元素依次消去，</t>
  </si>
  <si>
    <t>00:29:07,280 --&gt; 00:29:09,680</t>
  </si>
  <si>
    <t>00:29:09,680 --&gt; 00:29:11,440</t>
  </si>
  <si>
    <t>00:29:12,960 --&gt; 00:29:15,880</t>
  </si>
  <si>
    <t>00:29:17,360 --&gt; 00:29:20,920</t>
  </si>
  <si>
    <t>00:29:21,120 --&gt; 00:29:26,080</t>
  </si>
  <si>
    <t>因此我们可以在消去Z之前先将其和前二撇的任意行叠加，</t>
  </si>
  <si>
    <t>00:29:26,080 --&gt; 00:29:27,240</t>
  </si>
  <si>
    <t>00:29:28,720 --&gt; 00:29:31,600</t>
  </si>
  <si>
    <t>00:29:31,760 --&gt; 00:29:32,240</t>
  </si>
  <si>
    <t>00:29:32,240 --&gt; 00:29:34,640</t>
  </si>
  <si>
    <t>求得的解也有2的2撇次方种。</t>
  </si>
  <si>
    <t>00:29:36,160 --&gt; 00:29:36,880</t>
  </si>
  <si>
    <t>00:29:36,960 --&gt; 00:29:39,680</t>
  </si>
  <si>
    <t>由于矩阵地满足10字偶校验约束，</t>
  </si>
  <si>
    <t>00:29:39,680 --&gt; 00:29:41,960</t>
  </si>
  <si>
    <t>00:29:41,960 --&gt; 00:29:42,520</t>
  </si>
  <si>
    <t>00:29:42,520 --&gt; 00:29:44,320</t>
  </si>
  <si>
    <t>00:29:45,840 --&gt; 00:29:48,400</t>
  </si>
  <si>
    <t>因此我们可以同样只叠加前2行，</t>
  </si>
  <si>
    <t>00:29:48,560 --&gt; 00:29:51,040</t>
  </si>
  <si>
    <t>00:29:51,040 --&gt; 00:29:52,560</t>
  </si>
  <si>
    <t>00:29:52,560 --&gt; 00:29:53,760</t>
  </si>
  <si>
    <t>00:29:55,200 --&gt; 00:29:56,920</t>
  </si>
  <si>
    <t>00:29:56,920 --&gt; 00:29:59,160</t>
  </si>
  <si>
    <t>00:30:00,680 --&gt; 00:30:04,480</t>
  </si>
  <si>
    <t>00:30:04,640 --&gt; 00:30:08,400</t>
  </si>
  <si>
    <t>00:30:09,840 --&gt; 00:30:13,120</t>
  </si>
  <si>
    <t>00:30:13,120 --&gt; 00:30:15,720</t>
  </si>
  <si>
    <t>00:30:15,720 --&gt; 00:30:19,360</t>
  </si>
  <si>
    <t>满足前面说到的四个性质。</t>
  </si>
  <si>
    <t>00:30:19,360 --&gt; 00:30:22,560</t>
  </si>
  <si>
    <t>00:30:22,560 --&gt; 00:30:24,360</t>
  </si>
  <si>
    <t>00:30:24,360 --&gt; 00:30:27,120</t>
  </si>
  <si>
    <t>00:30:27,120 --&gt; 00:30:29,400</t>
  </si>
  <si>
    <t>00:30:30,880 --&gt; 00:30:31,400</t>
  </si>
  <si>
    <t>00:30:31,400 --&gt; 00:30:32,640</t>
  </si>
  <si>
    <t>00:30:32,640 --&gt; 00:30:34,200</t>
  </si>
  <si>
    <t>00:30:34,560 --&gt; 00:30:37,840</t>
  </si>
  <si>
    <t>00:30:39,360 --&gt; 00:30:42,120</t>
  </si>
  <si>
    <t>00:30:42,120 --&gt; 00:30:45,520</t>
  </si>
  <si>
    <t>00:30:46,000 --&gt; 00:30:46,600</t>
  </si>
  <si>
    <t>00:30:46,600 --&gt; 00:30:50,800</t>
  </si>
  <si>
    <t>00:30:50,800 --&gt; 00:30:51,320</t>
  </si>
  <si>
    <t>00:30:51,320 --&gt; 00:30:54,040</t>
  </si>
  <si>
    <t>00:30:54,240 --&gt; 00:30:56,400</t>
  </si>
  <si>
    <t>00:30:56,480 --&gt; 00:30:58,440</t>
  </si>
  <si>
    <t>实现了点灯游戏哦，</t>
  </si>
  <si>
    <t>00:30:58,440 --&gt; 00:31:02,360</t>
  </si>
  <si>
    <t>N的二次方的时间复杂度的算法。</t>
  </si>
  <si>
    <t>00:31:02,360 --&gt; 00:31:04,080</t>
  </si>
  <si>
    <t>00:31:04,080 --&gt; 00:31:05,360</t>
  </si>
  <si>
    <t>00:31:05,360 --&gt; 00:31:06,640</t>
  </si>
  <si>
    <t>00:31:06,640 --&gt; 00:31:10,200</t>
  </si>
  <si>
    <t>00:31:10,200 --&gt; 00:31:14,720</t>
  </si>
  <si>
    <t>是有可能优化到O分成logN的。</t>
  </si>
  <si>
    <t>00:31:14,720 --&gt; 00:31:17,040</t>
  </si>
  <si>
    <t>00:31:17,120 --&gt; 00:31:18,320</t>
  </si>
  <si>
    <t>00:31:18,320 --&gt; 00:31:19,960</t>
  </si>
  <si>
    <t>00:31:20,240 --&gt; 00:31:21,760</t>
  </si>
  <si>
    <t>00:31:22,320 --&gt; 00:31:25,080</t>
  </si>
  <si>
    <t>00:31:26,560 --&gt; 00:31:28,680</t>
  </si>
  <si>
    <t>00:31:28,680 --&gt; 00:31:33,000</t>
  </si>
  <si>
    <t>00:31:33,000 --&gt; 00:31:35,520</t>
  </si>
  <si>
    <t>00:31:36,080 --&gt; 00:31:36,960</t>
  </si>
  <si>
    <t>00:22:33.667 不可逆矩阵</t>
  </si>
  <si>
    <t>00:25:54.533 反向叠加法</t>
  </si>
  <si>
    <t>00:34:10.433 向量和矩阵的乘法，欧几里得算法，逆向消元法，理论上通过卷积、FFT或牛顿迭代法，是有可能优化到O(n·log(n))的。</t>
  </si>
  <si>
    <t>00:34:24.033 考虑到UP主《信号与系统》、《数字信号处理》、《数值分析》等课程较差，暂时就不研究了。有兴趣的小伙伴可自行研究并留言。</t>
  </si>
  <si>
    <t>00:34:37.633 如果对视频中的内容有疑问，觉得视频内容表述不清，或者发现视频中的任何错误，也请小伙伴们多多留言和指证。谢谢观看！</t>
  </si>
  <si>
    <t>00:34:06.733 算法总结</t>
  </si>
  <si>
    <t>00:34:51.833 参考文献</t>
  </si>
  <si>
    <t>00:35:15.000 结尾？</t>
    <phoneticPr fontId="1" type="noConversion"/>
  </si>
  <si>
    <t>0:29-4:29</t>
    <phoneticPr fontId="1" type="noConversion"/>
  </si>
  <si>
    <t>0:00-4:05</t>
    <phoneticPr fontId="1" type="noConversion"/>
  </si>
  <si>
    <t>Ganon Blight Battle</t>
    <phoneticPr fontId="1" type="noConversion"/>
  </si>
  <si>
    <t>需要是正的</t>
    <phoneticPr fontId="1" type="noConversion"/>
  </si>
  <si>
    <t>0:44-5:00</t>
    <phoneticPr fontId="1" type="noConversion"/>
  </si>
  <si>
    <t>Guardian Blight Battle</t>
    <phoneticPr fontId="1" type="noConversion"/>
  </si>
  <si>
    <t>01.mp3</t>
    <phoneticPr fontId="1" type="noConversion"/>
  </si>
  <si>
    <t>02.mp3</t>
    <phoneticPr fontId="1" type="noConversion"/>
  </si>
  <si>
    <t>03.mp3</t>
    <phoneticPr fontId="1" type="noConversion"/>
  </si>
  <si>
    <t>04.mp3</t>
    <phoneticPr fontId="1" type="noConversion"/>
  </si>
  <si>
    <t>05.mp3</t>
    <phoneticPr fontId="1" type="noConversion"/>
  </si>
  <si>
    <t>06.mp3</t>
    <phoneticPr fontId="1" type="noConversion"/>
  </si>
  <si>
    <t>07.mp3</t>
    <phoneticPr fontId="1" type="noConversion"/>
  </si>
  <si>
    <t>08.mp3</t>
    <phoneticPr fontId="1" type="noConversion"/>
  </si>
  <si>
    <t>09.mp3</t>
    <phoneticPr fontId="1" type="noConversion"/>
  </si>
  <si>
    <t>10.mp3</t>
    <phoneticPr fontId="1" type="noConversion"/>
  </si>
  <si>
    <t>11.mp3</t>
    <phoneticPr fontId="1" type="noConversion"/>
  </si>
  <si>
    <t>12.mp3</t>
    <phoneticPr fontId="1" type="noConversion"/>
  </si>
  <si>
    <t>13.mp3</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</si>
</sst>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hh:mm:ss.000"/>
    <numFmt numFmtId="177" formatCode="s.00"/>
    <numFmt numFmtId="178" formatCode="0.00_ ;[Red]\-0.00\ "/>
    <numFmt numFmtId="179" formatCode="0.00_);[Red]\(0.00\)"/>
    <numFmt numFmtId="181" formatCode="0.0_ "/>
    <numFmt numFmtId="182" formatCode="m:ss.0"/>
    <numFmt numFmtId="183" formatCode="0.00_ "/>
  </numFmts>
  <fonts count="8"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b/>
      <sz val="11"/>
      <color theme="1"/>
      <name val="等线"/>
      <family val="2"/>
      <charset val="134"/>
      <scheme val="minor"/>
    </font>
    <font>
      <sz val="11"/>
      <color rgb="FF0070C0"/>
      <name val="等线"/>
      <family val="2"/>
      <charset val="134"/>
      <scheme val="minor"/>
    </font>
    <font>
      <sz val="11"/>
      <color theme="5" tint="-0.249977111117893"/>
      <name val="等线"/>
      <family val="2"/>
      <charset val="134"/>
      <scheme val="minor"/>
    </font>
    <font>
      <sz val="11"/>
      <color theme="5" tint="-0.249977111117893"/>
      <name val="等线"/>
      <family val="3"/>
      <charset val="134"/>
      <scheme val="minor"/>
    </font>
  </fonts>
  <fills count="3">
    <fill>
      <patternFill patternType="none"/>
    </fill>
    <fill>
      <patternFill patternType="gray125"/>
    </fill>
    <fill>
      <patternFill patternType="solid">
        <fgColor theme="9" tint="0.59999389629810485"/>
        <bgColor indexed="64"/>
      </patternFill>
    </fill>
  </fills>
  <borders count="1">
    <border>
      <left/>
      <right/>
      <top/>
      <bottom/>
      <diagonal/>
    </border>
  </borders>
  <cellStyleXfs count="1">
    <xf numFmtId="0" fontId="0" fillId="0" borderId="0">
      <alignment vertical="center"/>
    </xf>
  </cellStyleXfs>
  <cellXfs count="22">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xf numFmtId="0" fontId="2" fillId="0" borderId="0" xfId="0" applyFo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21" fontId="0" fillId="0" borderId="0" xfId="0" applyNumberFormat="1">
      <alignment vertical="center"/>
    </xf>
    <xf numFmtId="176" fontId="3" fillId="0" borderId="0" xfId="0" applyNumberFormat="1" applyFont="1">
      <alignment vertical="center"/>
    </xf>
    <xf numFmtId="177" fontId="3" fillId="0" borderId="0" xfId="0" applyNumberFormat="1" applyFont="1">
      <alignment vertical="center"/>
    </xf>
    <xf numFmtId="177" fontId="2" fillId="0" borderId="0" xfId="0" applyNumberFormat="1" applyFont="1">
      <alignment vertical="center"/>
    </xf>
    <xf numFmtId="49" fontId="0" fillId="0" borderId="0" xfId="0" applyNumberFormat="1">
      <alignment vertical="center"/>
    </xf>
    <xf numFmtId="181" fontId="0" fillId="0" borderId="0" xfId="0" applyNumberFormat="1">
      <alignment vertical="center"/>
    </xf>
    <xf numFmtId="182" fontId="0" fillId="0" borderId="0" xfId="0" applyNumberFormat="1">
      <alignment vertical="center"/>
    </xf>
    <xf numFmtId="182" fontId="3" fillId="0" borderId="0" xfId="0" applyNumberFormat="1" applyFont="1">
      <alignment vertical="center"/>
    </xf>
    <xf numFmtId="181" fontId="0" fillId="2" borderId="0" xfId="0" applyNumberFormat="1" applyFill="1">
      <alignment vertical="center"/>
    </xf>
    <xf numFmtId="183"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59"/>
  <sheetViews>
    <sheetView topLeftCell="A2349" workbookViewId="0">
      <selection activeCell="A2371" sqref="A2361:A2371"/>
    </sheetView>
  </sheetViews>
  <sheetFormatPr defaultRowHeight="14" x14ac:dyDescent="0.3"/>
  <sheetData>
    <row r="1" spans="1:1" x14ac:dyDescent="0.3">
      <c r="A1">
        <v>1</v>
      </c>
    </row>
    <row r="2" spans="1:1" x14ac:dyDescent="0.3">
      <c r="A2" t="s">
        <v>451</v>
      </c>
    </row>
    <row r="3" spans="1:1" x14ac:dyDescent="0.3">
      <c r="A3" t="s">
        <v>8</v>
      </c>
    </row>
    <row r="5" spans="1:1" x14ac:dyDescent="0.3">
      <c r="A5">
        <v>2</v>
      </c>
    </row>
    <row r="6" spans="1:1" x14ac:dyDescent="0.3">
      <c r="A6" t="s">
        <v>452</v>
      </c>
    </row>
    <row r="7" spans="1:1" x14ac:dyDescent="0.3">
      <c r="A7" t="s">
        <v>9</v>
      </c>
    </row>
    <row r="9" spans="1:1" x14ac:dyDescent="0.3">
      <c r="A9">
        <v>3</v>
      </c>
    </row>
    <row r="10" spans="1:1" x14ac:dyDescent="0.3">
      <c r="A10" t="s">
        <v>453</v>
      </c>
    </row>
    <row r="11" spans="1:1" x14ac:dyDescent="0.3">
      <c r="A11" t="s">
        <v>10</v>
      </c>
    </row>
    <row r="13" spans="1:1" x14ac:dyDescent="0.3">
      <c r="A13">
        <v>4</v>
      </c>
    </row>
    <row r="14" spans="1:1" x14ac:dyDescent="0.3">
      <c r="A14" t="s">
        <v>454</v>
      </c>
    </row>
    <row r="15" spans="1:1" x14ac:dyDescent="0.3">
      <c r="A15" t="s">
        <v>455</v>
      </c>
    </row>
    <row r="17" spans="1:1" x14ac:dyDescent="0.3">
      <c r="A17">
        <v>5</v>
      </c>
    </row>
    <row r="18" spans="1:1" x14ac:dyDescent="0.3">
      <c r="A18" t="s">
        <v>456</v>
      </c>
    </row>
    <row r="19" spans="1:1" x14ac:dyDescent="0.3">
      <c r="A19" t="s">
        <v>457</v>
      </c>
    </row>
    <row r="21" spans="1:1" x14ac:dyDescent="0.3">
      <c r="A21">
        <v>6</v>
      </c>
    </row>
    <row r="22" spans="1:1" x14ac:dyDescent="0.3">
      <c r="A22" t="s">
        <v>458</v>
      </c>
    </row>
    <row r="23" spans="1:1" x14ac:dyDescent="0.3">
      <c r="A23" t="s">
        <v>459</v>
      </c>
    </row>
    <row r="25" spans="1:1" x14ac:dyDescent="0.3">
      <c r="A25">
        <v>7</v>
      </c>
    </row>
    <row r="26" spans="1:1" x14ac:dyDescent="0.3">
      <c r="A26" t="s">
        <v>460</v>
      </c>
    </row>
    <row r="27" spans="1:1" x14ac:dyDescent="0.3">
      <c r="A27" t="s">
        <v>461</v>
      </c>
    </row>
    <row r="29" spans="1:1" x14ac:dyDescent="0.3">
      <c r="A29">
        <v>8</v>
      </c>
    </row>
    <row r="30" spans="1:1" x14ac:dyDescent="0.3">
      <c r="A30" t="s">
        <v>462</v>
      </c>
    </row>
    <row r="31" spans="1:1" x14ac:dyDescent="0.3">
      <c r="A31" t="s">
        <v>463</v>
      </c>
    </row>
    <row r="33" spans="1:1" x14ac:dyDescent="0.3">
      <c r="A33">
        <v>9</v>
      </c>
    </row>
    <row r="34" spans="1:1" x14ac:dyDescent="0.3">
      <c r="A34" t="s">
        <v>464</v>
      </c>
    </row>
    <row r="35" spans="1:1" x14ac:dyDescent="0.3">
      <c r="A35" t="s">
        <v>465</v>
      </c>
    </row>
    <row r="37" spans="1:1" x14ac:dyDescent="0.3">
      <c r="A37">
        <v>10</v>
      </c>
    </row>
    <row r="38" spans="1:1" x14ac:dyDescent="0.3">
      <c r="A38" t="s">
        <v>466</v>
      </c>
    </row>
    <row r="39" spans="1:1" x14ac:dyDescent="0.3">
      <c r="A39" t="s">
        <v>467</v>
      </c>
    </row>
    <row r="41" spans="1:1" x14ac:dyDescent="0.3">
      <c r="A41">
        <v>11</v>
      </c>
    </row>
    <row r="42" spans="1:1" x14ac:dyDescent="0.3">
      <c r="A42" t="s">
        <v>468</v>
      </c>
    </row>
    <row r="43" spans="1:1" x14ac:dyDescent="0.3">
      <c r="A43" t="s">
        <v>11</v>
      </c>
    </row>
    <row r="45" spans="1:1" x14ac:dyDescent="0.3">
      <c r="A45">
        <v>12</v>
      </c>
    </row>
    <row r="46" spans="1:1" x14ac:dyDescent="0.3">
      <c r="A46" t="s">
        <v>469</v>
      </c>
    </row>
    <row r="47" spans="1:1" x14ac:dyDescent="0.3">
      <c r="A47" t="s">
        <v>12</v>
      </c>
    </row>
    <row r="49" spans="1:1" x14ac:dyDescent="0.3">
      <c r="A49">
        <v>13</v>
      </c>
    </row>
    <row r="50" spans="1:1" x14ac:dyDescent="0.3">
      <c r="A50" t="s">
        <v>470</v>
      </c>
    </row>
    <row r="51" spans="1:1" x14ac:dyDescent="0.3">
      <c r="A51" t="s">
        <v>13</v>
      </c>
    </row>
    <row r="53" spans="1:1" x14ac:dyDescent="0.3">
      <c r="A53">
        <v>14</v>
      </c>
    </row>
    <row r="54" spans="1:1" x14ac:dyDescent="0.3">
      <c r="A54" t="s">
        <v>471</v>
      </c>
    </row>
    <row r="55" spans="1:1" x14ac:dyDescent="0.3">
      <c r="A55" t="s">
        <v>14</v>
      </c>
    </row>
    <row r="57" spans="1:1" x14ac:dyDescent="0.3">
      <c r="A57">
        <v>15</v>
      </c>
    </row>
    <row r="58" spans="1:1" x14ac:dyDescent="0.3">
      <c r="A58" t="s">
        <v>472</v>
      </c>
    </row>
    <row r="59" spans="1:1" x14ac:dyDescent="0.3">
      <c r="A59" t="s">
        <v>15</v>
      </c>
    </row>
    <row r="61" spans="1:1" x14ac:dyDescent="0.3">
      <c r="A61">
        <v>16</v>
      </c>
    </row>
    <row r="62" spans="1:1" x14ac:dyDescent="0.3">
      <c r="A62" t="s">
        <v>473</v>
      </c>
    </row>
    <row r="63" spans="1:1" x14ac:dyDescent="0.3">
      <c r="A63" t="s">
        <v>16</v>
      </c>
    </row>
    <row r="65" spans="1:1" x14ac:dyDescent="0.3">
      <c r="A65">
        <v>17</v>
      </c>
    </row>
    <row r="66" spans="1:1" x14ac:dyDescent="0.3">
      <c r="A66" t="s">
        <v>474</v>
      </c>
    </row>
    <row r="67" spans="1:1" x14ac:dyDescent="0.3">
      <c r="A67" t="s">
        <v>17</v>
      </c>
    </row>
    <row r="69" spans="1:1" x14ac:dyDescent="0.3">
      <c r="A69">
        <v>18</v>
      </c>
    </row>
    <row r="70" spans="1:1" x14ac:dyDescent="0.3">
      <c r="A70" t="s">
        <v>475</v>
      </c>
    </row>
    <row r="71" spans="1:1" x14ac:dyDescent="0.3">
      <c r="A71" t="s">
        <v>476</v>
      </c>
    </row>
    <row r="73" spans="1:1" x14ac:dyDescent="0.3">
      <c r="A73">
        <v>19</v>
      </c>
    </row>
    <row r="74" spans="1:1" x14ac:dyDescent="0.3">
      <c r="A74" t="s">
        <v>477</v>
      </c>
    </row>
    <row r="75" spans="1:1" x14ac:dyDescent="0.3">
      <c r="A75" t="s">
        <v>478</v>
      </c>
    </row>
    <row r="77" spans="1:1" x14ac:dyDescent="0.3">
      <c r="A77">
        <v>20</v>
      </c>
    </row>
    <row r="78" spans="1:1" x14ac:dyDescent="0.3">
      <c r="A78" t="s">
        <v>479</v>
      </c>
    </row>
    <row r="79" spans="1:1" x14ac:dyDescent="0.3">
      <c r="A79" t="s">
        <v>18</v>
      </c>
    </row>
    <row r="81" spans="1:1" x14ac:dyDescent="0.3">
      <c r="A81">
        <v>21</v>
      </c>
    </row>
    <row r="82" spans="1:1" x14ac:dyDescent="0.3">
      <c r="A82" t="s">
        <v>480</v>
      </c>
    </row>
    <row r="83" spans="1:1" x14ac:dyDescent="0.3">
      <c r="A83" t="s">
        <v>481</v>
      </c>
    </row>
    <row r="85" spans="1:1" x14ac:dyDescent="0.3">
      <c r="A85">
        <v>22</v>
      </c>
    </row>
    <row r="86" spans="1:1" x14ac:dyDescent="0.3">
      <c r="A86" t="s">
        <v>482</v>
      </c>
    </row>
    <row r="87" spans="1:1" x14ac:dyDescent="0.3">
      <c r="A87" t="s">
        <v>19</v>
      </c>
    </row>
    <row r="89" spans="1:1" x14ac:dyDescent="0.3">
      <c r="A89">
        <v>23</v>
      </c>
    </row>
    <row r="90" spans="1:1" x14ac:dyDescent="0.3">
      <c r="A90" t="s">
        <v>483</v>
      </c>
    </row>
    <row r="91" spans="1:1" x14ac:dyDescent="0.3">
      <c r="A91" t="s">
        <v>20</v>
      </c>
    </row>
    <row r="93" spans="1:1" x14ac:dyDescent="0.3">
      <c r="A93">
        <v>24</v>
      </c>
    </row>
    <row r="94" spans="1:1" x14ac:dyDescent="0.3">
      <c r="A94" t="s">
        <v>484</v>
      </c>
    </row>
    <row r="95" spans="1:1" x14ac:dyDescent="0.3">
      <c r="A95" t="s">
        <v>21</v>
      </c>
    </row>
    <row r="97" spans="1:1" x14ac:dyDescent="0.3">
      <c r="A97">
        <v>25</v>
      </c>
    </row>
    <row r="98" spans="1:1" x14ac:dyDescent="0.3">
      <c r="A98" t="s">
        <v>485</v>
      </c>
    </row>
    <row r="99" spans="1:1" x14ac:dyDescent="0.3">
      <c r="A99" t="s">
        <v>486</v>
      </c>
    </row>
    <row r="101" spans="1:1" x14ac:dyDescent="0.3">
      <c r="A101">
        <v>26</v>
      </c>
    </row>
    <row r="102" spans="1:1" x14ac:dyDescent="0.3">
      <c r="A102" t="s">
        <v>487</v>
      </c>
    </row>
    <row r="103" spans="1:1" x14ac:dyDescent="0.3">
      <c r="A103" t="s">
        <v>22</v>
      </c>
    </row>
    <row r="105" spans="1:1" x14ac:dyDescent="0.3">
      <c r="A105">
        <v>27</v>
      </c>
    </row>
    <row r="106" spans="1:1" x14ac:dyDescent="0.3">
      <c r="A106" t="s">
        <v>488</v>
      </c>
    </row>
    <row r="107" spans="1:1" x14ac:dyDescent="0.3">
      <c r="A107" t="s">
        <v>23</v>
      </c>
    </row>
    <row r="109" spans="1:1" x14ac:dyDescent="0.3">
      <c r="A109">
        <v>28</v>
      </c>
    </row>
    <row r="110" spans="1:1" x14ac:dyDescent="0.3">
      <c r="A110" t="s">
        <v>489</v>
      </c>
    </row>
    <row r="111" spans="1:1" x14ac:dyDescent="0.3">
      <c r="A111" t="s">
        <v>24</v>
      </c>
    </row>
    <row r="113" spans="1:1" x14ac:dyDescent="0.3">
      <c r="A113">
        <v>29</v>
      </c>
    </row>
    <row r="114" spans="1:1" x14ac:dyDescent="0.3">
      <c r="A114" t="s">
        <v>490</v>
      </c>
    </row>
    <row r="115" spans="1:1" x14ac:dyDescent="0.3">
      <c r="A115" t="s">
        <v>25</v>
      </c>
    </row>
    <row r="117" spans="1:1" x14ac:dyDescent="0.3">
      <c r="A117">
        <v>30</v>
      </c>
    </row>
    <row r="118" spans="1:1" x14ac:dyDescent="0.3">
      <c r="A118" t="s">
        <v>491</v>
      </c>
    </row>
    <row r="119" spans="1:1" x14ac:dyDescent="0.3">
      <c r="A119" t="s">
        <v>26</v>
      </c>
    </row>
    <row r="121" spans="1:1" x14ac:dyDescent="0.3">
      <c r="A121">
        <v>31</v>
      </c>
    </row>
    <row r="122" spans="1:1" x14ac:dyDescent="0.3">
      <c r="A122" t="s">
        <v>492</v>
      </c>
    </row>
    <row r="123" spans="1:1" x14ac:dyDescent="0.3">
      <c r="A123" t="s">
        <v>27</v>
      </c>
    </row>
    <row r="125" spans="1:1" x14ac:dyDescent="0.3">
      <c r="A125">
        <v>32</v>
      </c>
    </row>
    <row r="126" spans="1:1" x14ac:dyDescent="0.3">
      <c r="A126" t="s">
        <v>493</v>
      </c>
    </row>
    <row r="127" spans="1:1" x14ac:dyDescent="0.3">
      <c r="A127" t="s">
        <v>28</v>
      </c>
    </row>
    <row r="129" spans="1:1" x14ac:dyDescent="0.3">
      <c r="A129">
        <v>33</v>
      </c>
    </row>
    <row r="130" spans="1:1" x14ac:dyDescent="0.3">
      <c r="A130" t="s">
        <v>494</v>
      </c>
    </row>
    <row r="131" spans="1:1" x14ac:dyDescent="0.3">
      <c r="A131" t="s">
        <v>29</v>
      </c>
    </row>
    <row r="133" spans="1:1" x14ac:dyDescent="0.3">
      <c r="A133">
        <v>34</v>
      </c>
    </row>
    <row r="134" spans="1:1" x14ac:dyDescent="0.3">
      <c r="A134" t="s">
        <v>495</v>
      </c>
    </row>
    <row r="135" spans="1:1" x14ac:dyDescent="0.3">
      <c r="A135" t="s">
        <v>30</v>
      </c>
    </row>
    <row r="137" spans="1:1" x14ac:dyDescent="0.3">
      <c r="A137">
        <v>35</v>
      </c>
    </row>
    <row r="138" spans="1:1" x14ac:dyDescent="0.3">
      <c r="A138" t="s">
        <v>496</v>
      </c>
    </row>
    <row r="139" spans="1:1" x14ac:dyDescent="0.3">
      <c r="A139" t="s">
        <v>31</v>
      </c>
    </row>
    <row r="141" spans="1:1" x14ac:dyDescent="0.3">
      <c r="A141">
        <v>36</v>
      </c>
    </row>
    <row r="142" spans="1:1" x14ac:dyDescent="0.3">
      <c r="A142" t="s">
        <v>497</v>
      </c>
    </row>
    <row r="143" spans="1:1" x14ac:dyDescent="0.3">
      <c r="A143" t="s">
        <v>32</v>
      </c>
    </row>
    <row r="145" spans="1:1" x14ac:dyDescent="0.3">
      <c r="A145">
        <v>37</v>
      </c>
    </row>
    <row r="146" spans="1:1" x14ac:dyDescent="0.3">
      <c r="A146" t="s">
        <v>498</v>
      </c>
    </row>
    <row r="147" spans="1:1" x14ac:dyDescent="0.3">
      <c r="A147" t="s">
        <v>33</v>
      </c>
    </row>
    <row r="149" spans="1:1" x14ac:dyDescent="0.3">
      <c r="A149">
        <v>38</v>
      </c>
    </row>
    <row r="150" spans="1:1" x14ac:dyDescent="0.3">
      <c r="A150" t="s">
        <v>499</v>
      </c>
    </row>
    <row r="151" spans="1:1" x14ac:dyDescent="0.3">
      <c r="A151" t="s">
        <v>500</v>
      </c>
    </row>
    <row r="153" spans="1:1" x14ac:dyDescent="0.3">
      <c r="A153">
        <v>39</v>
      </c>
    </row>
    <row r="154" spans="1:1" x14ac:dyDescent="0.3">
      <c r="A154" t="s">
        <v>501</v>
      </c>
    </row>
    <row r="155" spans="1:1" x14ac:dyDescent="0.3">
      <c r="A155" t="s">
        <v>502</v>
      </c>
    </row>
    <row r="157" spans="1:1" x14ac:dyDescent="0.3">
      <c r="A157">
        <v>40</v>
      </c>
    </row>
    <row r="158" spans="1:1" x14ac:dyDescent="0.3">
      <c r="A158" t="s">
        <v>503</v>
      </c>
    </row>
    <row r="159" spans="1:1" x14ac:dyDescent="0.3">
      <c r="A159" t="s">
        <v>34</v>
      </c>
    </row>
    <row r="161" spans="1:1" x14ac:dyDescent="0.3">
      <c r="A161">
        <v>41</v>
      </c>
    </row>
    <row r="162" spans="1:1" x14ac:dyDescent="0.3">
      <c r="A162" t="s">
        <v>504</v>
      </c>
    </row>
    <row r="163" spans="1:1" x14ac:dyDescent="0.3">
      <c r="A163" t="s">
        <v>35</v>
      </c>
    </row>
    <row r="165" spans="1:1" x14ac:dyDescent="0.3">
      <c r="A165">
        <v>42</v>
      </c>
    </row>
    <row r="166" spans="1:1" x14ac:dyDescent="0.3">
      <c r="A166" t="s">
        <v>505</v>
      </c>
    </row>
    <row r="167" spans="1:1" x14ac:dyDescent="0.3">
      <c r="A167" t="s">
        <v>36</v>
      </c>
    </row>
    <row r="169" spans="1:1" x14ac:dyDescent="0.3">
      <c r="A169">
        <v>43</v>
      </c>
    </row>
    <row r="170" spans="1:1" x14ac:dyDescent="0.3">
      <c r="A170" t="s">
        <v>506</v>
      </c>
    </row>
    <row r="171" spans="1:1" x14ac:dyDescent="0.3">
      <c r="A171" t="s">
        <v>37</v>
      </c>
    </row>
    <row r="173" spans="1:1" x14ac:dyDescent="0.3">
      <c r="A173">
        <v>44</v>
      </c>
    </row>
    <row r="174" spans="1:1" x14ac:dyDescent="0.3">
      <c r="A174" t="s">
        <v>603</v>
      </c>
    </row>
    <row r="175" spans="1:1" x14ac:dyDescent="0.3">
      <c r="A175" t="s">
        <v>38</v>
      </c>
    </row>
    <row r="177" spans="1:1" x14ac:dyDescent="0.3">
      <c r="A177">
        <v>45</v>
      </c>
    </row>
    <row r="178" spans="1:1" x14ac:dyDescent="0.3">
      <c r="A178" t="s">
        <v>604</v>
      </c>
    </row>
    <row r="179" spans="1:1" x14ac:dyDescent="0.3">
      <c r="A179" t="s">
        <v>605</v>
      </c>
    </row>
    <row r="181" spans="1:1" x14ac:dyDescent="0.3">
      <c r="A181">
        <v>46</v>
      </c>
    </row>
    <row r="182" spans="1:1" x14ac:dyDescent="0.3">
      <c r="A182" t="s">
        <v>606</v>
      </c>
    </row>
    <row r="183" spans="1:1" x14ac:dyDescent="0.3">
      <c r="A183" t="s">
        <v>507</v>
      </c>
    </row>
    <row r="185" spans="1:1" x14ac:dyDescent="0.3">
      <c r="A185">
        <v>47</v>
      </c>
    </row>
    <row r="186" spans="1:1" x14ac:dyDescent="0.3">
      <c r="A186" t="s">
        <v>607</v>
      </c>
    </row>
    <row r="187" spans="1:1" x14ac:dyDescent="0.3">
      <c r="A187" t="s">
        <v>508</v>
      </c>
    </row>
    <row r="189" spans="1:1" x14ac:dyDescent="0.3">
      <c r="A189">
        <v>48</v>
      </c>
    </row>
    <row r="190" spans="1:1" x14ac:dyDescent="0.3">
      <c r="A190" t="s">
        <v>608</v>
      </c>
    </row>
    <row r="191" spans="1:1" x14ac:dyDescent="0.3">
      <c r="A191" t="s">
        <v>39</v>
      </c>
    </row>
    <row r="193" spans="1:1" x14ac:dyDescent="0.3">
      <c r="A193">
        <v>49</v>
      </c>
    </row>
    <row r="194" spans="1:1" x14ac:dyDescent="0.3">
      <c r="A194" t="s">
        <v>609</v>
      </c>
    </row>
    <row r="195" spans="1:1" x14ac:dyDescent="0.3">
      <c r="A195" t="s">
        <v>40</v>
      </c>
    </row>
    <row r="197" spans="1:1" x14ac:dyDescent="0.3">
      <c r="A197">
        <v>50</v>
      </c>
    </row>
    <row r="198" spans="1:1" x14ac:dyDescent="0.3">
      <c r="A198" t="s">
        <v>610</v>
      </c>
    </row>
    <row r="199" spans="1:1" x14ac:dyDescent="0.3">
      <c r="A199" t="s">
        <v>41</v>
      </c>
    </row>
    <row r="201" spans="1:1" x14ac:dyDescent="0.3">
      <c r="A201">
        <v>51</v>
      </c>
    </row>
    <row r="202" spans="1:1" x14ac:dyDescent="0.3">
      <c r="A202" t="s">
        <v>611</v>
      </c>
    </row>
    <row r="203" spans="1:1" x14ac:dyDescent="0.3">
      <c r="A203" t="s">
        <v>42</v>
      </c>
    </row>
    <row r="205" spans="1:1" x14ac:dyDescent="0.3">
      <c r="A205">
        <v>52</v>
      </c>
    </row>
    <row r="206" spans="1:1" x14ac:dyDescent="0.3">
      <c r="A206" t="s">
        <v>612</v>
      </c>
    </row>
    <row r="207" spans="1:1" x14ac:dyDescent="0.3">
      <c r="A207" t="s">
        <v>43</v>
      </c>
    </row>
    <row r="209" spans="1:1" x14ac:dyDescent="0.3">
      <c r="A209">
        <v>53</v>
      </c>
    </row>
    <row r="210" spans="1:1" x14ac:dyDescent="0.3">
      <c r="A210" t="s">
        <v>613</v>
      </c>
    </row>
    <row r="211" spans="1:1" x14ac:dyDescent="0.3">
      <c r="A211" t="s">
        <v>5</v>
      </c>
    </row>
    <row r="213" spans="1:1" x14ac:dyDescent="0.3">
      <c r="A213">
        <v>54</v>
      </c>
    </row>
    <row r="214" spans="1:1" x14ac:dyDescent="0.3">
      <c r="A214" t="s">
        <v>614</v>
      </c>
    </row>
    <row r="215" spans="1:1" x14ac:dyDescent="0.3">
      <c r="A215" t="s">
        <v>44</v>
      </c>
    </row>
    <row r="217" spans="1:1" x14ac:dyDescent="0.3">
      <c r="A217">
        <v>55</v>
      </c>
    </row>
    <row r="218" spans="1:1" x14ac:dyDescent="0.3">
      <c r="A218" t="s">
        <v>615</v>
      </c>
    </row>
    <row r="219" spans="1:1" x14ac:dyDescent="0.3">
      <c r="A219" t="s">
        <v>45</v>
      </c>
    </row>
    <row r="221" spans="1:1" x14ac:dyDescent="0.3">
      <c r="A221">
        <v>56</v>
      </c>
    </row>
    <row r="222" spans="1:1" x14ac:dyDescent="0.3">
      <c r="A222" t="s">
        <v>616</v>
      </c>
    </row>
    <row r="223" spans="1:1" x14ac:dyDescent="0.3">
      <c r="A223" t="s">
        <v>509</v>
      </c>
    </row>
    <row r="225" spans="1:1" x14ac:dyDescent="0.3">
      <c r="A225">
        <v>57</v>
      </c>
    </row>
    <row r="226" spans="1:1" x14ac:dyDescent="0.3">
      <c r="A226" t="s">
        <v>617</v>
      </c>
    </row>
    <row r="227" spans="1:1" x14ac:dyDescent="0.3">
      <c r="A227" t="s">
        <v>510</v>
      </c>
    </row>
    <row r="229" spans="1:1" x14ac:dyDescent="0.3">
      <c r="A229">
        <v>58</v>
      </c>
    </row>
    <row r="230" spans="1:1" x14ac:dyDescent="0.3">
      <c r="A230" t="s">
        <v>618</v>
      </c>
    </row>
    <row r="231" spans="1:1" x14ac:dyDescent="0.3">
      <c r="A231" t="s">
        <v>511</v>
      </c>
    </row>
    <row r="233" spans="1:1" x14ac:dyDescent="0.3">
      <c r="A233">
        <v>59</v>
      </c>
    </row>
    <row r="234" spans="1:1" x14ac:dyDescent="0.3">
      <c r="A234" t="s">
        <v>619</v>
      </c>
    </row>
    <row r="235" spans="1:1" x14ac:dyDescent="0.3">
      <c r="A235" t="s">
        <v>512</v>
      </c>
    </row>
    <row r="237" spans="1:1" x14ac:dyDescent="0.3">
      <c r="A237">
        <v>60</v>
      </c>
    </row>
    <row r="238" spans="1:1" x14ac:dyDescent="0.3">
      <c r="A238" t="s">
        <v>620</v>
      </c>
    </row>
    <row r="239" spans="1:1" x14ac:dyDescent="0.3">
      <c r="A239" t="s">
        <v>513</v>
      </c>
    </row>
    <row r="241" spans="1:1" x14ac:dyDescent="0.3">
      <c r="A241">
        <v>61</v>
      </c>
    </row>
    <row r="242" spans="1:1" x14ac:dyDescent="0.3">
      <c r="A242" t="s">
        <v>621</v>
      </c>
    </row>
    <row r="243" spans="1:1" x14ac:dyDescent="0.3">
      <c r="A243" t="s">
        <v>514</v>
      </c>
    </row>
    <row r="245" spans="1:1" x14ac:dyDescent="0.3">
      <c r="A245">
        <v>62</v>
      </c>
    </row>
    <row r="246" spans="1:1" x14ac:dyDescent="0.3">
      <c r="A246" t="s">
        <v>622</v>
      </c>
    </row>
    <row r="247" spans="1:1" x14ac:dyDescent="0.3">
      <c r="A247" t="s">
        <v>515</v>
      </c>
    </row>
    <row r="249" spans="1:1" x14ac:dyDescent="0.3">
      <c r="A249">
        <v>63</v>
      </c>
    </row>
    <row r="250" spans="1:1" x14ac:dyDescent="0.3">
      <c r="A250" t="s">
        <v>623</v>
      </c>
    </row>
    <row r="251" spans="1:1" x14ac:dyDescent="0.3">
      <c r="A251" t="s">
        <v>46</v>
      </c>
    </row>
    <row r="253" spans="1:1" x14ac:dyDescent="0.3">
      <c r="A253">
        <v>64</v>
      </c>
    </row>
    <row r="254" spans="1:1" x14ac:dyDescent="0.3">
      <c r="A254" t="s">
        <v>624</v>
      </c>
    </row>
    <row r="255" spans="1:1" x14ac:dyDescent="0.3">
      <c r="A255" t="s">
        <v>47</v>
      </c>
    </row>
    <row r="257" spans="1:1" x14ac:dyDescent="0.3">
      <c r="A257">
        <v>65</v>
      </c>
    </row>
    <row r="258" spans="1:1" x14ac:dyDescent="0.3">
      <c r="A258" t="s">
        <v>625</v>
      </c>
    </row>
    <row r="259" spans="1:1" x14ac:dyDescent="0.3">
      <c r="A259" t="s">
        <v>48</v>
      </c>
    </row>
    <row r="261" spans="1:1" x14ac:dyDescent="0.3">
      <c r="A261">
        <v>66</v>
      </c>
    </row>
    <row r="262" spans="1:1" x14ac:dyDescent="0.3">
      <c r="A262" t="s">
        <v>626</v>
      </c>
    </row>
    <row r="263" spans="1:1" x14ac:dyDescent="0.3">
      <c r="A263" t="s">
        <v>49</v>
      </c>
    </row>
    <row r="265" spans="1:1" x14ac:dyDescent="0.3">
      <c r="A265">
        <v>67</v>
      </c>
    </row>
    <row r="266" spans="1:1" x14ac:dyDescent="0.3">
      <c r="A266" t="s">
        <v>627</v>
      </c>
    </row>
    <row r="267" spans="1:1" x14ac:dyDescent="0.3">
      <c r="A267" t="s">
        <v>516</v>
      </c>
    </row>
    <row r="269" spans="1:1" x14ac:dyDescent="0.3">
      <c r="A269">
        <v>68</v>
      </c>
    </row>
    <row r="270" spans="1:1" x14ac:dyDescent="0.3">
      <c r="A270" t="s">
        <v>628</v>
      </c>
    </row>
    <row r="271" spans="1:1" x14ac:dyDescent="0.3">
      <c r="A271" t="s">
        <v>50</v>
      </c>
    </row>
    <row r="273" spans="1:1" x14ac:dyDescent="0.3">
      <c r="A273">
        <v>69</v>
      </c>
    </row>
    <row r="274" spans="1:1" x14ac:dyDescent="0.3">
      <c r="A274" t="s">
        <v>629</v>
      </c>
    </row>
    <row r="275" spans="1:1" x14ac:dyDescent="0.3">
      <c r="A275" t="s">
        <v>517</v>
      </c>
    </row>
    <row r="277" spans="1:1" x14ac:dyDescent="0.3">
      <c r="A277">
        <v>70</v>
      </c>
    </row>
    <row r="278" spans="1:1" x14ac:dyDescent="0.3">
      <c r="A278" t="s">
        <v>630</v>
      </c>
    </row>
    <row r="279" spans="1:1" x14ac:dyDescent="0.3">
      <c r="A279" t="s">
        <v>51</v>
      </c>
    </row>
    <row r="281" spans="1:1" x14ac:dyDescent="0.3">
      <c r="A281">
        <v>71</v>
      </c>
    </row>
    <row r="282" spans="1:1" x14ac:dyDescent="0.3">
      <c r="A282" t="s">
        <v>631</v>
      </c>
    </row>
    <row r="283" spans="1:1" x14ac:dyDescent="0.3">
      <c r="A283" t="s">
        <v>52</v>
      </c>
    </row>
    <row r="285" spans="1:1" x14ac:dyDescent="0.3">
      <c r="A285">
        <v>72</v>
      </c>
    </row>
    <row r="286" spans="1:1" x14ac:dyDescent="0.3">
      <c r="A286" t="s">
        <v>632</v>
      </c>
    </row>
    <row r="287" spans="1:1" x14ac:dyDescent="0.3">
      <c r="A287" t="s">
        <v>53</v>
      </c>
    </row>
    <row r="289" spans="1:1" x14ac:dyDescent="0.3">
      <c r="A289">
        <v>73</v>
      </c>
    </row>
    <row r="290" spans="1:1" x14ac:dyDescent="0.3">
      <c r="A290" t="s">
        <v>633</v>
      </c>
    </row>
    <row r="291" spans="1:1" x14ac:dyDescent="0.3">
      <c r="A291" t="s">
        <v>54</v>
      </c>
    </row>
    <row r="293" spans="1:1" x14ac:dyDescent="0.3">
      <c r="A293">
        <v>74</v>
      </c>
    </row>
    <row r="294" spans="1:1" x14ac:dyDescent="0.3">
      <c r="A294" t="s">
        <v>634</v>
      </c>
    </row>
    <row r="295" spans="1:1" x14ac:dyDescent="0.3">
      <c r="A295" t="s">
        <v>518</v>
      </c>
    </row>
    <row r="297" spans="1:1" x14ac:dyDescent="0.3">
      <c r="A297">
        <v>75</v>
      </c>
    </row>
    <row r="298" spans="1:1" x14ac:dyDescent="0.3">
      <c r="A298" t="s">
        <v>635</v>
      </c>
    </row>
    <row r="299" spans="1:1" x14ac:dyDescent="0.3">
      <c r="A299" t="s">
        <v>519</v>
      </c>
    </row>
    <row r="301" spans="1:1" x14ac:dyDescent="0.3">
      <c r="A301">
        <v>76</v>
      </c>
    </row>
    <row r="302" spans="1:1" x14ac:dyDescent="0.3">
      <c r="A302" t="s">
        <v>636</v>
      </c>
    </row>
    <row r="303" spans="1:1" x14ac:dyDescent="0.3">
      <c r="A303" t="s">
        <v>520</v>
      </c>
    </row>
    <row r="305" spans="1:1" x14ac:dyDescent="0.3">
      <c r="A305">
        <v>77</v>
      </c>
    </row>
    <row r="306" spans="1:1" x14ac:dyDescent="0.3">
      <c r="A306" t="s">
        <v>637</v>
      </c>
    </row>
    <row r="307" spans="1:1" x14ac:dyDescent="0.3">
      <c r="A307" t="s">
        <v>521</v>
      </c>
    </row>
    <row r="309" spans="1:1" x14ac:dyDescent="0.3">
      <c r="A309">
        <v>78</v>
      </c>
    </row>
    <row r="310" spans="1:1" x14ac:dyDescent="0.3">
      <c r="A310" t="s">
        <v>638</v>
      </c>
    </row>
    <row r="311" spans="1:1" x14ac:dyDescent="0.3">
      <c r="A311" t="s">
        <v>55</v>
      </c>
    </row>
    <row r="313" spans="1:1" x14ac:dyDescent="0.3">
      <c r="A313">
        <v>79</v>
      </c>
    </row>
    <row r="314" spans="1:1" x14ac:dyDescent="0.3">
      <c r="A314" t="s">
        <v>639</v>
      </c>
    </row>
    <row r="315" spans="1:1" x14ac:dyDescent="0.3">
      <c r="A315" t="s">
        <v>56</v>
      </c>
    </row>
    <row r="317" spans="1:1" x14ac:dyDescent="0.3">
      <c r="A317">
        <v>80</v>
      </c>
    </row>
    <row r="318" spans="1:1" x14ac:dyDescent="0.3">
      <c r="A318" t="s">
        <v>640</v>
      </c>
    </row>
    <row r="319" spans="1:1" x14ac:dyDescent="0.3">
      <c r="A319" t="s">
        <v>641</v>
      </c>
    </row>
    <row r="321" spans="1:1" x14ac:dyDescent="0.3">
      <c r="A321">
        <v>81</v>
      </c>
    </row>
    <row r="322" spans="1:1" x14ac:dyDescent="0.3">
      <c r="A322" t="s">
        <v>642</v>
      </c>
    </row>
    <row r="323" spans="1:1" x14ac:dyDescent="0.3">
      <c r="A323" t="s">
        <v>0</v>
      </c>
    </row>
    <row r="325" spans="1:1" x14ac:dyDescent="0.3">
      <c r="A325">
        <v>82</v>
      </c>
    </row>
    <row r="326" spans="1:1" x14ac:dyDescent="0.3">
      <c r="A326" t="s">
        <v>643</v>
      </c>
    </row>
    <row r="327" spans="1:1" x14ac:dyDescent="0.3">
      <c r="A327" t="s">
        <v>57</v>
      </c>
    </row>
    <row r="329" spans="1:1" x14ac:dyDescent="0.3">
      <c r="A329">
        <v>83</v>
      </c>
    </row>
    <row r="330" spans="1:1" x14ac:dyDescent="0.3">
      <c r="A330" t="s">
        <v>644</v>
      </c>
    </row>
    <row r="331" spans="1:1" x14ac:dyDescent="0.3">
      <c r="A331" t="s">
        <v>645</v>
      </c>
    </row>
    <row r="333" spans="1:1" x14ac:dyDescent="0.3">
      <c r="A333">
        <v>84</v>
      </c>
    </row>
    <row r="334" spans="1:1" x14ac:dyDescent="0.3">
      <c r="A334" t="s">
        <v>646</v>
      </c>
    </row>
    <row r="335" spans="1:1" x14ac:dyDescent="0.3">
      <c r="A335" t="s">
        <v>522</v>
      </c>
    </row>
    <row r="337" spans="1:1" x14ac:dyDescent="0.3">
      <c r="A337">
        <v>85</v>
      </c>
    </row>
    <row r="338" spans="1:1" x14ac:dyDescent="0.3">
      <c r="A338" t="s">
        <v>647</v>
      </c>
    </row>
    <row r="339" spans="1:1" x14ac:dyDescent="0.3">
      <c r="A339" t="s">
        <v>58</v>
      </c>
    </row>
    <row r="341" spans="1:1" x14ac:dyDescent="0.3">
      <c r="A341">
        <v>86</v>
      </c>
    </row>
    <row r="342" spans="1:1" x14ac:dyDescent="0.3">
      <c r="A342" t="s">
        <v>648</v>
      </c>
    </row>
    <row r="343" spans="1:1" x14ac:dyDescent="0.3">
      <c r="A343" t="s">
        <v>59</v>
      </c>
    </row>
    <row r="345" spans="1:1" x14ac:dyDescent="0.3">
      <c r="A345">
        <v>87</v>
      </c>
    </row>
    <row r="346" spans="1:1" x14ac:dyDescent="0.3">
      <c r="A346" t="s">
        <v>649</v>
      </c>
    </row>
    <row r="347" spans="1:1" x14ac:dyDescent="0.3">
      <c r="A347" t="s">
        <v>60</v>
      </c>
    </row>
    <row r="349" spans="1:1" x14ac:dyDescent="0.3">
      <c r="A349">
        <v>88</v>
      </c>
    </row>
    <row r="350" spans="1:1" x14ac:dyDescent="0.3">
      <c r="A350" t="s">
        <v>650</v>
      </c>
    </row>
    <row r="351" spans="1:1" x14ac:dyDescent="0.3">
      <c r="A351" t="s">
        <v>651</v>
      </c>
    </row>
    <row r="353" spans="1:1" x14ac:dyDescent="0.3">
      <c r="A353">
        <v>89</v>
      </c>
    </row>
    <row r="354" spans="1:1" x14ac:dyDescent="0.3">
      <c r="A354" t="s">
        <v>652</v>
      </c>
    </row>
    <row r="355" spans="1:1" x14ac:dyDescent="0.3">
      <c r="A355" t="s">
        <v>0</v>
      </c>
    </row>
    <row r="357" spans="1:1" x14ac:dyDescent="0.3">
      <c r="A357">
        <v>90</v>
      </c>
    </row>
    <row r="358" spans="1:1" x14ac:dyDescent="0.3">
      <c r="A358" t="s">
        <v>653</v>
      </c>
    </row>
    <row r="359" spans="1:1" x14ac:dyDescent="0.3">
      <c r="A359" t="s">
        <v>654</v>
      </c>
    </row>
    <row r="361" spans="1:1" x14ac:dyDescent="0.3">
      <c r="A361">
        <v>91</v>
      </c>
    </row>
    <row r="362" spans="1:1" x14ac:dyDescent="0.3">
      <c r="A362" t="s">
        <v>655</v>
      </c>
    </row>
    <row r="363" spans="1:1" x14ac:dyDescent="0.3">
      <c r="A363" t="s">
        <v>656</v>
      </c>
    </row>
    <row r="365" spans="1:1" x14ac:dyDescent="0.3">
      <c r="A365">
        <v>92</v>
      </c>
    </row>
    <row r="366" spans="1:1" x14ac:dyDescent="0.3">
      <c r="A366" t="s">
        <v>657</v>
      </c>
    </row>
    <row r="367" spans="1:1" x14ac:dyDescent="0.3">
      <c r="A367" t="s">
        <v>658</v>
      </c>
    </row>
    <row r="369" spans="1:1" x14ac:dyDescent="0.3">
      <c r="A369">
        <v>93</v>
      </c>
    </row>
    <row r="370" spans="1:1" x14ac:dyDescent="0.3">
      <c r="A370" t="s">
        <v>659</v>
      </c>
    </row>
    <row r="371" spans="1:1" x14ac:dyDescent="0.3">
      <c r="A371" t="s">
        <v>660</v>
      </c>
    </row>
    <row r="373" spans="1:1" x14ac:dyDescent="0.3">
      <c r="A373">
        <v>94</v>
      </c>
    </row>
    <row r="374" spans="1:1" x14ac:dyDescent="0.3">
      <c r="A374" t="s">
        <v>661</v>
      </c>
    </row>
    <row r="375" spans="1:1" x14ac:dyDescent="0.3">
      <c r="A375" t="s">
        <v>662</v>
      </c>
    </row>
    <row r="377" spans="1:1" x14ac:dyDescent="0.3">
      <c r="A377">
        <v>95</v>
      </c>
    </row>
    <row r="378" spans="1:1" x14ac:dyDescent="0.3">
      <c r="A378" t="s">
        <v>663</v>
      </c>
    </row>
    <row r="379" spans="1:1" x14ac:dyDescent="0.3">
      <c r="A379" t="s">
        <v>61</v>
      </c>
    </row>
    <row r="381" spans="1:1" x14ac:dyDescent="0.3">
      <c r="A381">
        <v>96</v>
      </c>
    </row>
    <row r="382" spans="1:1" x14ac:dyDescent="0.3">
      <c r="A382" t="s">
        <v>664</v>
      </c>
    </row>
    <row r="383" spans="1:1" x14ac:dyDescent="0.3">
      <c r="A383" t="s">
        <v>665</v>
      </c>
    </row>
    <row r="385" spans="1:1" x14ac:dyDescent="0.3">
      <c r="A385">
        <v>97</v>
      </c>
    </row>
    <row r="386" spans="1:1" x14ac:dyDescent="0.3">
      <c r="A386" t="s">
        <v>666</v>
      </c>
    </row>
    <row r="387" spans="1:1" x14ac:dyDescent="0.3">
      <c r="A387" t="s">
        <v>667</v>
      </c>
    </row>
    <row r="389" spans="1:1" x14ac:dyDescent="0.3">
      <c r="A389">
        <v>98</v>
      </c>
    </row>
    <row r="390" spans="1:1" x14ac:dyDescent="0.3">
      <c r="A390" t="s">
        <v>668</v>
      </c>
    </row>
    <row r="391" spans="1:1" x14ac:dyDescent="0.3">
      <c r="A391" t="s">
        <v>669</v>
      </c>
    </row>
    <row r="393" spans="1:1" x14ac:dyDescent="0.3">
      <c r="A393">
        <v>99</v>
      </c>
    </row>
    <row r="394" spans="1:1" x14ac:dyDescent="0.3">
      <c r="A394" t="s">
        <v>670</v>
      </c>
    </row>
    <row r="395" spans="1:1" x14ac:dyDescent="0.3">
      <c r="A395" t="s">
        <v>671</v>
      </c>
    </row>
    <row r="397" spans="1:1" x14ac:dyDescent="0.3">
      <c r="A397">
        <v>100</v>
      </c>
    </row>
    <row r="398" spans="1:1" x14ac:dyDescent="0.3">
      <c r="A398" t="s">
        <v>672</v>
      </c>
    </row>
    <row r="399" spans="1:1" x14ac:dyDescent="0.3">
      <c r="A399" t="s">
        <v>673</v>
      </c>
    </row>
    <row r="401" spans="1:1" x14ac:dyDescent="0.3">
      <c r="A401">
        <v>101</v>
      </c>
    </row>
    <row r="402" spans="1:1" x14ac:dyDescent="0.3">
      <c r="A402" t="s">
        <v>674</v>
      </c>
    </row>
    <row r="403" spans="1:1" x14ac:dyDescent="0.3">
      <c r="A403" t="s">
        <v>675</v>
      </c>
    </row>
    <row r="405" spans="1:1" x14ac:dyDescent="0.3">
      <c r="A405">
        <v>102</v>
      </c>
    </row>
    <row r="406" spans="1:1" x14ac:dyDescent="0.3">
      <c r="A406" t="s">
        <v>676</v>
      </c>
    </row>
    <row r="407" spans="1:1" x14ac:dyDescent="0.3">
      <c r="A407" t="s">
        <v>677</v>
      </c>
    </row>
    <row r="409" spans="1:1" x14ac:dyDescent="0.3">
      <c r="A409">
        <v>103</v>
      </c>
    </row>
    <row r="410" spans="1:1" x14ac:dyDescent="0.3">
      <c r="A410" t="s">
        <v>678</v>
      </c>
    </row>
    <row r="411" spans="1:1" x14ac:dyDescent="0.3">
      <c r="A411" t="s">
        <v>62</v>
      </c>
    </row>
    <row r="413" spans="1:1" x14ac:dyDescent="0.3">
      <c r="A413">
        <v>104</v>
      </c>
    </row>
    <row r="414" spans="1:1" x14ac:dyDescent="0.3">
      <c r="A414" t="s">
        <v>679</v>
      </c>
    </row>
    <row r="415" spans="1:1" x14ac:dyDescent="0.3">
      <c r="A415" t="s">
        <v>680</v>
      </c>
    </row>
    <row r="417" spans="1:1" x14ac:dyDescent="0.3">
      <c r="A417">
        <v>105</v>
      </c>
    </row>
    <row r="418" spans="1:1" x14ac:dyDescent="0.3">
      <c r="A418" t="s">
        <v>681</v>
      </c>
    </row>
    <row r="419" spans="1:1" x14ac:dyDescent="0.3">
      <c r="A419" t="s">
        <v>682</v>
      </c>
    </row>
    <row r="421" spans="1:1" x14ac:dyDescent="0.3">
      <c r="A421">
        <v>106</v>
      </c>
    </row>
    <row r="422" spans="1:1" x14ac:dyDescent="0.3">
      <c r="A422" t="s">
        <v>683</v>
      </c>
    </row>
    <row r="423" spans="1:1" x14ac:dyDescent="0.3">
      <c r="A423" t="s">
        <v>63</v>
      </c>
    </row>
    <row r="425" spans="1:1" x14ac:dyDescent="0.3">
      <c r="A425">
        <v>107</v>
      </c>
    </row>
    <row r="426" spans="1:1" x14ac:dyDescent="0.3">
      <c r="A426" t="s">
        <v>684</v>
      </c>
    </row>
    <row r="427" spans="1:1" x14ac:dyDescent="0.3">
      <c r="A427" t="s">
        <v>64</v>
      </c>
    </row>
    <row r="429" spans="1:1" x14ac:dyDescent="0.3">
      <c r="A429">
        <v>108</v>
      </c>
    </row>
    <row r="430" spans="1:1" x14ac:dyDescent="0.3">
      <c r="A430" t="s">
        <v>685</v>
      </c>
    </row>
    <row r="431" spans="1:1" x14ac:dyDescent="0.3">
      <c r="A431" t="s">
        <v>65</v>
      </c>
    </row>
    <row r="433" spans="1:1" x14ac:dyDescent="0.3">
      <c r="A433">
        <v>109</v>
      </c>
    </row>
    <row r="434" spans="1:1" x14ac:dyDescent="0.3">
      <c r="A434" t="s">
        <v>686</v>
      </c>
    </row>
    <row r="435" spans="1:1" x14ac:dyDescent="0.3">
      <c r="A435" t="s">
        <v>687</v>
      </c>
    </row>
    <row r="437" spans="1:1" x14ac:dyDescent="0.3">
      <c r="A437">
        <v>110</v>
      </c>
    </row>
    <row r="438" spans="1:1" x14ac:dyDescent="0.3">
      <c r="A438" t="s">
        <v>688</v>
      </c>
    </row>
    <row r="439" spans="1:1" x14ac:dyDescent="0.3">
      <c r="A439" t="s">
        <v>689</v>
      </c>
    </row>
    <row r="441" spans="1:1" x14ac:dyDescent="0.3">
      <c r="A441">
        <v>111</v>
      </c>
    </row>
    <row r="442" spans="1:1" x14ac:dyDescent="0.3">
      <c r="A442" t="s">
        <v>690</v>
      </c>
    </row>
    <row r="443" spans="1:1" x14ac:dyDescent="0.3">
      <c r="A443" t="s">
        <v>523</v>
      </c>
    </row>
    <row r="445" spans="1:1" x14ac:dyDescent="0.3">
      <c r="A445">
        <v>112</v>
      </c>
    </row>
    <row r="446" spans="1:1" x14ac:dyDescent="0.3">
      <c r="A446" t="s">
        <v>691</v>
      </c>
    </row>
    <row r="447" spans="1:1" x14ac:dyDescent="0.3">
      <c r="A447" t="s">
        <v>66</v>
      </c>
    </row>
    <row r="449" spans="1:1" x14ac:dyDescent="0.3">
      <c r="A449">
        <v>113</v>
      </c>
    </row>
    <row r="450" spans="1:1" x14ac:dyDescent="0.3">
      <c r="A450" t="s">
        <v>692</v>
      </c>
    </row>
    <row r="451" spans="1:1" x14ac:dyDescent="0.3">
      <c r="A451" t="s">
        <v>67</v>
      </c>
    </row>
    <row r="453" spans="1:1" x14ac:dyDescent="0.3">
      <c r="A453">
        <v>114</v>
      </c>
    </row>
    <row r="454" spans="1:1" x14ac:dyDescent="0.3">
      <c r="A454" t="s">
        <v>693</v>
      </c>
    </row>
    <row r="455" spans="1:1" x14ac:dyDescent="0.3">
      <c r="A455" t="s">
        <v>2</v>
      </c>
    </row>
    <row r="457" spans="1:1" x14ac:dyDescent="0.3">
      <c r="A457">
        <v>115</v>
      </c>
    </row>
    <row r="458" spans="1:1" x14ac:dyDescent="0.3">
      <c r="A458" t="s">
        <v>694</v>
      </c>
    </row>
    <row r="459" spans="1:1" x14ac:dyDescent="0.3">
      <c r="A459" t="s">
        <v>68</v>
      </c>
    </row>
    <row r="461" spans="1:1" x14ac:dyDescent="0.3">
      <c r="A461">
        <v>116</v>
      </c>
    </row>
    <row r="462" spans="1:1" x14ac:dyDescent="0.3">
      <c r="A462" t="s">
        <v>695</v>
      </c>
    </row>
    <row r="463" spans="1:1" x14ac:dyDescent="0.3">
      <c r="A463" t="s">
        <v>69</v>
      </c>
    </row>
    <row r="465" spans="1:1" x14ac:dyDescent="0.3">
      <c r="A465">
        <v>117</v>
      </c>
    </row>
    <row r="466" spans="1:1" x14ac:dyDescent="0.3">
      <c r="A466" t="s">
        <v>696</v>
      </c>
    </row>
    <row r="467" spans="1:1" x14ac:dyDescent="0.3">
      <c r="A467" t="s">
        <v>70</v>
      </c>
    </row>
    <row r="469" spans="1:1" x14ac:dyDescent="0.3">
      <c r="A469">
        <v>118</v>
      </c>
    </row>
    <row r="470" spans="1:1" x14ac:dyDescent="0.3">
      <c r="A470" t="s">
        <v>697</v>
      </c>
    </row>
    <row r="471" spans="1:1" x14ac:dyDescent="0.3">
      <c r="A471" t="s">
        <v>71</v>
      </c>
    </row>
    <row r="473" spans="1:1" x14ac:dyDescent="0.3">
      <c r="A473">
        <v>119</v>
      </c>
    </row>
    <row r="474" spans="1:1" x14ac:dyDescent="0.3">
      <c r="A474" t="s">
        <v>698</v>
      </c>
    </row>
    <row r="475" spans="1:1" x14ac:dyDescent="0.3">
      <c r="A475" t="s">
        <v>72</v>
      </c>
    </row>
    <row r="477" spans="1:1" x14ac:dyDescent="0.3">
      <c r="A477">
        <v>120</v>
      </c>
    </row>
    <row r="478" spans="1:1" x14ac:dyDescent="0.3">
      <c r="A478" t="s">
        <v>699</v>
      </c>
    </row>
    <row r="479" spans="1:1" x14ac:dyDescent="0.3">
      <c r="A479" t="s">
        <v>73</v>
      </c>
    </row>
    <row r="481" spans="1:1" x14ac:dyDescent="0.3">
      <c r="A481">
        <v>121</v>
      </c>
    </row>
    <row r="482" spans="1:1" x14ac:dyDescent="0.3">
      <c r="A482" t="s">
        <v>700</v>
      </c>
    </row>
    <row r="483" spans="1:1" x14ac:dyDescent="0.3">
      <c r="A483" t="s">
        <v>701</v>
      </c>
    </row>
    <row r="485" spans="1:1" x14ac:dyDescent="0.3">
      <c r="A485">
        <v>122</v>
      </c>
    </row>
    <row r="486" spans="1:1" x14ac:dyDescent="0.3">
      <c r="A486" t="s">
        <v>702</v>
      </c>
    </row>
    <row r="487" spans="1:1" x14ac:dyDescent="0.3">
      <c r="A487" t="s">
        <v>703</v>
      </c>
    </row>
    <row r="489" spans="1:1" x14ac:dyDescent="0.3">
      <c r="A489">
        <v>123</v>
      </c>
    </row>
    <row r="490" spans="1:1" x14ac:dyDescent="0.3">
      <c r="A490" t="s">
        <v>704</v>
      </c>
    </row>
    <row r="491" spans="1:1" x14ac:dyDescent="0.3">
      <c r="A491" t="s">
        <v>705</v>
      </c>
    </row>
    <row r="493" spans="1:1" x14ac:dyDescent="0.3">
      <c r="A493">
        <v>124</v>
      </c>
    </row>
    <row r="494" spans="1:1" x14ac:dyDescent="0.3">
      <c r="A494" t="s">
        <v>706</v>
      </c>
    </row>
    <row r="495" spans="1:1" x14ac:dyDescent="0.3">
      <c r="A495" t="s">
        <v>74</v>
      </c>
    </row>
    <row r="497" spans="1:1" x14ac:dyDescent="0.3">
      <c r="A497">
        <v>125</v>
      </c>
    </row>
    <row r="498" spans="1:1" x14ac:dyDescent="0.3">
      <c r="A498" t="s">
        <v>707</v>
      </c>
    </row>
    <row r="499" spans="1:1" x14ac:dyDescent="0.3">
      <c r="A499" t="s">
        <v>524</v>
      </c>
    </row>
    <row r="501" spans="1:1" x14ac:dyDescent="0.3">
      <c r="A501">
        <v>126</v>
      </c>
    </row>
    <row r="502" spans="1:1" x14ac:dyDescent="0.3">
      <c r="A502" t="s">
        <v>708</v>
      </c>
    </row>
    <row r="503" spans="1:1" x14ac:dyDescent="0.3">
      <c r="A503" t="s">
        <v>3</v>
      </c>
    </row>
    <row r="505" spans="1:1" x14ac:dyDescent="0.3">
      <c r="A505">
        <v>127</v>
      </c>
    </row>
    <row r="506" spans="1:1" x14ac:dyDescent="0.3">
      <c r="A506" t="s">
        <v>709</v>
      </c>
    </row>
    <row r="507" spans="1:1" x14ac:dyDescent="0.3">
      <c r="A507" t="s">
        <v>75</v>
      </c>
    </row>
    <row r="509" spans="1:1" x14ac:dyDescent="0.3">
      <c r="A509">
        <v>128</v>
      </c>
    </row>
    <row r="510" spans="1:1" x14ac:dyDescent="0.3">
      <c r="A510" t="s">
        <v>710</v>
      </c>
    </row>
    <row r="511" spans="1:1" x14ac:dyDescent="0.3">
      <c r="A511" t="s">
        <v>4</v>
      </c>
    </row>
    <row r="513" spans="1:1" x14ac:dyDescent="0.3">
      <c r="A513">
        <v>129</v>
      </c>
    </row>
    <row r="514" spans="1:1" x14ac:dyDescent="0.3">
      <c r="A514" t="s">
        <v>711</v>
      </c>
    </row>
    <row r="515" spans="1:1" x14ac:dyDescent="0.3">
      <c r="A515" t="s">
        <v>525</v>
      </c>
    </row>
    <row r="517" spans="1:1" x14ac:dyDescent="0.3">
      <c r="A517">
        <v>130</v>
      </c>
    </row>
    <row r="518" spans="1:1" x14ac:dyDescent="0.3">
      <c r="A518" t="s">
        <v>712</v>
      </c>
    </row>
    <row r="519" spans="1:1" x14ac:dyDescent="0.3">
      <c r="A519" t="s">
        <v>526</v>
      </c>
    </row>
    <row r="521" spans="1:1" x14ac:dyDescent="0.3">
      <c r="A521">
        <v>131</v>
      </c>
    </row>
    <row r="522" spans="1:1" x14ac:dyDescent="0.3">
      <c r="A522" t="s">
        <v>713</v>
      </c>
    </row>
    <row r="523" spans="1:1" x14ac:dyDescent="0.3">
      <c r="A523" t="s">
        <v>76</v>
      </c>
    </row>
    <row r="525" spans="1:1" x14ac:dyDescent="0.3">
      <c r="A525">
        <v>132</v>
      </c>
    </row>
    <row r="526" spans="1:1" x14ac:dyDescent="0.3">
      <c r="A526" t="s">
        <v>714</v>
      </c>
    </row>
    <row r="527" spans="1:1" x14ac:dyDescent="0.3">
      <c r="A527" t="s">
        <v>77</v>
      </c>
    </row>
    <row r="529" spans="1:1" x14ac:dyDescent="0.3">
      <c r="A529">
        <v>133</v>
      </c>
    </row>
    <row r="530" spans="1:1" x14ac:dyDescent="0.3">
      <c r="A530" t="s">
        <v>715</v>
      </c>
    </row>
    <row r="531" spans="1:1" x14ac:dyDescent="0.3">
      <c r="A531" t="s">
        <v>716</v>
      </c>
    </row>
    <row r="533" spans="1:1" x14ac:dyDescent="0.3">
      <c r="A533">
        <v>134</v>
      </c>
    </row>
    <row r="534" spans="1:1" x14ac:dyDescent="0.3">
      <c r="A534" t="s">
        <v>717</v>
      </c>
    </row>
    <row r="535" spans="1:1" x14ac:dyDescent="0.3">
      <c r="A535" t="s">
        <v>536</v>
      </c>
    </row>
    <row r="537" spans="1:1" x14ac:dyDescent="0.3">
      <c r="A537">
        <v>135</v>
      </c>
    </row>
    <row r="538" spans="1:1" x14ac:dyDescent="0.3">
      <c r="A538" t="s">
        <v>718</v>
      </c>
    </row>
    <row r="539" spans="1:1" x14ac:dyDescent="0.3">
      <c r="A539" t="s">
        <v>78</v>
      </c>
    </row>
    <row r="541" spans="1:1" x14ac:dyDescent="0.3">
      <c r="A541">
        <v>136</v>
      </c>
    </row>
    <row r="542" spans="1:1" x14ac:dyDescent="0.3">
      <c r="A542" t="s">
        <v>719</v>
      </c>
    </row>
    <row r="543" spans="1:1" x14ac:dyDescent="0.3">
      <c r="A543" t="s">
        <v>79</v>
      </c>
    </row>
    <row r="545" spans="1:1" x14ac:dyDescent="0.3">
      <c r="A545">
        <v>137</v>
      </c>
    </row>
    <row r="546" spans="1:1" x14ac:dyDescent="0.3">
      <c r="A546" t="s">
        <v>720</v>
      </c>
    </row>
    <row r="547" spans="1:1" x14ac:dyDescent="0.3">
      <c r="A547" t="s">
        <v>721</v>
      </c>
    </row>
    <row r="549" spans="1:1" x14ac:dyDescent="0.3">
      <c r="A549">
        <v>138</v>
      </c>
    </row>
    <row r="550" spans="1:1" x14ac:dyDescent="0.3">
      <c r="A550" t="s">
        <v>722</v>
      </c>
    </row>
    <row r="551" spans="1:1" x14ac:dyDescent="0.3">
      <c r="A551" t="s">
        <v>723</v>
      </c>
    </row>
    <row r="553" spans="1:1" x14ac:dyDescent="0.3">
      <c r="A553">
        <v>139</v>
      </c>
    </row>
    <row r="554" spans="1:1" x14ac:dyDescent="0.3">
      <c r="A554" t="s">
        <v>724</v>
      </c>
    </row>
    <row r="555" spans="1:1" x14ac:dyDescent="0.3">
      <c r="A555" t="s">
        <v>80</v>
      </c>
    </row>
    <row r="557" spans="1:1" x14ac:dyDescent="0.3">
      <c r="A557">
        <v>140</v>
      </c>
    </row>
    <row r="558" spans="1:1" x14ac:dyDescent="0.3">
      <c r="A558" t="s">
        <v>725</v>
      </c>
    </row>
    <row r="559" spans="1:1" x14ac:dyDescent="0.3">
      <c r="A559" t="s">
        <v>527</v>
      </c>
    </row>
    <row r="561" spans="1:1" x14ac:dyDescent="0.3">
      <c r="A561">
        <v>141</v>
      </c>
    </row>
    <row r="562" spans="1:1" x14ac:dyDescent="0.3">
      <c r="A562" t="s">
        <v>726</v>
      </c>
    </row>
    <row r="563" spans="1:1" x14ac:dyDescent="0.3">
      <c r="A563" t="s">
        <v>81</v>
      </c>
    </row>
    <row r="565" spans="1:1" x14ac:dyDescent="0.3">
      <c r="A565">
        <v>142</v>
      </c>
    </row>
    <row r="566" spans="1:1" x14ac:dyDescent="0.3">
      <c r="A566" t="s">
        <v>727</v>
      </c>
    </row>
    <row r="567" spans="1:1" x14ac:dyDescent="0.3">
      <c r="A567" t="s">
        <v>528</v>
      </c>
    </row>
    <row r="569" spans="1:1" x14ac:dyDescent="0.3">
      <c r="A569">
        <v>143</v>
      </c>
    </row>
    <row r="570" spans="1:1" x14ac:dyDescent="0.3">
      <c r="A570" t="s">
        <v>728</v>
      </c>
    </row>
    <row r="571" spans="1:1" x14ac:dyDescent="0.3">
      <c r="A571" t="s">
        <v>82</v>
      </c>
    </row>
    <row r="573" spans="1:1" x14ac:dyDescent="0.3">
      <c r="A573">
        <v>144</v>
      </c>
    </row>
    <row r="574" spans="1:1" x14ac:dyDescent="0.3">
      <c r="A574" t="s">
        <v>729</v>
      </c>
    </row>
    <row r="575" spans="1:1" x14ac:dyDescent="0.3">
      <c r="A575" t="s">
        <v>529</v>
      </c>
    </row>
    <row r="577" spans="1:1" x14ac:dyDescent="0.3">
      <c r="A577">
        <v>145</v>
      </c>
    </row>
    <row r="578" spans="1:1" x14ac:dyDescent="0.3">
      <c r="A578" t="s">
        <v>730</v>
      </c>
    </row>
    <row r="579" spans="1:1" x14ac:dyDescent="0.3">
      <c r="A579" t="s">
        <v>83</v>
      </c>
    </row>
    <row r="581" spans="1:1" x14ac:dyDescent="0.3">
      <c r="A581">
        <v>146</v>
      </c>
    </row>
    <row r="582" spans="1:1" x14ac:dyDescent="0.3">
      <c r="A582" t="s">
        <v>731</v>
      </c>
    </row>
    <row r="583" spans="1:1" x14ac:dyDescent="0.3">
      <c r="A583" t="s">
        <v>732</v>
      </c>
    </row>
    <row r="585" spans="1:1" x14ac:dyDescent="0.3">
      <c r="A585">
        <v>147</v>
      </c>
    </row>
    <row r="586" spans="1:1" x14ac:dyDescent="0.3">
      <c r="A586" t="s">
        <v>733</v>
      </c>
    </row>
    <row r="587" spans="1:1" x14ac:dyDescent="0.3">
      <c r="A587" t="s">
        <v>734</v>
      </c>
    </row>
    <row r="589" spans="1:1" x14ac:dyDescent="0.3">
      <c r="A589">
        <v>148</v>
      </c>
    </row>
    <row r="590" spans="1:1" x14ac:dyDescent="0.3">
      <c r="A590" t="s">
        <v>735</v>
      </c>
    </row>
    <row r="591" spans="1:1" x14ac:dyDescent="0.3">
      <c r="A591" t="s">
        <v>84</v>
      </c>
    </row>
    <row r="593" spans="1:1" x14ac:dyDescent="0.3">
      <c r="A593">
        <v>149</v>
      </c>
    </row>
    <row r="594" spans="1:1" x14ac:dyDescent="0.3">
      <c r="A594" t="s">
        <v>736</v>
      </c>
    </row>
    <row r="595" spans="1:1" x14ac:dyDescent="0.3">
      <c r="A595" t="s">
        <v>85</v>
      </c>
    </row>
    <row r="597" spans="1:1" x14ac:dyDescent="0.3">
      <c r="A597">
        <v>150</v>
      </c>
    </row>
    <row r="598" spans="1:1" x14ac:dyDescent="0.3">
      <c r="A598" t="s">
        <v>737</v>
      </c>
    </row>
    <row r="599" spans="1:1" x14ac:dyDescent="0.3">
      <c r="A599" t="s">
        <v>738</v>
      </c>
    </row>
    <row r="601" spans="1:1" x14ac:dyDescent="0.3">
      <c r="A601">
        <v>151</v>
      </c>
    </row>
    <row r="602" spans="1:1" x14ac:dyDescent="0.3">
      <c r="A602" t="s">
        <v>739</v>
      </c>
    </row>
    <row r="603" spans="1:1" x14ac:dyDescent="0.3">
      <c r="A603" t="s">
        <v>86</v>
      </c>
    </row>
    <row r="605" spans="1:1" x14ac:dyDescent="0.3">
      <c r="A605">
        <v>152</v>
      </c>
    </row>
    <row r="606" spans="1:1" x14ac:dyDescent="0.3">
      <c r="A606" t="s">
        <v>740</v>
      </c>
    </row>
    <row r="607" spans="1:1" x14ac:dyDescent="0.3">
      <c r="A607" t="s">
        <v>87</v>
      </c>
    </row>
    <row r="609" spans="1:1" x14ac:dyDescent="0.3">
      <c r="A609">
        <v>153</v>
      </c>
    </row>
    <row r="610" spans="1:1" x14ac:dyDescent="0.3">
      <c r="A610" t="s">
        <v>741</v>
      </c>
    </row>
    <row r="611" spans="1:1" x14ac:dyDescent="0.3">
      <c r="A611" t="s">
        <v>69</v>
      </c>
    </row>
    <row r="613" spans="1:1" x14ac:dyDescent="0.3">
      <c r="A613">
        <v>154</v>
      </c>
    </row>
    <row r="614" spans="1:1" x14ac:dyDescent="0.3">
      <c r="A614" t="s">
        <v>742</v>
      </c>
    </row>
    <row r="615" spans="1:1" x14ac:dyDescent="0.3">
      <c r="A615" t="s">
        <v>743</v>
      </c>
    </row>
    <row r="617" spans="1:1" x14ac:dyDescent="0.3">
      <c r="A617">
        <v>155</v>
      </c>
    </row>
    <row r="618" spans="1:1" x14ac:dyDescent="0.3">
      <c r="A618" t="s">
        <v>744</v>
      </c>
    </row>
    <row r="619" spans="1:1" x14ac:dyDescent="0.3">
      <c r="A619" t="s">
        <v>745</v>
      </c>
    </row>
    <row r="621" spans="1:1" x14ac:dyDescent="0.3">
      <c r="A621">
        <v>156</v>
      </c>
    </row>
    <row r="622" spans="1:1" x14ac:dyDescent="0.3">
      <c r="A622" t="s">
        <v>746</v>
      </c>
    </row>
    <row r="623" spans="1:1" x14ac:dyDescent="0.3">
      <c r="A623" t="s">
        <v>326</v>
      </c>
    </row>
    <row r="625" spans="1:1" x14ac:dyDescent="0.3">
      <c r="A625">
        <v>157</v>
      </c>
    </row>
    <row r="626" spans="1:1" x14ac:dyDescent="0.3">
      <c r="A626" t="s">
        <v>747</v>
      </c>
    </row>
    <row r="627" spans="1:1" x14ac:dyDescent="0.3">
      <c r="A627" t="s">
        <v>748</v>
      </c>
    </row>
    <row r="629" spans="1:1" x14ac:dyDescent="0.3">
      <c r="A629">
        <v>158</v>
      </c>
    </row>
    <row r="630" spans="1:1" x14ac:dyDescent="0.3">
      <c r="A630" t="s">
        <v>749</v>
      </c>
    </row>
    <row r="631" spans="1:1" x14ac:dyDescent="0.3">
      <c r="A631" t="s">
        <v>88</v>
      </c>
    </row>
    <row r="633" spans="1:1" x14ac:dyDescent="0.3">
      <c r="A633">
        <v>159</v>
      </c>
    </row>
    <row r="634" spans="1:1" x14ac:dyDescent="0.3">
      <c r="A634" t="s">
        <v>750</v>
      </c>
    </row>
    <row r="635" spans="1:1" x14ac:dyDescent="0.3">
      <c r="A635" t="s">
        <v>89</v>
      </c>
    </row>
    <row r="637" spans="1:1" x14ac:dyDescent="0.3">
      <c r="A637">
        <v>160</v>
      </c>
    </row>
    <row r="638" spans="1:1" x14ac:dyDescent="0.3">
      <c r="A638" t="s">
        <v>751</v>
      </c>
    </row>
    <row r="639" spans="1:1" x14ac:dyDescent="0.3">
      <c r="A639" t="s">
        <v>90</v>
      </c>
    </row>
    <row r="641" spans="1:1" x14ac:dyDescent="0.3">
      <c r="A641">
        <v>161</v>
      </c>
    </row>
    <row r="642" spans="1:1" x14ac:dyDescent="0.3">
      <c r="A642" t="s">
        <v>752</v>
      </c>
    </row>
    <row r="643" spans="1:1" x14ac:dyDescent="0.3">
      <c r="A643" t="s">
        <v>753</v>
      </c>
    </row>
    <row r="645" spans="1:1" x14ac:dyDescent="0.3">
      <c r="A645">
        <v>162</v>
      </c>
    </row>
    <row r="646" spans="1:1" x14ac:dyDescent="0.3">
      <c r="A646" t="s">
        <v>754</v>
      </c>
    </row>
    <row r="647" spans="1:1" x14ac:dyDescent="0.3">
      <c r="A647" t="s">
        <v>755</v>
      </c>
    </row>
    <row r="649" spans="1:1" x14ac:dyDescent="0.3">
      <c r="A649">
        <v>163</v>
      </c>
    </row>
    <row r="650" spans="1:1" x14ac:dyDescent="0.3">
      <c r="A650" t="s">
        <v>756</v>
      </c>
    </row>
    <row r="651" spans="1:1" x14ac:dyDescent="0.3">
      <c r="A651" t="s">
        <v>757</v>
      </c>
    </row>
    <row r="653" spans="1:1" x14ac:dyDescent="0.3">
      <c r="A653">
        <v>164</v>
      </c>
    </row>
    <row r="654" spans="1:1" x14ac:dyDescent="0.3">
      <c r="A654" t="s">
        <v>758</v>
      </c>
    </row>
    <row r="655" spans="1:1" x14ac:dyDescent="0.3">
      <c r="A655" t="s">
        <v>759</v>
      </c>
    </row>
    <row r="657" spans="1:1" x14ac:dyDescent="0.3">
      <c r="A657">
        <v>165</v>
      </c>
    </row>
    <row r="658" spans="1:1" x14ac:dyDescent="0.3">
      <c r="A658" t="s">
        <v>760</v>
      </c>
    </row>
    <row r="659" spans="1:1" x14ac:dyDescent="0.3">
      <c r="A659" t="s">
        <v>761</v>
      </c>
    </row>
    <row r="661" spans="1:1" x14ac:dyDescent="0.3">
      <c r="A661">
        <v>166</v>
      </c>
    </row>
    <row r="662" spans="1:1" x14ac:dyDescent="0.3">
      <c r="A662" t="s">
        <v>762</v>
      </c>
    </row>
    <row r="663" spans="1:1" x14ac:dyDescent="0.3">
      <c r="A663" t="s">
        <v>91</v>
      </c>
    </row>
    <row r="665" spans="1:1" x14ac:dyDescent="0.3">
      <c r="A665">
        <v>167</v>
      </c>
    </row>
    <row r="666" spans="1:1" x14ac:dyDescent="0.3">
      <c r="A666" t="s">
        <v>763</v>
      </c>
    </row>
    <row r="667" spans="1:1" x14ac:dyDescent="0.3">
      <c r="A667" t="s">
        <v>92</v>
      </c>
    </row>
    <row r="669" spans="1:1" x14ac:dyDescent="0.3">
      <c r="A669">
        <v>168</v>
      </c>
    </row>
    <row r="670" spans="1:1" x14ac:dyDescent="0.3">
      <c r="A670" t="s">
        <v>764</v>
      </c>
    </row>
    <row r="671" spans="1:1" x14ac:dyDescent="0.3">
      <c r="A671" t="s">
        <v>93</v>
      </c>
    </row>
    <row r="673" spans="1:1" x14ac:dyDescent="0.3">
      <c r="A673">
        <v>169</v>
      </c>
    </row>
    <row r="674" spans="1:1" x14ac:dyDescent="0.3">
      <c r="A674" t="s">
        <v>765</v>
      </c>
    </row>
    <row r="675" spans="1:1" x14ac:dyDescent="0.3">
      <c r="A675" t="s">
        <v>94</v>
      </c>
    </row>
    <row r="677" spans="1:1" x14ac:dyDescent="0.3">
      <c r="A677">
        <v>170</v>
      </c>
    </row>
    <row r="678" spans="1:1" x14ac:dyDescent="0.3">
      <c r="A678" t="s">
        <v>766</v>
      </c>
    </row>
    <row r="679" spans="1:1" x14ac:dyDescent="0.3">
      <c r="A679" t="s">
        <v>95</v>
      </c>
    </row>
    <row r="681" spans="1:1" x14ac:dyDescent="0.3">
      <c r="A681">
        <v>171</v>
      </c>
    </row>
    <row r="682" spans="1:1" x14ac:dyDescent="0.3">
      <c r="A682" t="s">
        <v>767</v>
      </c>
    </row>
    <row r="683" spans="1:1" x14ac:dyDescent="0.3">
      <c r="A683" t="s">
        <v>768</v>
      </c>
    </row>
    <row r="685" spans="1:1" x14ac:dyDescent="0.3">
      <c r="A685">
        <v>172</v>
      </c>
    </row>
    <row r="686" spans="1:1" x14ac:dyDescent="0.3">
      <c r="A686" t="s">
        <v>769</v>
      </c>
    </row>
    <row r="687" spans="1:1" x14ac:dyDescent="0.3">
      <c r="A687" t="s">
        <v>96</v>
      </c>
    </row>
    <row r="689" spans="1:1" x14ac:dyDescent="0.3">
      <c r="A689">
        <v>173</v>
      </c>
    </row>
    <row r="690" spans="1:1" x14ac:dyDescent="0.3">
      <c r="A690" t="s">
        <v>770</v>
      </c>
    </row>
    <row r="691" spans="1:1" x14ac:dyDescent="0.3">
      <c r="A691" t="s">
        <v>97</v>
      </c>
    </row>
    <row r="693" spans="1:1" x14ac:dyDescent="0.3">
      <c r="A693">
        <v>174</v>
      </c>
    </row>
    <row r="694" spans="1:1" x14ac:dyDescent="0.3">
      <c r="A694" t="s">
        <v>771</v>
      </c>
    </row>
    <row r="695" spans="1:1" x14ac:dyDescent="0.3">
      <c r="A695" t="s">
        <v>772</v>
      </c>
    </row>
    <row r="697" spans="1:1" x14ac:dyDescent="0.3">
      <c r="A697">
        <v>175</v>
      </c>
    </row>
    <row r="698" spans="1:1" x14ac:dyDescent="0.3">
      <c r="A698" t="s">
        <v>773</v>
      </c>
    </row>
    <row r="699" spans="1:1" x14ac:dyDescent="0.3">
      <c r="A699" t="s">
        <v>774</v>
      </c>
    </row>
    <row r="701" spans="1:1" x14ac:dyDescent="0.3">
      <c r="A701">
        <v>176</v>
      </c>
    </row>
    <row r="702" spans="1:1" x14ac:dyDescent="0.3">
      <c r="A702" t="s">
        <v>775</v>
      </c>
    </row>
    <row r="703" spans="1:1" x14ac:dyDescent="0.3">
      <c r="A703" t="s">
        <v>98</v>
      </c>
    </row>
    <row r="705" spans="1:1" x14ac:dyDescent="0.3">
      <c r="A705">
        <v>177</v>
      </c>
    </row>
    <row r="706" spans="1:1" x14ac:dyDescent="0.3">
      <c r="A706" t="s">
        <v>776</v>
      </c>
    </row>
    <row r="707" spans="1:1" x14ac:dyDescent="0.3">
      <c r="A707" t="s">
        <v>777</v>
      </c>
    </row>
    <row r="709" spans="1:1" x14ac:dyDescent="0.3">
      <c r="A709">
        <v>178</v>
      </c>
    </row>
    <row r="710" spans="1:1" x14ac:dyDescent="0.3">
      <c r="A710" t="s">
        <v>778</v>
      </c>
    </row>
    <row r="711" spans="1:1" x14ac:dyDescent="0.3">
      <c r="A711" t="s">
        <v>99</v>
      </c>
    </row>
    <row r="713" spans="1:1" x14ac:dyDescent="0.3">
      <c r="A713">
        <v>179</v>
      </c>
    </row>
    <row r="714" spans="1:1" x14ac:dyDescent="0.3">
      <c r="A714" t="s">
        <v>779</v>
      </c>
    </row>
    <row r="715" spans="1:1" x14ac:dyDescent="0.3">
      <c r="A715" t="s">
        <v>100</v>
      </c>
    </row>
    <row r="717" spans="1:1" x14ac:dyDescent="0.3">
      <c r="A717">
        <v>180</v>
      </c>
    </row>
    <row r="718" spans="1:1" x14ac:dyDescent="0.3">
      <c r="A718" t="s">
        <v>780</v>
      </c>
    </row>
    <row r="719" spans="1:1" x14ac:dyDescent="0.3">
      <c r="A719" t="s">
        <v>101</v>
      </c>
    </row>
    <row r="721" spans="1:1" x14ac:dyDescent="0.3">
      <c r="A721">
        <v>181</v>
      </c>
    </row>
    <row r="722" spans="1:1" x14ac:dyDescent="0.3">
      <c r="A722" t="s">
        <v>781</v>
      </c>
    </row>
    <row r="723" spans="1:1" x14ac:dyDescent="0.3">
      <c r="A723" t="s">
        <v>102</v>
      </c>
    </row>
    <row r="725" spans="1:1" x14ac:dyDescent="0.3">
      <c r="A725">
        <v>182</v>
      </c>
    </row>
    <row r="726" spans="1:1" x14ac:dyDescent="0.3">
      <c r="A726" t="s">
        <v>782</v>
      </c>
    </row>
    <row r="727" spans="1:1" x14ac:dyDescent="0.3">
      <c r="A727" t="s">
        <v>103</v>
      </c>
    </row>
    <row r="729" spans="1:1" x14ac:dyDescent="0.3">
      <c r="A729">
        <v>183</v>
      </c>
    </row>
    <row r="730" spans="1:1" x14ac:dyDescent="0.3">
      <c r="A730" t="s">
        <v>783</v>
      </c>
    </row>
    <row r="731" spans="1:1" x14ac:dyDescent="0.3">
      <c r="A731" t="s">
        <v>784</v>
      </c>
    </row>
    <row r="733" spans="1:1" x14ac:dyDescent="0.3">
      <c r="A733">
        <v>184</v>
      </c>
    </row>
    <row r="734" spans="1:1" x14ac:dyDescent="0.3">
      <c r="A734" t="s">
        <v>785</v>
      </c>
    </row>
    <row r="735" spans="1:1" x14ac:dyDescent="0.3">
      <c r="A735" t="s">
        <v>104</v>
      </c>
    </row>
    <row r="737" spans="1:1" x14ac:dyDescent="0.3">
      <c r="A737">
        <v>185</v>
      </c>
    </row>
    <row r="738" spans="1:1" x14ac:dyDescent="0.3">
      <c r="A738" t="s">
        <v>786</v>
      </c>
    </row>
    <row r="739" spans="1:1" x14ac:dyDescent="0.3">
      <c r="A739" t="s">
        <v>105</v>
      </c>
    </row>
    <row r="741" spans="1:1" x14ac:dyDescent="0.3">
      <c r="A741">
        <v>186</v>
      </c>
    </row>
    <row r="742" spans="1:1" x14ac:dyDescent="0.3">
      <c r="A742" t="s">
        <v>787</v>
      </c>
    </row>
    <row r="743" spans="1:1" x14ac:dyDescent="0.3">
      <c r="A743" t="s">
        <v>106</v>
      </c>
    </row>
    <row r="745" spans="1:1" x14ac:dyDescent="0.3">
      <c r="A745">
        <v>187</v>
      </c>
    </row>
    <row r="746" spans="1:1" x14ac:dyDescent="0.3">
      <c r="A746" t="s">
        <v>788</v>
      </c>
    </row>
    <row r="747" spans="1:1" x14ac:dyDescent="0.3">
      <c r="A747" t="s">
        <v>789</v>
      </c>
    </row>
    <row r="749" spans="1:1" x14ac:dyDescent="0.3">
      <c r="A749">
        <v>188</v>
      </c>
    </row>
    <row r="750" spans="1:1" x14ac:dyDescent="0.3">
      <c r="A750" t="s">
        <v>790</v>
      </c>
    </row>
    <row r="751" spans="1:1" x14ac:dyDescent="0.3">
      <c r="A751" t="s">
        <v>791</v>
      </c>
    </row>
    <row r="753" spans="1:1" x14ac:dyDescent="0.3">
      <c r="A753">
        <v>189</v>
      </c>
    </row>
    <row r="754" spans="1:1" x14ac:dyDescent="0.3">
      <c r="A754" t="s">
        <v>792</v>
      </c>
    </row>
    <row r="755" spans="1:1" x14ac:dyDescent="0.3">
      <c r="A755" t="s">
        <v>107</v>
      </c>
    </row>
    <row r="757" spans="1:1" x14ac:dyDescent="0.3">
      <c r="A757">
        <v>190</v>
      </c>
    </row>
    <row r="758" spans="1:1" x14ac:dyDescent="0.3">
      <c r="A758" t="s">
        <v>793</v>
      </c>
    </row>
    <row r="759" spans="1:1" x14ac:dyDescent="0.3">
      <c r="A759" t="s">
        <v>108</v>
      </c>
    </row>
    <row r="761" spans="1:1" x14ac:dyDescent="0.3">
      <c r="A761">
        <v>191</v>
      </c>
    </row>
    <row r="762" spans="1:1" x14ac:dyDescent="0.3">
      <c r="A762" t="s">
        <v>794</v>
      </c>
    </row>
    <row r="763" spans="1:1" x14ac:dyDescent="0.3">
      <c r="A763" t="s">
        <v>795</v>
      </c>
    </row>
    <row r="765" spans="1:1" x14ac:dyDescent="0.3">
      <c r="A765">
        <v>192</v>
      </c>
    </row>
    <row r="766" spans="1:1" x14ac:dyDescent="0.3">
      <c r="A766" t="s">
        <v>796</v>
      </c>
    </row>
    <row r="767" spans="1:1" x14ac:dyDescent="0.3">
      <c r="A767" t="s">
        <v>797</v>
      </c>
    </row>
    <row r="769" spans="1:1" x14ac:dyDescent="0.3">
      <c r="A769">
        <v>193</v>
      </c>
    </row>
    <row r="770" spans="1:1" x14ac:dyDescent="0.3">
      <c r="A770" t="s">
        <v>798</v>
      </c>
    </row>
    <row r="771" spans="1:1" x14ac:dyDescent="0.3">
      <c r="A771" t="s">
        <v>4</v>
      </c>
    </row>
    <row r="773" spans="1:1" x14ac:dyDescent="0.3">
      <c r="A773">
        <v>194</v>
      </c>
    </row>
    <row r="774" spans="1:1" x14ac:dyDescent="0.3">
      <c r="A774" t="s">
        <v>799</v>
      </c>
    </row>
    <row r="775" spans="1:1" x14ac:dyDescent="0.3">
      <c r="A775" t="s">
        <v>800</v>
      </c>
    </row>
    <row r="777" spans="1:1" x14ac:dyDescent="0.3">
      <c r="A777">
        <v>195</v>
      </c>
    </row>
    <row r="778" spans="1:1" x14ac:dyDescent="0.3">
      <c r="A778" t="s">
        <v>801</v>
      </c>
    </row>
    <row r="779" spans="1:1" x14ac:dyDescent="0.3">
      <c r="A779" t="s">
        <v>802</v>
      </c>
    </row>
    <row r="781" spans="1:1" x14ac:dyDescent="0.3">
      <c r="A781">
        <v>196</v>
      </c>
    </row>
    <row r="782" spans="1:1" x14ac:dyDescent="0.3">
      <c r="A782" t="s">
        <v>803</v>
      </c>
    </row>
    <row r="783" spans="1:1" x14ac:dyDescent="0.3">
      <c r="A783" t="s">
        <v>804</v>
      </c>
    </row>
    <row r="785" spans="1:1" x14ac:dyDescent="0.3">
      <c r="A785">
        <v>197</v>
      </c>
    </row>
    <row r="786" spans="1:1" x14ac:dyDescent="0.3">
      <c r="A786" t="s">
        <v>805</v>
      </c>
    </row>
    <row r="787" spans="1:1" x14ac:dyDescent="0.3">
      <c r="A787" t="s">
        <v>530</v>
      </c>
    </row>
    <row r="789" spans="1:1" x14ac:dyDescent="0.3">
      <c r="A789">
        <v>198</v>
      </c>
    </row>
    <row r="790" spans="1:1" x14ac:dyDescent="0.3">
      <c r="A790" t="s">
        <v>806</v>
      </c>
    </row>
    <row r="791" spans="1:1" x14ac:dyDescent="0.3">
      <c r="A791" t="s">
        <v>109</v>
      </c>
    </row>
    <row r="793" spans="1:1" x14ac:dyDescent="0.3">
      <c r="A793">
        <v>199</v>
      </c>
    </row>
    <row r="794" spans="1:1" x14ac:dyDescent="0.3">
      <c r="A794" t="s">
        <v>807</v>
      </c>
    </row>
    <row r="795" spans="1:1" x14ac:dyDescent="0.3">
      <c r="A795" t="s">
        <v>808</v>
      </c>
    </row>
    <row r="797" spans="1:1" x14ac:dyDescent="0.3">
      <c r="A797">
        <v>200</v>
      </c>
    </row>
    <row r="798" spans="1:1" x14ac:dyDescent="0.3">
      <c r="A798" t="s">
        <v>809</v>
      </c>
    </row>
    <row r="799" spans="1:1" x14ac:dyDescent="0.3">
      <c r="A799" t="s">
        <v>531</v>
      </c>
    </row>
    <row r="801" spans="1:1" x14ac:dyDescent="0.3">
      <c r="A801">
        <v>201</v>
      </c>
    </row>
    <row r="802" spans="1:1" x14ac:dyDescent="0.3">
      <c r="A802" t="s">
        <v>1026</v>
      </c>
    </row>
    <row r="803" spans="1:1" x14ac:dyDescent="0.3">
      <c r="A803" t="s">
        <v>810</v>
      </c>
    </row>
    <row r="805" spans="1:1" x14ac:dyDescent="0.3">
      <c r="A805">
        <v>202</v>
      </c>
    </row>
    <row r="806" spans="1:1" x14ac:dyDescent="0.3">
      <c r="A806" t="s">
        <v>1027</v>
      </c>
    </row>
    <row r="807" spans="1:1" x14ac:dyDescent="0.3">
      <c r="A807" t="s">
        <v>110</v>
      </c>
    </row>
    <row r="809" spans="1:1" x14ac:dyDescent="0.3">
      <c r="A809">
        <v>203</v>
      </c>
    </row>
    <row r="810" spans="1:1" x14ac:dyDescent="0.3">
      <c r="A810" t="s">
        <v>1028</v>
      </c>
    </row>
    <row r="811" spans="1:1" x14ac:dyDescent="0.3">
      <c r="A811" t="s">
        <v>811</v>
      </c>
    </row>
    <row r="813" spans="1:1" x14ac:dyDescent="0.3">
      <c r="A813">
        <v>204</v>
      </c>
    </row>
    <row r="814" spans="1:1" x14ac:dyDescent="0.3">
      <c r="A814" t="s">
        <v>1029</v>
      </c>
    </row>
    <row r="815" spans="1:1" x14ac:dyDescent="0.3">
      <c r="A815" t="s">
        <v>812</v>
      </c>
    </row>
    <row r="817" spans="1:1" x14ac:dyDescent="0.3">
      <c r="A817">
        <v>205</v>
      </c>
    </row>
    <row r="818" spans="1:1" x14ac:dyDescent="0.3">
      <c r="A818" t="s">
        <v>1030</v>
      </c>
    </row>
    <row r="819" spans="1:1" x14ac:dyDescent="0.3">
      <c r="A819" t="s">
        <v>813</v>
      </c>
    </row>
    <row r="821" spans="1:1" x14ac:dyDescent="0.3">
      <c r="A821">
        <v>206</v>
      </c>
    </row>
    <row r="822" spans="1:1" x14ac:dyDescent="0.3">
      <c r="A822" t="s">
        <v>1031</v>
      </c>
    </row>
    <row r="823" spans="1:1" x14ac:dyDescent="0.3">
      <c r="A823" t="s">
        <v>111</v>
      </c>
    </row>
    <row r="825" spans="1:1" x14ac:dyDescent="0.3">
      <c r="A825">
        <v>207</v>
      </c>
    </row>
    <row r="826" spans="1:1" x14ac:dyDescent="0.3">
      <c r="A826" t="s">
        <v>1032</v>
      </c>
    </row>
    <row r="827" spans="1:1" x14ac:dyDescent="0.3">
      <c r="A827" t="s">
        <v>814</v>
      </c>
    </row>
    <row r="829" spans="1:1" x14ac:dyDescent="0.3">
      <c r="A829">
        <v>208</v>
      </c>
    </row>
    <row r="830" spans="1:1" x14ac:dyDescent="0.3">
      <c r="A830" t="s">
        <v>1033</v>
      </c>
    </row>
    <row r="831" spans="1:1" x14ac:dyDescent="0.3">
      <c r="A831" t="s">
        <v>815</v>
      </c>
    </row>
    <row r="833" spans="1:1" x14ac:dyDescent="0.3">
      <c r="A833">
        <v>209</v>
      </c>
    </row>
    <row r="834" spans="1:1" x14ac:dyDescent="0.3">
      <c r="A834" t="s">
        <v>1034</v>
      </c>
    </row>
    <row r="835" spans="1:1" x14ac:dyDescent="0.3">
      <c r="A835" t="s">
        <v>112</v>
      </c>
    </row>
    <row r="837" spans="1:1" x14ac:dyDescent="0.3">
      <c r="A837">
        <v>210</v>
      </c>
    </row>
    <row r="838" spans="1:1" x14ac:dyDescent="0.3">
      <c r="A838" t="s">
        <v>1035</v>
      </c>
    </row>
    <row r="839" spans="1:1" x14ac:dyDescent="0.3">
      <c r="A839" t="s">
        <v>532</v>
      </c>
    </row>
    <row r="841" spans="1:1" x14ac:dyDescent="0.3">
      <c r="A841">
        <v>211</v>
      </c>
    </row>
    <row r="842" spans="1:1" x14ac:dyDescent="0.3">
      <c r="A842" t="s">
        <v>1036</v>
      </c>
    </row>
    <row r="843" spans="1:1" x14ac:dyDescent="0.3">
      <c r="A843" t="s">
        <v>113</v>
      </c>
    </row>
    <row r="845" spans="1:1" x14ac:dyDescent="0.3">
      <c r="A845">
        <v>212</v>
      </c>
    </row>
    <row r="846" spans="1:1" x14ac:dyDescent="0.3">
      <c r="A846" t="s">
        <v>1037</v>
      </c>
    </row>
    <row r="847" spans="1:1" x14ac:dyDescent="0.3">
      <c r="A847" t="s">
        <v>816</v>
      </c>
    </row>
    <row r="849" spans="1:1" x14ac:dyDescent="0.3">
      <c r="A849">
        <v>213</v>
      </c>
    </row>
    <row r="850" spans="1:1" x14ac:dyDescent="0.3">
      <c r="A850" t="s">
        <v>1038</v>
      </c>
    </row>
    <row r="851" spans="1:1" x14ac:dyDescent="0.3">
      <c r="A851" t="s">
        <v>114</v>
      </c>
    </row>
    <row r="853" spans="1:1" x14ac:dyDescent="0.3">
      <c r="A853">
        <v>214</v>
      </c>
    </row>
    <row r="854" spans="1:1" x14ac:dyDescent="0.3">
      <c r="A854" t="s">
        <v>1039</v>
      </c>
    </row>
    <row r="855" spans="1:1" x14ac:dyDescent="0.3">
      <c r="A855" t="s">
        <v>115</v>
      </c>
    </row>
    <row r="857" spans="1:1" x14ac:dyDescent="0.3">
      <c r="A857">
        <v>215</v>
      </c>
    </row>
    <row r="858" spans="1:1" x14ac:dyDescent="0.3">
      <c r="A858" t="s">
        <v>1040</v>
      </c>
    </row>
    <row r="859" spans="1:1" x14ac:dyDescent="0.3">
      <c r="A859" t="s">
        <v>533</v>
      </c>
    </row>
    <row r="861" spans="1:1" x14ac:dyDescent="0.3">
      <c r="A861">
        <v>216</v>
      </c>
    </row>
    <row r="862" spans="1:1" x14ac:dyDescent="0.3">
      <c r="A862" t="s">
        <v>1041</v>
      </c>
    </row>
    <row r="863" spans="1:1" x14ac:dyDescent="0.3">
      <c r="A863" t="s">
        <v>534</v>
      </c>
    </row>
    <row r="865" spans="1:1" x14ac:dyDescent="0.3">
      <c r="A865">
        <v>217</v>
      </c>
    </row>
    <row r="866" spans="1:1" x14ac:dyDescent="0.3">
      <c r="A866" t="s">
        <v>1042</v>
      </c>
    </row>
    <row r="867" spans="1:1" x14ac:dyDescent="0.3">
      <c r="A867" t="s">
        <v>817</v>
      </c>
    </row>
    <row r="869" spans="1:1" x14ac:dyDescent="0.3">
      <c r="A869">
        <v>218</v>
      </c>
    </row>
    <row r="870" spans="1:1" x14ac:dyDescent="0.3">
      <c r="A870" t="s">
        <v>1043</v>
      </c>
    </row>
    <row r="871" spans="1:1" x14ac:dyDescent="0.3">
      <c r="A871" t="s">
        <v>116</v>
      </c>
    </row>
    <row r="873" spans="1:1" x14ac:dyDescent="0.3">
      <c r="A873">
        <v>219</v>
      </c>
    </row>
    <row r="874" spans="1:1" x14ac:dyDescent="0.3">
      <c r="A874" t="s">
        <v>1044</v>
      </c>
    </row>
    <row r="875" spans="1:1" x14ac:dyDescent="0.3">
      <c r="A875" t="s">
        <v>117</v>
      </c>
    </row>
    <row r="877" spans="1:1" x14ac:dyDescent="0.3">
      <c r="A877">
        <v>220</v>
      </c>
    </row>
    <row r="878" spans="1:1" x14ac:dyDescent="0.3">
      <c r="A878" t="s">
        <v>1045</v>
      </c>
    </row>
    <row r="879" spans="1:1" x14ac:dyDescent="0.3">
      <c r="A879" t="s">
        <v>818</v>
      </c>
    </row>
    <row r="881" spans="1:1" x14ac:dyDescent="0.3">
      <c r="A881">
        <v>221</v>
      </c>
    </row>
    <row r="882" spans="1:1" x14ac:dyDescent="0.3">
      <c r="A882" t="s">
        <v>1046</v>
      </c>
    </row>
    <row r="883" spans="1:1" x14ac:dyDescent="0.3">
      <c r="A883" t="s">
        <v>118</v>
      </c>
    </row>
    <row r="885" spans="1:1" x14ac:dyDescent="0.3">
      <c r="A885">
        <v>222</v>
      </c>
    </row>
    <row r="886" spans="1:1" x14ac:dyDescent="0.3">
      <c r="A886" t="s">
        <v>1047</v>
      </c>
    </row>
    <row r="887" spans="1:1" x14ac:dyDescent="0.3">
      <c r="A887" t="s">
        <v>819</v>
      </c>
    </row>
    <row r="889" spans="1:1" x14ac:dyDescent="0.3">
      <c r="A889">
        <v>223</v>
      </c>
    </row>
    <row r="890" spans="1:1" x14ac:dyDescent="0.3">
      <c r="A890" t="s">
        <v>1048</v>
      </c>
    </row>
    <row r="891" spans="1:1" x14ac:dyDescent="0.3">
      <c r="A891" t="s">
        <v>820</v>
      </c>
    </row>
    <row r="893" spans="1:1" x14ac:dyDescent="0.3">
      <c r="A893">
        <v>224</v>
      </c>
    </row>
    <row r="894" spans="1:1" x14ac:dyDescent="0.3">
      <c r="A894" t="s">
        <v>1049</v>
      </c>
    </row>
    <row r="895" spans="1:1" x14ac:dyDescent="0.3">
      <c r="A895" t="s">
        <v>821</v>
      </c>
    </row>
    <row r="897" spans="1:1" x14ac:dyDescent="0.3">
      <c r="A897">
        <v>225</v>
      </c>
    </row>
    <row r="898" spans="1:1" x14ac:dyDescent="0.3">
      <c r="A898" t="s">
        <v>1050</v>
      </c>
    </row>
    <row r="899" spans="1:1" x14ac:dyDescent="0.3">
      <c r="A899" t="s">
        <v>822</v>
      </c>
    </row>
    <row r="901" spans="1:1" x14ac:dyDescent="0.3">
      <c r="A901">
        <v>226</v>
      </c>
    </row>
    <row r="902" spans="1:1" x14ac:dyDescent="0.3">
      <c r="A902" t="s">
        <v>1051</v>
      </c>
    </row>
    <row r="903" spans="1:1" x14ac:dyDescent="0.3">
      <c r="A903" t="s">
        <v>823</v>
      </c>
    </row>
    <row r="905" spans="1:1" x14ac:dyDescent="0.3">
      <c r="A905">
        <v>227</v>
      </c>
    </row>
    <row r="906" spans="1:1" x14ac:dyDescent="0.3">
      <c r="A906" t="s">
        <v>1052</v>
      </c>
    </row>
    <row r="907" spans="1:1" x14ac:dyDescent="0.3">
      <c r="A907" t="s">
        <v>535</v>
      </c>
    </row>
    <row r="909" spans="1:1" x14ac:dyDescent="0.3">
      <c r="A909">
        <v>228</v>
      </c>
    </row>
    <row r="910" spans="1:1" x14ac:dyDescent="0.3">
      <c r="A910" t="s">
        <v>1053</v>
      </c>
    </row>
    <row r="911" spans="1:1" x14ac:dyDescent="0.3">
      <c r="A911" t="s">
        <v>119</v>
      </c>
    </row>
    <row r="913" spans="1:1" x14ac:dyDescent="0.3">
      <c r="A913">
        <v>229</v>
      </c>
    </row>
    <row r="914" spans="1:1" x14ac:dyDescent="0.3">
      <c r="A914" t="s">
        <v>1054</v>
      </c>
    </row>
    <row r="915" spans="1:1" x14ac:dyDescent="0.3">
      <c r="A915" t="s">
        <v>824</v>
      </c>
    </row>
    <row r="917" spans="1:1" x14ac:dyDescent="0.3">
      <c r="A917">
        <v>230</v>
      </c>
    </row>
    <row r="918" spans="1:1" x14ac:dyDescent="0.3">
      <c r="A918" t="s">
        <v>1055</v>
      </c>
    </row>
    <row r="919" spans="1:1" x14ac:dyDescent="0.3">
      <c r="A919" t="s">
        <v>0</v>
      </c>
    </row>
    <row r="921" spans="1:1" x14ac:dyDescent="0.3">
      <c r="A921">
        <v>231</v>
      </c>
    </row>
    <row r="922" spans="1:1" x14ac:dyDescent="0.3">
      <c r="A922" t="s">
        <v>1056</v>
      </c>
    </row>
    <row r="923" spans="1:1" x14ac:dyDescent="0.3">
      <c r="A923" t="s">
        <v>825</v>
      </c>
    </row>
    <row r="925" spans="1:1" x14ac:dyDescent="0.3">
      <c r="A925">
        <v>232</v>
      </c>
    </row>
    <row r="926" spans="1:1" x14ac:dyDescent="0.3">
      <c r="A926" t="s">
        <v>1057</v>
      </c>
    </row>
    <row r="927" spans="1:1" x14ac:dyDescent="0.3">
      <c r="A927" t="s">
        <v>845</v>
      </c>
    </row>
    <row r="929" spans="1:1" x14ac:dyDescent="0.3">
      <c r="A929">
        <v>233</v>
      </c>
    </row>
    <row r="930" spans="1:1" x14ac:dyDescent="0.3">
      <c r="A930" t="s">
        <v>1058</v>
      </c>
    </row>
    <row r="931" spans="1:1" x14ac:dyDescent="0.3">
      <c r="A931" t="s">
        <v>120</v>
      </c>
    </row>
    <row r="933" spans="1:1" x14ac:dyDescent="0.3">
      <c r="A933">
        <v>234</v>
      </c>
    </row>
    <row r="934" spans="1:1" x14ac:dyDescent="0.3">
      <c r="A934" t="s">
        <v>1059</v>
      </c>
    </row>
    <row r="935" spans="1:1" x14ac:dyDescent="0.3">
      <c r="A935" t="s">
        <v>1060</v>
      </c>
    </row>
    <row r="937" spans="1:1" x14ac:dyDescent="0.3">
      <c r="A937">
        <v>235</v>
      </c>
    </row>
    <row r="938" spans="1:1" x14ac:dyDescent="0.3">
      <c r="A938" t="s">
        <v>1061</v>
      </c>
    </row>
    <row r="939" spans="1:1" x14ac:dyDescent="0.3">
      <c r="A939" t="s">
        <v>826</v>
      </c>
    </row>
    <row r="941" spans="1:1" x14ac:dyDescent="0.3">
      <c r="A941">
        <v>236</v>
      </c>
    </row>
    <row r="942" spans="1:1" x14ac:dyDescent="0.3">
      <c r="A942" t="s">
        <v>1062</v>
      </c>
    </row>
    <row r="943" spans="1:1" x14ac:dyDescent="0.3">
      <c r="A943" t="s">
        <v>827</v>
      </c>
    </row>
    <row r="945" spans="1:1" x14ac:dyDescent="0.3">
      <c r="A945">
        <v>237</v>
      </c>
    </row>
    <row r="946" spans="1:1" x14ac:dyDescent="0.3">
      <c r="A946" t="s">
        <v>1063</v>
      </c>
    </row>
    <row r="947" spans="1:1" x14ac:dyDescent="0.3">
      <c r="A947" t="s">
        <v>828</v>
      </c>
    </row>
    <row r="949" spans="1:1" x14ac:dyDescent="0.3">
      <c r="A949">
        <v>238</v>
      </c>
    </row>
    <row r="950" spans="1:1" x14ac:dyDescent="0.3">
      <c r="A950" t="s">
        <v>1064</v>
      </c>
    </row>
    <row r="951" spans="1:1" x14ac:dyDescent="0.3">
      <c r="A951" t="s">
        <v>121</v>
      </c>
    </row>
    <row r="953" spans="1:1" x14ac:dyDescent="0.3">
      <c r="A953">
        <v>239</v>
      </c>
    </row>
    <row r="954" spans="1:1" x14ac:dyDescent="0.3">
      <c r="A954" t="s">
        <v>1065</v>
      </c>
    </row>
    <row r="955" spans="1:1" x14ac:dyDescent="0.3">
      <c r="A955" t="s">
        <v>829</v>
      </c>
    </row>
    <row r="957" spans="1:1" x14ac:dyDescent="0.3">
      <c r="A957">
        <v>240</v>
      </c>
    </row>
    <row r="958" spans="1:1" x14ac:dyDescent="0.3">
      <c r="A958" t="s">
        <v>1066</v>
      </c>
    </row>
    <row r="959" spans="1:1" x14ac:dyDescent="0.3">
      <c r="A959" t="s">
        <v>830</v>
      </c>
    </row>
    <row r="961" spans="1:1" x14ac:dyDescent="0.3">
      <c r="A961">
        <v>241</v>
      </c>
    </row>
    <row r="962" spans="1:1" x14ac:dyDescent="0.3">
      <c r="A962" t="s">
        <v>1067</v>
      </c>
    </row>
    <row r="963" spans="1:1" x14ac:dyDescent="0.3">
      <c r="A963" t="s">
        <v>831</v>
      </c>
    </row>
    <row r="965" spans="1:1" x14ac:dyDescent="0.3">
      <c r="A965">
        <v>242</v>
      </c>
    </row>
    <row r="966" spans="1:1" x14ac:dyDescent="0.3">
      <c r="A966" t="s">
        <v>1068</v>
      </c>
    </row>
    <row r="967" spans="1:1" x14ac:dyDescent="0.3">
      <c r="A967" t="s">
        <v>832</v>
      </c>
    </row>
    <row r="969" spans="1:1" x14ac:dyDescent="0.3">
      <c r="A969">
        <v>243</v>
      </c>
    </row>
    <row r="970" spans="1:1" x14ac:dyDescent="0.3">
      <c r="A970" t="s">
        <v>1069</v>
      </c>
    </row>
    <row r="971" spans="1:1" x14ac:dyDescent="0.3">
      <c r="A971" t="s">
        <v>122</v>
      </c>
    </row>
    <row r="973" spans="1:1" x14ac:dyDescent="0.3">
      <c r="A973">
        <v>244</v>
      </c>
    </row>
    <row r="974" spans="1:1" x14ac:dyDescent="0.3">
      <c r="A974" t="s">
        <v>1070</v>
      </c>
    </row>
    <row r="975" spans="1:1" x14ac:dyDescent="0.3">
      <c r="A975" t="s">
        <v>123</v>
      </c>
    </row>
    <row r="977" spans="1:1" x14ac:dyDescent="0.3">
      <c r="A977">
        <v>245</v>
      </c>
    </row>
    <row r="978" spans="1:1" x14ac:dyDescent="0.3">
      <c r="A978" t="s">
        <v>1071</v>
      </c>
    </row>
    <row r="979" spans="1:1" x14ac:dyDescent="0.3">
      <c r="A979" t="s">
        <v>124</v>
      </c>
    </row>
    <row r="981" spans="1:1" x14ac:dyDescent="0.3">
      <c r="A981">
        <v>246</v>
      </c>
    </row>
    <row r="982" spans="1:1" x14ac:dyDescent="0.3">
      <c r="A982" t="s">
        <v>1072</v>
      </c>
    </row>
    <row r="983" spans="1:1" x14ac:dyDescent="0.3">
      <c r="A983" t="s">
        <v>833</v>
      </c>
    </row>
    <row r="985" spans="1:1" x14ac:dyDescent="0.3">
      <c r="A985">
        <v>247</v>
      </c>
    </row>
    <row r="986" spans="1:1" x14ac:dyDescent="0.3">
      <c r="A986" t="s">
        <v>1073</v>
      </c>
    </row>
    <row r="987" spans="1:1" x14ac:dyDescent="0.3">
      <c r="A987" t="s">
        <v>125</v>
      </c>
    </row>
    <row r="989" spans="1:1" x14ac:dyDescent="0.3">
      <c r="A989">
        <v>248</v>
      </c>
    </row>
    <row r="990" spans="1:1" x14ac:dyDescent="0.3">
      <c r="A990" t="s">
        <v>1074</v>
      </c>
    </row>
    <row r="991" spans="1:1" x14ac:dyDescent="0.3">
      <c r="A991" t="s">
        <v>126</v>
      </c>
    </row>
    <row r="993" spans="1:1" x14ac:dyDescent="0.3">
      <c r="A993">
        <v>249</v>
      </c>
    </row>
    <row r="994" spans="1:1" x14ac:dyDescent="0.3">
      <c r="A994" t="s">
        <v>1075</v>
      </c>
    </row>
    <row r="995" spans="1:1" x14ac:dyDescent="0.3">
      <c r="A995" t="s">
        <v>127</v>
      </c>
    </row>
    <row r="997" spans="1:1" x14ac:dyDescent="0.3">
      <c r="A997">
        <v>250</v>
      </c>
    </row>
    <row r="998" spans="1:1" x14ac:dyDescent="0.3">
      <c r="A998" t="s">
        <v>1076</v>
      </c>
    </row>
    <row r="999" spans="1:1" x14ac:dyDescent="0.3">
      <c r="A999" t="s">
        <v>2</v>
      </c>
    </row>
    <row r="1001" spans="1:1" x14ac:dyDescent="0.3">
      <c r="A1001">
        <v>251</v>
      </c>
    </row>
    <row r="1002" spans="1:1" x14ac:dyDescent="0.3">
      <c r="A1002" t="s">
        <v>1077</v>
      </c>
    </row>
    <row r="1003" spans="1:1" x14ac:dyDescent="0.3">
      <c r="A1003" t="s">
        <v>128</v>
      </c>
    </row>
    <row r="1005" spans="1:1" x14ac:dyDescent="0.3">
      <c r="A1005">
        <v>252</v>
      </c>
    </row>
    <row r="1006" spans="1:1" x14ac:dyDescent="0.3">
      <c r="A1006" t="s">
        <v>1078</v>
      </c>
    </row>
    <row r="1007" spans="1:1" x14ac:dyDescent="0.3">
      <c r="A1007" t="s">
        <v>834</v>
      </c>
    </row>
    <row r="1009" spans="1:1" x14ac:dyDescent="0.3">
      <c r="A1009">
        <v>253</v>
      </c>
    </row>
    <row r="1010" spans="1:1" x14ac:dyDescent="0.3">
      <c r="A1010" t="s">
        <v>1079</v>
      </c>
    </row>
    <row r="1011" spans="1:1" x14ac:dyDescent="0.3">
      <c r="A1011" t="s">
        <v>536</v>
      </c>
    </row>
    <row r="1013" spans="1:1" x14ac:dyDescent="0.3">
      <c r="A1013">
        <v>254</v>
      </c>
    </row>
    <row r="1014" spans="1:1" x14ac:dyDescent="0.3">
      <c r="A1014" t="s">
        <v>1080</v>
      </c>
    </row>
    <row r="1015" spans="1:1" x14ac:dyDescent="0.3">
      <c r="A1015" t="s">
        <v>129</v>
      </c>
    </row>
    <row r="1017" spans="1:1" x14ac:dyDescent="0.3">
      <c r="A1017">
        <v>255</v>
      </c>
    </row>
    <row r="1018" spans="1:1" x14ac:dyDescent="0.3">
      <c r="A1018" t="s">
        <v>1081</v>
      </c>
    </row>
    <row r="1019" spans="1:1" x14ac:dyDescent="0.3">
      <c r="A1019" t="s">
        <v>835</v>
      </c>
    </row>
    <row r="1021" spans="1:1" x14ac:dyDescent="0.3">
      <c r="A1021">
        <v>256</v>
      </c>
    </row>
    <row r="1022" spans="1:1" x14ac:dyDescent="0.3">
      <c r="A1022" t="s">
        <v>1082</v>
      </c>
    </row>
    <row r="1023" spans="1:1" x14ac:dyDescent="0.3">
      <c r="A1023" t="s">
        <v>130</v>
      </c>
    </row>
    <row r="1025" spans="1:1" x14ac:dyDescent="0.3">
      <c r="A1025">
        <v>257</v>
      </c>
    </row>
    <row r="1026" spans="1:1" x14ac:dyDescent="0.3">
      <c r="A1026" t="s">
        <v>1083</v>
      </c>
    </row>
    <row r="1027" spans="1:1" x14ac:dyDescent="0.3">
      <c r="A1027" t="s">
        <v>836</v>
      </c>
    </row>
    <row r="1029" spans="1:1" x14ac:dyDescent="0.3">
      <c r="A1029">
        <v>258</v>
      </c>
    </row>
    <row r="1030" spans="1:1" x14ac:dyDescent="0.3">
      <c r="A1030" t="s">
        <v>1084</v>
      </c>
    </row>
    <row r="1031" spans="1:1" x14ac:dyDescent="0.3">
      <c r="A1031" t="s">
        <v>131</v>
      </c>
    </row>
    <row r="1033" spans="1:1" x14ac:dyDescent="0.3">
      <c r="A1033">
        <v>259</v>
      </c>
    </row>
    <row r="1034" spans="1:1" x14ac:dyDescent="0.3">
      <c r="A1034" t="s">
        <v>1085</v>
      </c>
    </row>
    <row r="1035" spans="1:1" x14ac:dyDescent="0.3">
      <c r="A1035" t="s">
        <v>536</v>
      </c>
    </row>
    <row r="1037" spans="1:1" x14ac:dyDescent="0.3">
      <c r="A1037">
        <v>260</v>
      </c>
    </row>
    <row r="1038" spans="1:1" x14ac:dyDescent="0.3">
      <c r="A1038" t="s">
        <v>1086</v>
      </c>
    </row>
    <row r="1039" spans="1:1" x14ac:dyDescent="0.3">
      <c r="A1039" t="s">
        <v>865</v>
      </c>
    </row>
    <row r="1041" spans="1:1" x14ac:dyDescent="0.3">
      <c r="A1041">
        <v>261</v>
      </c>
    </row>
    <row r="1042" spans="1:1" x14ac:dyDescent="0.3">
      <c r="A1042" t="s">
        <v>1087</v>
      </c>
    </row>
    <row r="1043" spans="1:1" x14ac:dyDescent="0.3">
      <c r="A1043" t="s">
        <v>866</v>
      </c>
    </row>
    <row r="1045" spans="1:1" x14ac:dyDescent="0.3">
      <c r="A1045">
        <v>262</v>
      </c>
    </row>
    <row r="1046" spans="1:1" x14ac:dyDescent="0.3">
      <c r="A1046" t="s">
        <v>1088</v>
      </c>
    </row>
    <row r="1047" spans="1:1" x14ac:dyDescent="0.3">
      <c r="A1047" t="s">
        <v>133</v>
      </c>
    </row>
    <row r="1049" spans="1:1" x14ac:dyDescent="0.3">
      <c r="A1049">
        <v>263</v>
      </c>
    </row>
    <row r="1050" spans="1:1" x14ac:dyDescent="0.3">
      <c r="A1050" t="s">
        <v>1089</v>
      </c>
    </row>
    <row r="1051" spans="1:1" x14ac:dyDescent="0.3">
      <c r="A1051" t="s">
        <v>134</v>
      </c>
    </row>
    <row r="1053" spans="1:1" x14ac:dyDescent="0.3">
      <c r="A1053">
        <v>264</v>
      </c>
    </row>
    <row r="1054" spans="1:1" x14ac:dyDescent="0.3">
      <c r="A1054" t="s">
        <v>1090</v>
      </c>
    </row>
    <row r="1055" spans="1:1" x14ac:dyDescent="0.3">
      <c r="A1055" t="s">
        <v>837</v>
      </c>
    </row>
    <row r="1057" spans="1:1" x14ac:dyDescent="0.3">
      <c r="A1057">
        <v>265</v>
      </c>
    </row>
    <row r="1058" spans="1:1" x14ac:dyDescent="0.3">
      <c r="A1058" t="s">
        <v>1091</v>
      </c>
    </row>
    <row r="1059" spans="1:1" x14ac:dyDescent="0.3">
      <c r="A1059" t="s">
        <v>135</v>
      </c>
    </row>
    <row r="1061" spans="1:1" x14ac:dyDescent="0.3">
      <c r="A1061">
        <v>266</v>
      </c>
    </row>
    <row r="1062" spans="1:1" x14ac:dyDescent="0.3">
      <c r="A1062" t="s">
        <v>1092</v>
      </c>
    </row>
    <row r="1063" spans="1:1" x14ac:dyDescent="0.3">
      <c r="A1063" t="s">
        <v>537</v>
      </c>
    </row>
    <row r="1065" spans="1:1" x14ac:dyDescent="0.3">
      <c r="A1065">
        <v>267</v>
      </c>
    </row>
    <row r="1066" spans="1:1" x14ac:dyDescent="0.3">
      <c r="A1066" t="s">
        <v>1093</v>
      </c>
    </row>
    <row r="1067" spans="1:1" x14ac:dyDescent="0.3">
      <c r="A1067" t="s">
        <v>136</v>
      </c>
    </row>
    <row r="1069" spans="1:1" x14ac:dyDescent="0.3">
      <c r="A1069">
        <v>268</v>
      </c>
    </row>
    <row r="1070" spans="1:1" x14ac:dyDescent="0.3">
      <c r="A1070" t="s">
        <v>1094</v>
      </c>
    </row>
    <row r="1071" spans="1:1" x14ac:dyDescent="0.3">
      <c r="A1071" t="s">
        <v>137</v>
      </c>
    </row>
    <row r="1073" spans="1:1" x14ac:dyDescent="0.3">
      <c r="A1073">
        <v>269</v>
      </c>
    </row>
    <row r="1074" spans="1:1" x14ac:dyDescent="0.3">
      <c r="A1074" t="s">
        <v>1095</v>
      </c>
    </row>
    <row r="1075" spans="1:1" x14ac:dyDescent="0.3">
      <c r="A1075" t="s">
        <v>138</v>
      </c>
    </row>
    <row r="1077" spans="1:1" x14ac:dyDescent="0.3">
      <c r="A1077">
        <v>270</v>
      </c>
    </row>
    <row r="1078" spans="1:1" x14ac:dyDescent="0.3">
      <c r="A1078" t="s">
        <v>1096</v>
      </c>
    </row>
    <row r="1079" spans="1:1" x14ac:dyDescent="0.3">
      <c r="A1079" t="s">
        <v>838</v>
      </c>
    </row>
    <row r="1081" spans="1:1" x14ac:dyDescent="0.3">
      <c r="A1081">
        <v>271</v>
      </c>
    </row>
    <row r="1082" spans="1:1" x14ac:dyDescent="0.3">
      <c r="A1082" t="s">
        <v>1097</v>
      </c>
    </row>
    <row r="1083" spans="1:1" x14ac:dyDescent="0.3">
      <c r="A1083" t="s">
        <v>139</v>
      </c>
    </row>
    <row r="1085" spans="1:1" x14ac:dyDescent="0.3">
      <c r="A1085">
        <v>272</v>
      </c>
    </row>
    <row r="1086" spans="1:1" x14ac:dyDescent="0.3">
      <c r="A1086" t="s">
        <v>1098</v>
      </c>
    </row>
    <row r="1087" spans="1:1" x14ac:dyDescent="0.3">
      <c r="A1087" t="s">
        <v>140</v>
      </c>
    </row>
    <row r="1089" spans="1:1" x14ac:dyDescent="0.3">
      <c r="A1089">
        <v>273</v>
      </c>
    </row>
    <row r="1090" spans="1:1" x14ac:dyDescent="0.3">
      <c r="A1090" t="s">
        <v>1099</v>
      </c>
    </row>
    <row r="1091" spans="1:1" x14ac:dyDescent="0.3">
      <c r="A1091" t="s">
        <v>839</v>
      </c>
    </row>
    <row r="1093" spans="1:1" x14ac:dyDescent="0.3">
      <c r="A1093">
        <v>274</v>
      </c>
    </row>
    <row r="1094" spans="1:1" x14ac:dyDescent="0.3">
      <c r="A1094" t="s">
        <v>1100</v>
      </c>
    </row>
    <row r="1095" spans="1:1" x14ac:dyDescent="0.3">
      <c r="A1095" t="s">
        <v>141</v>
      </c>
    </row>
    <row r="1097" spans="1:1" x14ac:dyDescent="0.3">
      <c r="A1097">
        <v>275</v>
      </c>
    </row>
    <row r="1098" spans="1:1" x14ac:dyDescent="0.3">
      <c r="A1098" t="s">
        <v>1101</v>
      </c>
    </row>
    <row r="1099" spans="1:1" x14ac:dyDescent="0.3">
      <c r="A1099" t="s">
        <v>840</v>
      </c>
    </row>
    <row r="1101" spans="1:1" x14ac:dyDescent="0.3">
      <c r="A1101">
        <v>276</v>
      </c>
    </row>
    <row r="1102" spans="1:1" x14ac:dyDescent="0.3">
      <c r="A1102" t="s">
        <v>1102</v>
      </c>
    </row>
    <row r="1103" spans="1:1" x14ac:dyDescent="0.3">
      <c r="A1103" t="s">
        <v>841</v>
      </c>
    </row>
    <row r="1105" spans="1:1" x14ac:dyDescent="0.3">
      <c r="A1105">
        <v>277</v>
      </c>
    </row>
    <row r="1106" spans="1:1" x14ac:dyDescent="0.3">
      <c r="A1106" t="s">
        <v>1103</v>
      </c>
    </row>
    <row r="1107" spans="1:1" x14ac:dyDescent="0.3">
      <c r="A1107" t="s">
        <v>867</v>
      </c>
    </row>
    <row r="1109" spans="1:1" x14ac:dyDescent="0.3">
      <c r="A1109">
        <v>278</v>
      </c>
    </row>
    <row r="1110" spans="1:1" x14ac:dyDescent="0.3">
      <c r="A1110" t="s">
        <v>1104</v>
      </c>
    </row>
    <row r="1111" spans="1:1" x14ac:dyDescent="0.3">
      <c r="A1111" t="s">
        <v>142</v>
      </c>
    </row>
    <row r="1113" spans="1:1" x14ac:dyDescent="0.3">
      <c r="A1113">
        <v>279</v>
      </c>
    </row>
    <row r="1114" spans="1:1" x14ac:dyDescent="0.3">
      <c r="A1114" t="s">
        <v>1105</v>
      </c>
    </row>
    <row r="1115" spans="1:1" x14ac:dyDescent="0.3">
      <c r="A1115" t="s">
        <v>143</v>
      </c>
    </row>
    <row r="1117" spans="1:1" x14ac:dyDescent="0.3">
      <c r="A1117">
        <v>280</v>
      </c>
    </row>
    <row r="1118" spans="1:1" x14ac:dyDescent="0.3">
      <c r="A1118" t="s">
        <v>1106</v>
      </c>
    </row>
    <row r="1119" spans="1:1" x14ac:dyDescent="0.3">
      <c r="A1119" t="s">
        <v>842</v>
      </c>
    </row>
    <row r="1121" spans="1:1" x14ac:dyDescent="0.3">
      <c r="A1121">
        <v>281</v>
      </c>
    </row>
    <row r="1122" spans="1:1" x14ac:dyDescent="0.3">
      <c r="A1122" t="s">
        <v>1107</v>
      </c>
    </row>
    <row r="1123" spans="1:1" x14ac:dyDescent="0.3">
      <c r="A1123" t="s">
        <v>144</v>
      </c>
    </row>
    <row r="1125" spans="1:1" x14ac:dyDescent="0.3">
      <c r="A1125">
        <v>282</v>
      </c>
    </row>
    <row r="1126" spans="1:1" x14ac:dyDescent="0.3">
      <c r="A1126" t="s">
        <v>1108</v>
      </c>
    </row>
    <row r="1127" spans="1:1" x14ac:dyDescent="0.3">
      <c r="A1127" t="s">
        <v>145</v>
      </c>
    </row>
    <row r="1129" spans="1:1" x14ac:dyDescent="0.3">
      <c r="A1129">
        <v>283</v>
      </c>
    </row>
    <row r="1130" spans="1:1" x14ac:dyDescent="0.3">
      <c r="A1130" t="s">
        <v>1109</v>
      </c>
    </row>
    <row r="1131" spans="1:1" x14ac:dyDescent="0.3">
      <c r="A1131" t="s">
        <v>146</v>
      </c>
    </row>
    <row r="1133" spans="1:1" x14ac:dyDescent="0.3">
      <c r="A1133">
        <v>284</v>
      </c>
    </row>
    <row r="1134" spans="1:1" x14ac:dyDescent="0.3">
      <c r="A1134" t="s">
        <v>1110</v>
      </c>
    </row>
    <row r="1135" spans="1:1" x14ac:dyDescent="0.3">
      <c r="A1135" t="s">
        <v>1111</v>
      </c>
    </row>
    <row r="1137" spans="1:1" x14ac:dyDescent="0.3">
      <c r="A1137">
        <v>285</v>
      </c>
    </row>
    <row r="1138" spans="1:1" x14ac:dyDescent="0.3">
      <c r="A1138" t="s">
        <v>1112</v>
      </c>
    </row>
    <row r="1139" spans="1:1" x14ac:dyDescent="0.3">
      <c r="A1139" t="s">
        <v>1113</v>
      </c>
    </row>
    <row r="1141" spans="1:1" x14ac:dyDescent="0.3">
      <c r="A1141">
        <v>286</v>
      </c>
    </row>
    <row r="1142" spans="1:1" x14ac:dyDescent="0.3">
      <c r="A1142" t="s">
        <v>1114</v>
      </c>
    </row>
    <row r="1143" spans="1:1" x14ac:dyDescent="0.3">
      <c r="A1143" t="s">
        <v>1115</v>
      </c>
    </row>
    <row r="1145" spans="1:1" x14ac:dyDescent="0.3">
      <c r="A1145">
        <v>287</v>
      </c>
    </row>
    <row r="1146" spans="1:1" x14ac:dyDescent="0.3">
      <c r="A1146" t="s">
        <v>1116</v>
      </c>
    </row>
    <row r="1147" spans="1:1" x14ac:dyDescent="0.3">
      <c r="A1147" t="s">
        <v>1117</v>
      </c>
    </row>
    <row r="1149" spans="1:1" x14ac:dyDescent="0.3">
      <c r="A1149">
        <v>288</v>
      </c>
    </row>
    <row r="1150" spans="1:1" x14ac:dyDescent="0.3">
      <c r="A1150" t="s">
        <v>1118</v>
      </c>
    </row>
    <row r="1151" spans="1:1" x14ac:dyDescent="0.3">
      <c r="A1151" t="s">
        <v>846</v>
      </c>
    </row>
    <row r="1153" spans="1:1" x14ac:dyDescent="0.3">
      <c r="A1153">
        <v>289</v>
      </c>
    </row>
    <row r="1154" spans="1:1" x14ac:dyDescent="0.3">
      <c r="A1154" t="s">
        <v>1119</v>
      </c>
    </row>
    <row r="1155" spans="1:1" x14ac:dyDescent="0.3">
      <c r="A1155" t="s">
        <v>147</v>
      </c>
    </row>
    <row r="1157" spans="1:1" x14ac:dyDescent="0.3">
      <c r="A1157">
        <v>290</v>
      </c>
    </row>
    <row r="1158" spans="1:1" x14ac:dyDescent="0.3">
      <c r="A1158" t="s">
        <v>1120</v>
      </c>
    </row>
    <row r="1159" spans="1:1" x14ac:dyDescent="0.3">
      <c r="A1159" t="s">
        <v>558</v>
      </c>
    </row>
    <row r="1161" spans="1:1" x14ac:dyDescent="0.3">
      <c r="A1161">
        <v>291</v>
      </c>
    </row>
    <row r="1162" spans="1:1" x14ac:dyDescent="0.3">
      <c r="A1162" t="s">
        <v>1121</v>
      </c>
    </row>
    <row r="1163" spans="1:1" x14ac:dyDescent="0.3">
      <c r="A1163" t="s">
        <v>559</v>
      </c>
    </row>
    <row r="1165" spans="1:1" x14ac:dyDescent="0.3">
      <c r="A1165">
        <v>292</v>
      </c>
    </row>
    <row r="1166" spans="1:1" x14ac:dyDescent="0.3">
      <c r="A1166" t="s">
        <v>1122</v>
      </c>
    </row>
    <row r="1167" spans="1:1" x14ac:dyDescent="0.3">
      <c r="A1167" t="s">
        <v>560</v>
      </c>
    </row>
    <row r="1169" spans="1:1" x14ac:dyDescent="0.3">
      <c r="A1169">
        <v>293</v>
      </c>
    </row>
    <row r="1170" spans="1:1" x14ac:dyDescent="0.3">
      <c r="A1170" t="s">
        <v>1123</v>
      </c>
    </row>
    <row r="1171" spans="1:1" x14ac:dyDescent="0.3">
      <c r="A1171" t="s">
        <v>561</v>
      </c>
    </row>
    <row r="1173" spans="1:1" x14ac:dyDescent="0.3">
      <c r="A1173">
        <v>294</v>
      </c>
    </row>
    <row r="1174" spans="1:1" x14ac:dyDescent="0.3">
      <c r="A1174" t="s">
        <v>1124</v>
      </c>
    </row>
    <row r="1175" spans="1:1" x14ac:dyDescent="0.3">
      <c r="A1175" t="s">
        <v>148</v>
      </c>
    </row>
    <row r="1177" spans="1:1" x14ac:dyDescent="0.3">
      <c r="A1177">
        <v>295</v>
      </c>
    </row>
    <row r="1178" spans="1:1" x14ac:dyDescent="0.3">
      <c r="A1178" t="s">
        <v>1125</v>
      </c>
    </row>
    <row r="1179" spans="1:1" x14ac:dyDescent="0.3">
      <c r="A1179" t="s">
        <v>149</v>
      </c>
    </row>
    <row r="1181" spans="1:1" x14ac:dyDescent="0.3">
      <c r="A1181">
        <v>296</v>
      </c>
    </row>
    <row r="1182" spans="1:1" x14ac:dyDescent="0.3">
      <c r="A1182" t="s">
        <v>1126</v>
      </c>
    </row>
    <row r="1183" spans="1:1" x14ac:dyDescent="0.3">
      <c r="A1183" t="s">
        <v>562</v>
      </c>
    </row>
    <row r="1185" spans="1:1" x14ac:dyDescent="0.3">
      <c r="A1185">
        <v>297</v>
      </c>
    </row>
    <row r="1186" spans="1:1" x14ac:dyDescent="0.3">
      <c r="A1186" t="s">
        <v>1127</v>
      </c>
    </row>
    <row r="1187" spans="1:1" x14ac:dyDescent="0.3">
      <c r="A1187" t="s">
        <v>150</v>
      </c>
    </row>
    <row r="1189" spans="1:1" x14ac:dyDescent="0.3">
      <c r="A1189">
        <v>298</v>
      </c>
    </row>
    <row r="1190" spans="1:1" x14ac:dyDescent="0.3">
      <c r="A1190" t="s">
        <v>1128</v>
      </c>
    </row>
    <row r="1191" spans="1:1" x14ac:dyDescent="0.3">
      <c r="A1191" t="s">
        <v>151</v>
      </c>
    </row>
    <row r="1193" spans="1:1" x14ac:dyDescent="0.3">
      <c r="A1193">
        <v>299</v>
      </c>
    </row>
    <row r="1194" spans="1:1" x14ac:dyDescent="0.3">
      <c r="A1194" t="s">
        <v>1129</v>
      </c>
    </row>
    <row r="1195" spans="1:1" x14ac:dyDescent="0.3">
      <c r="A1195" t="s">
        <v>563</v>
      </c>
    </row>
    <row r="1197" spans="1:1" x14ac:dyDescent="0.3">
      <c r="A1197">
        <v>300</v>
      </c>
    </row>
    <row r="1198" spans="1:1" x14ac:dyDescent="0.3">
      <c r="A1198" t="s">
        <v>1130</v>
      </c>
    </row>
    <row r="1199" spans="1:1" x14ac:dyDescent="0.3">
      <c r="A1199" t="s">
        <v>152</v>
      </c>
    </row>
    <row r="1201" spans="1:1" x14ac:dyDescent="0.3">
      <c r="A1201">
        <v>301</v>
      </c>
    </row>
    <row r="1202" spans="1:1" x14ac:dyDescent="0.3">
      <c r="A1202" t="s">
        <v>1131</v>
      </c>
    </row>
    <row r="1203" spans="1:1" x14ac:dyDescent="0.3">
      <c r="A1203" t="s">
        <v>564</v>
      </c>
    </row>
    <row r="1205" spans="1:1" x14ac:dyDescent="0.3">
      <c r="A1205">
        <v>302</v>
      </c>
    </row>
    <row r="1206" spans="1:1" x14ac:dyDescent="0.3">
      <c r="A1206" t="s">
        <v>1132</v>
      </c>
    </row>
    <row r="1207" spans="1:1" x14ac:dyDescent="0.3">
      <c r="A1207" t="s">
        <v>153</v>
      </c>
    </row>
    <row r="1209" spans="1:1" x14ac:dyDescent="0.3">
      <c r="A1209">
        <v>303</v>
      </c>
    </row>
    <row r="1210" spans="1:1" x14ac:dyDescent="0.3">
      <c r="A1210" t="s">
        <v>1133</v>
      </c>
    </row>
    <row r="1211" spans="1:1" x14ac:dyDescent="0.3">
      <c r="A1211" t="s">
        <v>154</v>
      </c>
    </row>
    <row r="1213" spans="1:1" x14ac:dyDescent="0.3">
      <c r="A1213">
        <v>304</v>
      </c>
    </row>
    <row r="1214" spans="1:1" x14ac:dyDescent="0.3">
      <c r="A1214" t="s">
        <v>1134</v>
      </c>
    </row>
    <row r="1215" spans="1:1" x14ac:dyDescent="0.3">
      <c r="A1215" t="s">
        <v>155</v>
      </c>
    </row>
    <row r="1217" spans="1:1" x14ac:dyDescent="0.3">
      <c r="A1217">
        <v>305</v>
      </c>
    </row>
    <row r="1218" spans="1:1" x14ac:dyDescent="0.3">
      <c r="A1218" t="s">
        <v>1135</v>
      </c>
    </row>
    <row r="1219" spans="1:1" x14ac:dyDescent="0.3">
      <c r="A1219" t="s">
        <v>156</v>
      </c>
    </row>
    <row r="1221" spans="1:1" x14ac:dyDescent="0.3">
      <c r="A1221">
        <v>306</v>
      </c>
    </row>
    <row r="1222" spans="1:1" x14ac:dyDescent="0.3">
      <c r="A1222" t="s">
        <v>1136</v>
      </c>
    </row>
    <row r="1223" spans="1:1" x14ac:dyDescent="0.3">
      <c r="A1223" t="s">
        <v>157</v>
      </c>
    </row>
    <row r="1225" spans="1:1" x14ac:dyDescent="0.3">
      <c r="A1225">
        <v>307</v>
      </c>
    </row>
    <row r="1226" spans="1:1" x14ac:dyDescent="0.3">
      <c r="A1226" t="s">
        <v>1137</v>
      </c>
    </row>
    <row r="1227" spans="1:1" x14ac:dyDescent="0.3">
      <c r="A1227" t="s">
        <v>158</v>
      </c>
    </row>
    <row r="1229" spans="1:1" x14ac:dyDescent="0.3">
      <c r="A1229">
        <v>308</v>
      </c>
    </row>
    <row r="1230" spans="1:1" x14ac:dyDescent="0.3">
      <c r="A1230" t="s">
        <v>1138</v>
      </c>
    </row>
    <row r="1231" spans="1:1" x14ac:dyDescent="0.3">
      <c r="A1231" t="s">
        <v>159</v>
      </c>
    </row>
    <row r="1233" spans="1:1" x14ac:dyDescent="0.3">
      <c r="A1233">
        <v>309</v>
      </c>
    </row>
    <row r="1234" spans="1:1" x14ac:dyDescent="0.3">
      <c r="A1234" t="s">
        <v>1139</v>
      </c>
    </row>
    <row r="1235" spans="1:1" x14ac:dyDescent="0.3">
      <c r="A1235" t="s">
        <v>160</v>
      </c>
    </row>
    <row r="1237" spans="1:1" x14ac:dyDescent="0.3">
      <c r="A1237">
        <v>310</v>
      </c>
    </row>
    <row r="1238" spans="1:1" x14ac:dyDescent="0.3">
      <c r="A1238" t="s">
        <v>1140</v>
      </c>
    </row>
    <row r="1239" spans="1:1" x14ac:dyDescent="0.3">
      <c r="A1239" t="s">
        <v>161</v>
      </c>
    </row>
    <row r="1241" spans="1:1" x14ac:dyDescent="0.3">
      <c r="A1241">
        <v>311</v>
      </c>
    </row>
    <row r="1242" spans="1:1" x14ac:dyDescent="0.3">
      <c r="A1242" t="s">
        <v>1141</v>
      </c>
    </row>
    <row r="1243" spans="1:1" x14ac:dyDescent="0.3">
      <c r="A1243" t="s">
        <v>162</v>
      </c>
    </row>
    <row r="1245" spans="1:1" x14ac:dyDescent="0.3">
      <c r="A1245">
        <v>312</v>
      </c>
    </row>
    <row r="1246" spans="1:1" x14ac:dyDescent="0.3">
      <c r="A1246" t="s">
        <v>1142</v>
      </c>
    </row>
    <row r="1247" spans="1:1" x14ac:dyDescent="0.3">
      <c r="A1247" t="s">
        <v>163</v>
      </c>
    </row>
    <row r="1249" spans="1:1" x14ac:dyDescent="0.3">
      <c r="A1249">
        <v>313</v>
      </c>
    </row>
    <row r="1250" spans="1:1" x14ac:dyDescent="0.3">
      <c r="A1250" t="s">
        <v>1143</v>
      </c>
    </row>
    <row r="1251" spans="1:1" x14ac:dyDescent="0.3">
      <c r="A1251" t="s">
        <v>164</v>
      </c>
    </row>
    <row r="1253" spans="1:1" x14ac:dyDescent="0.3">
      <c r="A1253">
        <v>314</v>
      </c>
    </row>
    <row r="1254" spans="1:1" x14ac:dyDescent="0.3">
      <c r="A1254" t="s">
        <v>1144</v>
      </c>
    </row>
    <row r="1255" spans="1:1" x14ac:dyDescent="0.3">
      <c r="A1255" t="s">
        <v>165</v>
      </c>
    </row>
    <row r="1257" spans="1:1" x14ac:dyDescent="0.3">
      <c r="A1257">
        <v>315</v>
      </c>
    </row>
    <row r="1258" spans="1:1" x14ac:dyDescent="0.3">
      <c r="A1258" t="s">
        <v>1145</v>
      </c>
    </row>
    <row r="1259" spans="1:1" x14ac:dyDescent="0.3">
      <c r="A1259" t="s">
        <v>0</v>
      </c>
    </row>
    <row r="1261" spans="1:1" x14ac:dyDescent="0.3">
      <c r="A1261">
        <v>316</v>
      </c>
    </row>
    <row r="1262" spans="1:1" x14ac:dyDescent="0.3">
      <c r="A1262" t="s">
        <v>1146</v>
      </c>
    </row>
    <row r="1263" spans="1:1" x14ac:dyDescent="0.3">
      <c r="A1263" t="s">
        <v>166</v>
      </c>
    </row>
    <row r="1265" spans="1:1" x14ac:dyDescent="0.3">
      <c r="A1265">
        <v>317</v>
      </c>
    </row>
    <row r="1266" spans="1:1" x14ac:dyDescent="0.3">
      <c r="A1266" t="s">
        <v>1147</v>
      </c>
    </row>
    <row r="1267" spans="1:1" x14ac:dyDescent="0.3">
      <c r="A1267" t="s">
        <v>167</v>
      </c>
    </row>
    <row r="1269" spans="1:1" x14ac:dyDescent="0.3">
      <c r="A1269">
        <v>318</v>
      </c>
    </row>
    <row r="1270" spans="1:1" x14ac:dyDescent="0.3">
      <c r="A1270" t="s">
        <v>1148</v>
      </c>
    </row>
    <row r="1271" spans="1:1" x14ac:dyDescent="0.3">
      <c r="A1271" t="s">
        <v>7</v>
      </c>
    </row>
    <row r="1273" spans="1:1" x14ac:dyDescent="0.3">
      <c r="A1273">
        <v>319</v>
      </c>
    </row>
    <row r="1274" spans="1:1" x14ac:dyDescent="0.3">
      <c r="A1274" t="s">
        <v>1149</v>
      </c>
    </row>
    <row r="1275" spans="1:1" x14ac:dyDescent="0.3">
      <c r="A1275" t="s">
        <v>565</v>
      </c>
    </row>
    <row r="1277" spans="1:1" x14ac:dyDescent="0.3">
      <c r="A1277">
        <v>320</v>
      </c>
    </row>
    <row r="1278" spans="1:1" x14ac:dyDescent="0.3">
      <c r="A1278" t="s">
        <v>1150</v>
      </c>
    </row>
    <row r="1279" spans="1:1" x14ac:dyDescent="0.3">
      <c r="A1279" t="s">
        <v>168</v>
      </c>
    </row>
    <row r="1281" spans="1:1" x14ac:dyDescent="0.3">
      <c r="A1281">
        <v>321</v>
      </c>
    </row>
    <row r="1282" spans="1:1" x14ac:dyDescent="0.3">
      <c r="A1282" t="s">
        <v>1151</v>
      </c>
    </row>
    <row r="1283" spans="1:1" x14ac:dyDescent="0.3">
      <c r="A1283" t="s">
        <v>847</v>
      </c>
    </row>
    <row r="1285" spans="1:1" x14ac:dyDescent="0.3">
      <c r="A1285">
        <v>322</v>
      </c>
    </row>
    <row r="1286" spans="1:1" x14ac:dyDescent="0.3">
      <c r="A1286" t="s">
        <v>1152</v>
      </c>
    </row>
    <row r="1287" spans="1:1" x14ac:dyDescent="0.3">
      <c r="A1287" t="s">
        <v>169</v>
      </c>
    </row>
    <row r="1289" spans="1:1" x14ac:dyDescent="0.3">
      <c r="A1289">
        <v>323</v>
      </c>
    </row>
    <row r="1290" spans="1:1" x14ac:dyDescent="0.3">
      <c r="A1290" t="s">
        <v>1153</v>
      </c>
    </row>
    <row r="1291" spans="1:1" x14ac:dyDescent="0.3">
      <c r="A1291" t="s">
        <v>170</v>
      </c>
    </row>
    <row r="1293" spans="1:1" x14ac:dyDescent="0.3">
      <c r="A1293">
        <v>324</v>
      </c>
    </row>
    <row r="1294" spans="1:1" x14ac:dyDescent="0.3">
      <c r="A1294" t="s">
        <v>1154</v>
      </c>
    </row>
    <row r="1295" spans="1:1" x14ac:dyDescent="0.3">
      <c r="A1295" t="s">
        <v>171</v>
      </c>
    </row>
    <row r="1297" spans="1:1" x14ac:dyDescent="0.3">
      <c r="A1297">
        <v>325</v>
      </c>
    </row>
    <row r="1298" spans="1:1" x14ac:dyDescent="0.3">
      <c r="A1298" t="s">
        <v>1155</v>
      </c>
    </row>
    <row r="1299" spans="1:1" x14ac:dyDescent="0.3">
      <c r="A1299" t="s">
        <v>172</v>
      </c>
    </row>
    <row r="1301" spans="1:1" x14ac:dyDescent="0.3">
      <c r="A1301">
        <v>326</v>
      </c>
    </row>
    <row r="1302" spans="1:1" x14ac:dyDescent="0.3">
      <c r="A1302" t="s">
        <v>1156</v>
      </c>
    </row>
    <row r="1303" spans="1:1" x14ac:dyDescent="0.3">
      <c r="A1303" t="s">
        <v>173</v>
      </c>
    </row>
    <row r="1305" spans="1:1" x14ac:dyDescent="0.3">
      <c r="A1305">
        <v>327</v>
      </c>
    </row>
    <row r="1306" spans="1:1" x14ac:dyDescent="0.3">
      <c r="A1306" t="s">
        <v>1157</v>
      </c>
    </row>
    <row r="1307" spans="1:1" x14ac:dyDescent="0.3">
      <c r="A1307" t="s">
        <v>174</v>
      </c>
    </row>
    <row r="1309" spans="1:1" x14ac:dyDescent="0.3">
      <c r="A1309">
        <v>328</v>
      </c>
    </row>
    <row r="1310" spans="1:1" x14ac:dyDescent="0.3">
      <c r="A1310" t="s">
        <v>1158</v>
      </c>
    </row>
    <row r="1311" spans="1:1" x14ac:dyDescent="0.3">
      <c r="A1311" t="s">
        <v>175</v>
      </c>
    </row>
    <row r="1313" spans="1:1" x14ac:dyDescent="0.3">
      <c r="A1313">
        <v>329</v>
      </c>
    </row>
    <row r="1314" spans="1:1" x14ac:dyDescent="0.3">
      <c r="A1314" t="s">
        <v>1159</v>
      </c>
    </row>
    <row r="1315" spans="1:1" x14ac:dyDescent="0.3">
      <c r="A1315" t="s">
        <v>868</v>
      </c>
    </row>
    <row r="1317" spans="1:1" x14ac:dyDescent="0.3">
      <c r="A1317">
        <v>330</v>
      </c>
    </row>
    <row r="1318" spans="1:1" x14ac:dyDescent="0.3">
      <c r="A1318" t="s">
        <v>1160</v>
      </c>
    </row>
    <row r="1319" spans="1:1" x14ac:dyDescent="0.3">
      <c r="A1319" t="s">
        <v>566</v>
      </c>
    </row>
    <row r="1321" spans="1:1" x14ac:dyDescent="0.3">
      <c r="A1321">
        <v>331</v>
      </c>
    </row>
    <row r="1322" spans="1:1" x14ac:dyDescent="0.3">
      <c r="A1322" t="s">
        <v>1161</v>
      </c>
    </row>
    <row r="1323" spans="1:1" x14ac:dyDescent="0.3">
      <c r="A1323" t="s">
        <v>176</v>
      </c>
    </row>
    <row r="1325" spans="1:1" x14ac:dyDescent="0.3">
      <c r="A1325">
        <v>332</v>
      </c>
    </row>
    <row r="1326" spans="1:1" x14ac:dyDescent="0.3">
      <c r="A1326" t="s">
        <v>1162</v>
      </c>
    </row>
    <row r="1327" spans="1:1" x14ac:dyDescent="0.3">
      <c r="A1327" t="s">
        <v>1163</v>
      </c>
    </row>
    <row r="1329" spans="1:1" x14ac:dyDescent="0.3">
      <c r="A1329">
        <v>333</v>
      </c>
    </row>
    <row r="1330" spans="1:1" x14ac:dyDescent="0.3">
      <c r="A1330" t="s">
        <v>1164</v>
      </c>
    </row>
    <row r="1331" spans="1:1" x14ac:dyDescent="0.3">
      <c r="A1331" t="s">
        <v>177</v>
      </c>
    </row>
    <row r="1333" spans="1:1" x14ac:dyDescent="0.3">
      <c r="A1333">
        <v>334</v>
      </c>
    </row>
    <row r="1334" spans="1:1" x14ac:dyDescent="0.3">
      <c r="A1334" t="s">
        <v>1165</v>
      </c>
    </row>
    <row r="1335" spans="1:1" x14ac:dyDescent="0.3">
      <c r="A1335" t="s">
        <v>178</v>
      </c>
    </row>
    <row r="1337" spans="1:1" x14ac:dyDescent="0.3">
      <c r="A1337">
        <v>335</v>
      </c>
    </row>
    <row r="1338" spans="1:1" x14ac:dyDescent="0.3">
      <c r="A1338" t="s">
        <v>1166</v>
      </c>
    </row>
    <row r="1339" spans="1:1" x14ac:dyDescent="0.3">
      <c r="A1339" t="s">
        <v>179</v>
      </c>
    </row>
    <row r="1341" spans="1:1" x14ac:dyDescent="0.3">
      <c r="A1341">
        <v>336</v>
      </c>
    </row>
    <row r="1342" spans="1:1" x14ac:dyDescent="0.3">
      <c r="A1342" t="s">
        <v>1167</v>
      </c>
    </row>
    <row r="1343" spans="1:1" x14ac:dyDescent="0.3">
      <c r="A1343" t="s">
        <v>843</v>
      </c>
    </row>
    <row r="1345" spans="1:1" x14ac:dyDescent="0.3">
      <c r="A1345">
        <v>337</v>
      </c>
    </row>
    <row r="1346" spans="1:1" x14ac:dyDescent="0.3">
      <c r="A1346" t="s">
        <v>1168</v>
      </c>
    </row>
    <row r="1347" spans="1:1" x14ac:dyDescent="0.3">
      <c r="A1347" t="s">
        <v>180</v>
      </c>
    </row>
    <row r="1349" spans="1:1" x14ac:dyDescent="0.3">
      <c r="A1349">
        <v>338</v>
      </c>
    </row>
    <row r="1350" spans="1:1" x14ac:dyDescent="0.3">
      <c r="A1350" t="s">
        <v>1169</v>
      </c>
    </row>
    <row r="1351" spans="1:1" x14ac:dyDescent="0.3">
      <c r="A1351" t="s">
        <v>181</v>
      </c>
    </row>
    <row r="1353" spans="1:1" x14ac:dyDescent="0.3">
      <c r="A1353">
        <v>339</v>
      </c>
    </row>
    <row r="1354" spans="1:1" x14ac:dyDescent="0.3">
      <c r="A1354" t="s">
        <v>1170</v>
      </c>
    </row>
    <row r="1355" spans="1:1" x14ac:dyDescent="0.3">
      <c r="A1355" t="s">
        <v>182</v>
      </c>
    </row>
    <row r="1357" spans="1:1" x14ac:dyDescent="0.3">
      <c r="A1357">
        <v>340</v>
      </c>
    </row>
    <row r="1358" spans="1:1" x14ac:dyDescent="0.3">
      <c r="A1358" t="s">
        <v>1171</v>
      </c>
    </row>
    <row r="1359" spans="1:1" x14ac:dyDescent="0.3">
      <c r="A1359" t="s">
        <v>183</v>
      </c>
    </row>
    <row r="1361" spans="1:1" x14ac:dyDescent="0.3">
      <c r="A1361">
        <v>341</v>
      </c>
    </row>
    <row r="1362" spans="1:1" x14ac:dyDescent="0.3">
      <c r="A1362" t="s">
        <v>1172</v>
      </c>
    </row>
    <row r="1363" spans="1:1" x14ac:dyDescent="0.3">
      <c r="A1363" t="s">
        <v>184</v>
      </c>
    </row>
    <row r="1365" spans="1:1" x14ac:dyDescent="0.3">
      <c r="A1365">
        <v>342</v>
      </c>
    </row>
    <row r="1366" spans="1:1" x14ac:dyDescent="0.3">
      <c r="A1366" t="s">
        <v>1173</v>
      </c>
    </row>
    <row r="1367" spans="1:1" x14ac:dyDescent="0.3">
      <c r="A1367" t="s">
        <v>185</v>
      </c>
    </row>
    <row r="1369" spans="1:1" x14ac:dyDescent="0.3">
      <c r="A1369">
        <v>343</v>
      </c>
    </row>
    <row r="1370" spans="1:1" x14ac:dyDescent="0.3">
      <c r="A1370" t="s">
        <v>1174</v>
      </c>
    </row>
    <row r="1371" spans="1:1" x14ac:dyDescent="0.3">
      <c r="A1371" t="s">
        <v>186</v>
      </c>
    </row>
    <row r="1373" spans="1:1" x14ac:dyDescent="0.3">
      <c r="A1373">
        <v>344</v>
      </c>
    </row>
    <row r="1374" spans="1:1" x14ac:dyDescent="0.3">
      <c r="A1374" t="s">
        <v>1175</v>
      </c>
    </row>
    <row r="1375" spans="1:1" x14ac:dyDescent="0.3">
      <c r="A1375" t="s">
        <v>187</v>
      </c>
    </row>
    <row r="1377" spans="1:1" x14ac:dyDescent="0.3">
      <c r="A1377">
        <v>345</v>
      </c>
    </row>
    <row r="1378" spans="1:1" x14ac:dyDescent="0.3">
      <c r="A1378" t="s">
        <v>1176</v>
      </c>
    </row>
    <row r="1379" spans="1:1" x14ac:dyDescent="0.3">
      <c r="A1379" t="s">
        <v>188</v>
      </c>
    </row>
    <row r="1381" spans="1:1" x14ac:dyDescent="0.3">
      <c r="A1381">
        <v>346</v>
      </c>
    </row>
    <row r="1382" spans="1:1" x14ac:dyDescent="0.3">
      <c r="A1382" t="s">
        <v>1177</v>
      </c>
    </row>
    <row r="1383" spans="1:1" x14ac:dyDescent="0.3">
      <c r="A1383" t="s">
        <v>189</v>
      </c>
    </row>
    <row r="1385" spans="1:1" x14ac:dyDescent="0.3">
      <c r="A1385">
        <v>347</v>
      </c>
    </row>
    <row r="1386" spans="1:1" x14ac:dyDescent="0.3">
      <c r="A1386" t="s">
        <v>1178</v>
      </c>
    </row>
    <row r="1387" spans="1:1" x14ac:dyDescent="0.3">
      <c r="A1387" t="s">
        <v>190</v>
      </c>
    </row>
    <row r="1389" spans="1:1" x14ac:dyDescent="0.3">
      <c r="A1389">
        <v>348</v>
      </c>
    </row>
    <row r="1390" spans="1:1" x14ac:dyDescent="0.3">
      <c r="A1390" t="s">
        <v>1179</v>
      </c>
    </row>
    <row r="1391" spans="1:1" x14ac:dyDescent="0.3">
      <c r="A1391" t="s">
        <v>191</v>
      </c>
    </row>
    <row r="1393" spans="1:1" x14ac:dyDescent="0.3">
      <c r="A1393">
        <v>349</v>
      </c>
    </row>
    <row r="1394" spans="1:1" x14ac:dyDescent="0.3">
      <c r="A1394" t="s">
        <v>1180</v>
      </c>
    </row>
    <row r="1395" spans="1:1" x14ac:dyDescent="0.3">
      <c r="A1395" t="s">
        <v>192</v>
      </c>
    </row>
    <row r="1397" spans="1:1" x14ac:dyDescent="0.3">
      <c r="A1397">
        <v>350</v>
      </c>
    </row>
    <row r="1398" spans="1:1" x14ac:dyDescent="0.3">
      <c r="A1398" t="s">
        <v>1181</v>
      </c>
    </row>
    <row r="1399" spans="1:1" x14ac:dyDescent="0.3">
      <c r="A1399" t="s">
        <v>193</v>
      </c>
    </row>
    <row r="1401" spans="1:1" x14ac:dyDescent="0.3">
      <c r="A1401">
        <v>351</v>
      </c>
    </row>
    <row r="1402" spans="1:1" x14ac:dyDescent="0.3">
      <c r="A1402" t="s">
        <v>1182</v>
      </c>
    </row>
    <row r="1403" spans="1:1" x14ac:dyDescent="0.3">
      <c r="A1403" t="s">
        <v>194</v>
      </c>
    </row>
    <row r="1405" spans="1:1" x14ac:dyDescent="0.3">
      <c r="A1405">
        <v>352</v>
      </c>
    </row>
    <row r="1406" spans="1:1" x14ac:dyDescent="0.3">
      <c r="A1406" t="s">
        <v>1183</v>
      </c>
    </row>
    <row r="1407" spans="1:1" x14ac:dyDescent="0.3">
      <c r="A1407" t="s">
        <v>195</v>
      </c>
    </row>
    <row r="1409" spans="1:1" x14ac:dyDescent="0.3">
      <c r="A1409">
        <v>353</v>
      </c>
    </row>
    <row r="1410" spans="1:1" x14ac:dyDescent="0.3">
      <c r="A1410" t="s">
        <v>1184</v>
      </c>
    </row>
    <row r="1411" spans="1:1" x14ac:dyDescent="0.3">
      <c r="A1411" t="s">
        <v>196</v>
      </c>
    </row>
    <row r="1413" spans="1:1" x14ac:dyDescent="0.3">
      <c r="A1413">
        <v>354</v>
      </c>
    </row>
    <row r="1414" spans="1:1" x14ac:dyDescent="0.3">
      <c r="A1414" t="s">
        <v>1185</v>
      </c>
    </row>
    <row r="1415" spans="1:1" x14ac:dyDescent="0.3">
      <c r="A1415" t="s">
        <v>197</v>
      </c>
    </row>
    <row r="1417" spans="1:1" x14ac:dyDescent="0.3">
      <c r="A1417">
        <v>355</v>
      </c>
    </row>
    <row r="1418" spans="1:1" x14ac:dyDescent="0.3">
      <c r="A1418" t="s">
        <v>1186</v>
      </c>
    </row>
    <row r="1419" spans="1:1" x14ac:dyDescent="0.3">
      <c r="A1419" t="s">
        <v>198</v>
      </c>
    </row>
    <row r="1421" spans="1:1" x14ac:dyDescent="0.3">
      <c r="A1421">
        <v>356</v>
      </c>
    </row>
    <row r="1422" spans="1:1" x14ac:dyDescent="0.3">
      <c r="A1422" t="s">
        <v>1187</v>
      </c>
    </row>
    <row r="1423" spans="1:1" x14ac:dyDescent="0.3">
      <c r="A1423" t="s">
        <v>199</v>
      </c>
    </row>
    <row r="1425" spans="1:1" x14ac:dyDescent="0.3">
      <c r="A1425">
        <v>357</v>
      </c>
    </row>
    <row r="1426" spans="1:1" x14ac:dyDescent="0.3">
      <c r="A1426" t="s">
        <v>1188</v>
      </c>
    </row>
    <row r="1427" spans="1:1" x14ac:dyDescent="0.3">
      <c r="A1427" t="s">
        <v>200</v>
      </c>
    </row>
    <row r="1429" spans="1:1" x14ac:dyDescent="0.3">
      <c r="A1429">
        <v>358</v>
      </c>
    </row>
    <row r="1430" spans="1:1" x14ac:dyDescent="0.3">
      <c r="A1430" t="s">
        <v>1189</v>
      </c>
    </row>
    <row r="1431" spans="1:1" x14ac:dyDescent="0.3">
      <c r="A1431" t="s">
        <v>201</v>
      </c>
    </row>
    <row r="1433" spans="1:1" x14ac:dyDescent="0.3">
      <c r="A1433">
        <v>359</v>
      </c>
    </row>
    <row r="1434" spans="1:1" x14ac:dyDescent="0.3">
      <c r="A1434" t="s">
        <v>1190</v>
      </c>
    </row>
    <row r="1435" spans="1:1" x14ac:dyDescent="0.3">
      <c r="A1435" t="s">
        <v>202</v>
      </c>
    </row>
    <row r="1437" spans="1:1" x14ac:dyDescent="0.3">
      <c r="A1437">
        <v>360</v>
      </c>
    </row>
    <row r="1438" spans="1:1" x14ac:dyDescent="0.3">
      <c r="A1438" t="s">
        <v>1191</v>
      </c>
    </row>
    <row r="1439" spans="1:1" x14ac:dyDescent="0.3">
      <c r="A1439" t="s">
        <v>203</v>
      </c>
    </row>
    <row r="1441" spans="1:1" x14ac:dyDescent="0.3">
      <c r="A1441">
        <v>361</v>
      </c>
    </row>
    <row r="1442" spans="1:1" x14ac:dyDescent="0.3">
      <c r="A1442" t="s">
        <v>1192</v>
      </c>
    </row>
    <row r="1443" spans="1:1" x14ac:dyDescent="0.3">
      <c r="A1443" t="s">
        <v>204</v>
      </c>
    </row>
    <row r="1445" spans="1:1" x14ac:dyDescent="0.3">
      <c r="A1445">
        <v>362</v>
      </c>
    </row>
    <row r="1446" spans="1:1" x14ac:dyDescent="0.3">
      <c r="A1446" t="s">
        <v>1193</v>
      </c>
    </row>
    <row r="1447" spans="1:1" x14ac:dyDescent="0.3">
      <c r="A1447" t="s">
        <v>592</v>
      </c>
    </row>
    <row r="1449" spans="1:1" x14ac:dyDescent="0.3">
      <c r="A1449">
        <v>363</v>
      </c>
    </row>
    <row r="1450" spans="1:1" x14ac:dyDescent="0.3">
      <c r="A1450" t="s">
        <v>1194</v>
      </c>
    </row>
    <row r="1451" spans="1:1" x14ac:dyDescent="0.3">
      <c r="A1451" t="s">
        <v>205</v>
      </c>
    </row>
    <row r="1453" spans="1:1" x14ac:dyDescent="0.3">
      <c r="A1453">
        <v>364</v>
      </c>
    </row>
    <row r="1454" spans="1:1" x14ac:dyDescent="0.3">
      <c r="A1454" t="s">
        <v>1195</v>
      </c>
    </row>
    <row r="1455" spans="1:1" x14ac:dyDescent="0.3">
      <c r="A1455" t="s">
        <v>206</v>
      </c>
    </row>
    <row r="1457" spans="1:1" x14ac:dyDescent="0.3">
      <c r="A1457">
        <v>365</v>
      </c>
    </row>
    <row r="1458" spans="1:1" x14ac:dyDescent="0.3">
      <c r="A1458" t="s">
        <v>1196</v>
      </c>
    </row>
    <row r="1459" spans="1:1" x14ac:dyDescent="0.3">
      <c r="A1459" t="s">
        <v>207</v>
      </c>
    </row>
    <row r="1461" spans="1:1" x14ac:dyDescent="0.3">
      <c r="A1461">
        <v>366</v>
      </c>
    </row>
    <row r="1462" spans="1:1" x14ac:dyDescent="0.3">
      <c r="A1462" t="s">
        <v>1197</v>
      </c>
    </row>
    <row r="1463" spans="1:1" x14ac:dyDescent="0.3">
      <c r="A1463" t="s">
        <v>208</v>
      </c>
    </row>
    <row r="1465" spans="1:1" x14ac:dyDescent="0.3">
      <c r="A1465">
        <v>367</v>
      </c>
    </row>
    <row r="1466" spans="1:1" x14ac:dyDescent="0.3">
      <c r="A1466" t="s">
        <v>1198</v>
      </c>
    </row>
    <row r="1467" spans="1:1" x14ac:dyDescent="0.3">
      <c r="A1467" t="s">
        <v>209</v>
      </c>
    </row>
    <row r="1469" spans="1:1" x14ac:dyDescent="0.3">
      <c r="A1469">
        <v>368</v>
      </c>
    </row>
    <row r="1470" spans="1:1" x14ac:dyDescent="0.3">
      <c r="A1470" t="s">
        <v>1199</v>
      </c>
    </row>
    <row r="1471" spans="1:1" x14ac:dyDescent="0.3">
      <c r="A1471" t="s">
        <v>210</v>
      </c>
    </row>
    <row r="1473" spans="1:1" x14ac:dyDescent="0.3">
      <c r="A1473">
        <v>369</v>
      </c>
    </row>
    <row r="1474" spans="1:1" x14ac:dyDescent="0.3">
      <c r="A1474" t="s">
        <v>1200</v>
      </c>
    </row>
    <row r="1475" spans="1:1" x14ac:dyDescent="0.3">
      <c r="A1475" t="s">
        <v>153</v>
      </c>
    </row>
    <row r="1477" spans="1:1" x14ac:dyDescent="0.3">
      <c r="A1477">
        <v>370</v>
      </c>
    </row>
    <row r="1478" spans="1:1" x14ac:dyDescent="0.3">
      <c r="A1478" t="s">
        <v>1201</v>
      </c>
    </row>
    <row r="1479" spans="1:1" x14ac:dyDescent="0.3">
      <c r="A1479" t="s">
        <v>538</v>
      </c>
    </row>
    <row r="1481" spans="1:1" x14ac:dyDescent="0.3">
      <c r="A1481">
        <v>371</v>
      </c>
    </row>
    <row r="1482" spans="1:1" x14ac:dyDescent="0.3">
      <c r="A1482" t="s">
        <v>1202</v>
      </c>
    </row>
    <row r="1483" spans="1:1" x14ac:dyDescent="0.3">
      <c r="A1483" t="s">
        <v>211</v>
      </c>
    </row>
    <row r="1485" spans="1:1" x14ac:dyDescent="0.3">
      <c r="A1485">
        <v>372</v>
      </c>
    </row>
    <row r="1486" spans="1:1" x14ac:dyDescent="0.3">
      <c r="A1486" t="s">
        <v>1203</v>
      </c>
    </row>
    <row r="1487" spans="1:1" x14ac:dyDescent="0.3">
      <c r="A1487" t="s">
        <v>1204</v>
      </c>
    </row>
    <row r="1489" spans="1:1" x14ac:dyDescent="0.3">
      <c r="A1489">
        <v>373</v>
      </c>
    </row>
    <row r="1490" spans="1:1" x14ac:dyDescent="0.3">
      <c r="A1490" t="s">
        <v>1205</v>
      </c>
    </row>
    <row r="1491" spans="1:1" x14ac:dyDescent="0.3">
      <c r="A1491" t="s">
        <v>212</v>
      </c>
    </row>
    <row r="1493" spans="1:1" x14ac:dyDescent="0.3">
      <c r="A1493">
        <v>374</v>
      </c>
    </row>
    <row r="1494" spans="1:1" x14ac:dyDescent="0.3">
      <c r="A1494" t="s">
        <v>1206</v>
      </c>
    </row>
    <row r="1495" spans="1:1" x14ac:dyDescent="0.3">
      <c r="A1495" t="s">
        <v>213</v>
      </c>
    </row>
    <row r="1497" spans="1:1" x14ac:dyDescent="0.3">
      <c r="A1497">
        <v>375</v>
      </c>
    </row>
    <row r="1498" spans="1:1" x14ac:dyDescent="0.3">
      <c r="A1498" t="s">
        <v>1207</v>
      </c>
    </row>
    <row r="1499" spans="1:1" x14ac:dyDescent="0.3">
      <c r="A1499" t="s">
        <v>214</v>
      </c>
    </row>
    <row r="1501" spans="1:1" x14ac:dyDescent="0.3">
      <c r="A1501">
        <v>376</v>
      </c>
    </row>
    <row r="1502" spans="1:1" x14ac:dyDescent="0.3">
      <c r="A1502" t="s">
        <v>1208</v>
      </c>
    </row>
    <row r="1503" spans="1:1" x14ac:dyDescent="0.3">
      <c r="A1503" t="s">
        <v>215</v>
      </c>
    </row>
    <row r="1505" spans="1:1" x14ac:dyDescent="0.3">
      <c r="A1505">
        <v>377</v>
      </c>
    </row>
    <row r="1506" spans="1:1" x14ac:dyDescent="0.3">
      <c r="A1506" t="s">
        <v>1209</v>
      </c>
    </row>
    <row r="1507" spans="1:1" x14ac:dyDescent="0.3">
      <c r="A1507" t="s">
        <v>216</v>
      </c>
    </row>
    <row r="1509" spans="1:1" x14ac:dyDescent="0.3">
      <c r="A1509">
        <v>378</v>
      </c>
    </row>
    <row r="1510" spans="1:1" x14ac:dyDescent="0.3">
      <c r="A1510" t="s">
        <v>1210</v>
      </c>
    </row>
    <row r="1511" spans="1:1" x14ac:dyDescent="0.3">
      <c r="A1511" t="s">
        <v>593</v>
      </c>
    </row>
    <row r="1513" spans="1:1" x14ac:dyDescent="0.3">
      <c r="A1513">
        <v>379</v>
      </c>
    </row>
    <row r="1514" spans="1:1" x14ac:dyDescent="0.3">
      <c r="A1514" t="s">
        <v>1211</v>
      </c>
    </row>
    <row r="1515" spans="1:1" x14ac:dyDescent="0.3">
      <c r="A1515" t="s">
        <v>594</v>
      </c>
    </row>
    <row r="1517" spans="1:1" x14ac:dyDescent="0.3">
      <c r="A1517">
        <v>380</v>
      </c>
    </row>
    <row r="1518" spans="1:1" x14ac:dyDescent="0.3">
      <c r="A1518" t="s">
        <v>1212</v>
      </c>
    </row>
    <row r="1519" spans="1:1" x14ac:dyDescent="0.3">
      <c r="A1519" t="s">
        <v>217</v>
      </c>
    </row>
    <row r="1521" spans="1:1" x14ac:dyDescent="0.3">
      <c r="A1521">
        <v>381</v>
      </c>
    </row>
    <row r="1522" spans="1:1" x14ac:dyDescent="0.3">
      <c r="A1522" t="s">
        <v>1213</v>
      </c>
    </row>
    <row r="1523" spans="1:1" x14ac:dyDescent="0.3">
      <c r="A1523" t="s">
        <v>218</v>
      </c>
    </row>
    <row r="1525" spans="1:1" x14ac:dyDescent="0.3">
      <c r="A1525">
        <v>382</v>
      </c>
    </row>
    <row r="1526" spans="1:1" x14ac:dyDescent="0.3">
      <c r="A1526" t="s">
        <v>1214</v>
      </c>
    </row>
    <row r="1527" spans="1:1" x14ac:dyDescent="0.3">
      <c r="A1527" t="s">
        <v>1215</v>
      </c>
    </row>
    <row r="1529" spans="1:1" x14ac:dyDescent="0.3">
      <c r="A1529">
        <v>383</v>
      </c>
    </row>
    <row r="1530" spans="1:1" x14ac:dyDescent="0.3">
      <c r="A1530" t="s">
        <v>1216</v>
      </c>
    </row>
    <row r="1531" spans="1:1" x14ac:dyDescent="0.3">
      <c r="A1531" t="s">
        <v>219</v>
      </c>
    </row>
    <row r="1533" spans="1:1" x14ac:dyDescent="0.3">
      <c r="A1533">
        <v>384</v>
      </c>
    </row>
    <row r="1534" spans="1:1" x14ac:dyDescent="0.3">
      <c r="A1534" t="s">
        <v>1217</v>
      </c>
    </row>
    <row r="1535" spans="1:1" x14ac:dyDescent="0.3">
      <c r="A1535" t="s">
        <v>7</v>
      </c>
    </row>
    <row r="1537" spans="1:1" x14ac:dyDescent="0.3">
      <c r="A1537">
        <v>385</v>
      </c>
    </row>
    <row r="1538" spans="1:1" x14ac:dyDescent="0.3">
      <c r="A1538" t="s">
        <v>1218</v>
      </c>
    </row>
    <row r="1539" spans="1:1" x14ac:dyDescent="0.3">
      <c r="A1539" t="s">
        <v>220</v>
      </c>
    </row>
    <row r="1541" spans="1:1" x14ac:dyDescent="0.3">
      <c r="A1541">
        <v>386</v>
      </c>
    </row>
    <row r="1542" spans="1:1" x14ac:dyDescent="0.3">
      <c r="A1542" t="s">
        <v>1219</v>
      </c>
    </row>
    <row r="1543" spans="1:1" x14ac:dyDescent="0.3">
      <c r="A1543" t="s">
        <v>221</v>
      </c>
    </row>
    <row r="1545" spans="1:1" x14ac:dyDescent="0.3">
      <c r="A1545">
        <v>387</v>
      </c>
    </row>
    <row r="1546" spans="1:1" x14ac:dyDescent="0.3">
      <c r="A1546" t="s">
        <v>1344</v>
      </c>
    </row>
    <row r="1547" spans="1:1" x14ac:dyDescent="0.3">
      <c r="A1547" t="s">
        <v>1345</v>
      </c>
    </row>
    <row r="1549" spans="1:1" x14ac:dyDescent="0.3">
      <c r="A1549">
        <v>388</v>
      </c>
    </row>
    <row r="1550" spans="1:1" x14ac:dyDescent="0.3">
      <c r="A1550" t="s">
        <v>1346</v>
      </c>
    </row>
    <row r="1551" spans="1:1" x14ac:dyDescent="0.3">
      <c r="A1551" t="s">
        <v>1347</v>
      </c>
    </row>
    <row r="1553" spans="1:1" x14ac:dyDescent="0.3">
      <c r="A1553">
        <v>389</v>
      </c>
    </row>
    <row r="1554" spans="1:1" x14ac:dyDescent="0.3">
      <c r="A1554" t="s">
        <v>1348</v>
      </c>
    </row>
    <row r="1555" spans="1:1" x14ac:dyDescent="0.3">
      <c r="A1555" t="s">
        <v>1349</v>
      </c>
    </row>
    <row r="1557" spans="1:1" x14ac:dyDescent="0.3">
      <c r="A1557">
        <v>390</v>
      </c>
    </row>
    <row r="1558" spans="1:1" x14ac:dyDescent="0.3">
      <c r="A1558" t="s">
        <v>1350</v>
      </c>
    </row>
    <row r="1559" spans="1:1" x14ac:dyDescent="0.3">
      <c r="A1559" t="s">
        <v>1351</v>
      </c>
    </row>
    <row r="1561" spans="1:1" x14ac:dyDescent="0.3">
      <c r="A1561">
        <v>391</v>
      </c>
    </row>
    <row r="1562" spans="1:1" x14ac:dyDescent="0.3">
      <c r="A1562" t="s">
        <v>1352</v>
      </c>
    </row>
    <row r="1563" spans="1:1" x14ac:dyDescent="0.3">
      <c r="A1563" t="s">
        <v>1353</v>
      </c>
    </row>
    <row r="1565" spans="1:1" x14ac:dyDescent="0.3">
      <c r="A1565">
        <v>392</v>
      </c>
    </row>
    <row r="1566" spans="1:1" x14ac:dyDescent="0.3">
      <c r="A1566" t="s">
        <v>1354</v>
      </c>
    </row>
    <row r="1567" spans="1:1" x14ac:dyDescent="0.3">
      <c r="A1567" t="s">
        <v>1355</v>
      </c>
    </row>
    <row r="1569" spans="1:1" x14ac:dyDescent="0.3">
      <c r="A1569">
        <v>393</v>
      </c>
    </row>
    <row r="1570" spans="1:1" x14ac:dyDescent="0.3">
      <c r="A1570" t="s">
        <v>1356</v>
      </c>
    </row>
    <row r="1571" spans="1:1" x14ac:dyDescent="0.3">
      <c r="A1571" t="s">
        <v>1357</v>
      </c>
    </row>
    <row r="1573" spans="1:1" x14ac:dyDescent="0.3">
      <c r="A1573">
        <v>394</v>
      </c>
    </row>
    <row r="1574" spans="1:1" x14ac:dyDescent="0.3">
      <c r="A1574" t="s">
        <v>1358</v>
      </c>
    </row>
    <row r="1575" spans="1:1" x14ac:dyDescent="0.3">
      <c r="A1575" t="s">
        <v>222</v>
      </c>
    </row>
    <row r="1577" spans="1:1" x14ac:dyDescent="0.3">
      <c r="A1577">
        <v>395</v>
      </c>
    </row>
    <row r="1578" spans="1:1" x14ac:dyDescent="0.3">
      <c r="A1578" t="s">
        <v>1359</v>
      </c>
    </row>
    <row r="1579" spans="1:1" x14ac:dyDescent="0.3">
      <c r="A1579" t="s">
        <v>848</v>
      </c>
    </row>
    <row r="1581" spans="1:1" x14ac:dyDescent="0.3">
      <c r="A1581">
        <v>396</v>
      </c>
    </row>
    <row r="1582" spans="1:1" x14ac:dyDescent="0.3">
      <c r="A1582" t="s">
        <v>1360</v>
      </c>
    </row>
    <row r="1583" spans="1:1" x14ac:dyDescent="0.3">
      <c r="A1583" t="s">
        <v>1220</v>
      </c>
    </row>
    <row r="1585" spans="1:1" x14ac:dyDescent="0.3">
      <c r="A1585">
        <v>397</v>
      </c>
    </row>
    <row r="1586" spans="1:1" x14ac:dyDescent="0.3">
      <c r="A1586" t="s">
        <v>1361</v>
      </c>
    </row>
    <row r="1587" spans="1:1" x14ac:dyDescent="0.3">
      <c r="A1587" t="s">
        <v>223</v>
      </c>
    </row>
    <row r="1589" spans="1:1" x14ac:dyDescent="0.3">
      <c r="A1589">
        <v>398</v>
      </c>
    </row>
    <row r="1590" spans="1:1" x14ac:dyDescent="0.3">
      <c r="A1590" t="s">
        <v>1362</v>
      </c>
    </row>
    <row r="1591" spans="1:1" x14ac:dyDescent="0.3">
      <c r="A1591" t="s">
        <v>1221</v>
      </c>
    </row>
    <row r="1593" spans="1:1" x14ac:dyDescent="0.3">
      <c r="A1593">
        <v>399</v>
      </c>
    </row>
    <row r="1594" spans="1:1" x14ac:dyDescent="0.3">
      <c r="A1594" t="s">
        <v>1363</v>
      </c>
    </row>
    <row r="1595" spans="1:1" x14ac:dyDescent="0.3">
      <c r="A1595" t="s">
        <v>869</v>
      </c>
    </row>
    <row r="1597" spans="1:1" x14ac:dyDescent="0.3">
      <c r="A1597">
        <v>400</v>
      </c>
    </row>
    <row r="1598" spans="1:1" x14ac:dyDescent="0.3">
      <c r="A1598" t="s">
        <v>1364</v>
      </c>
    </row>
    <row r="1599" spans="1:1" x14ac:dyDescent="0.3">
      <c r="A1599" t="s">
        <v>1365</v>
      </c>
    </row>
    <row r="1601" spans="1:1" x14ac:dyDescent="0.3">
      <c r="A1601">
        <v>401</v>
      </c>
    </row>
    <row r="1602" spans="1:1" x14ac:dyDescent="0.3">
      <c r="A1602" t="s">
        <v>1366</v>
      </c>
    </row>
    <row r="1603" spans="1:1" x14ac:dyDescent="0.3">
      <c r="A1603" t="s">
        <v>1222</v>
      </c>
    </row>
    <row r="1605" spans="1:1" x14ac:dyDescent="0.3">
      <c r="A1605">
        <v>402</v>
      </c>
    </row>
    <row r="1606" spans="1:1" x14ac:dyDescent="0.3">
      <c r="A1606" t="s">
        <v>1367</v>
      </c>
    </row>
    <row r="1607" spans="1:1" x14ac:dyDescent="0.3">
      <c r="A1607" t="s">
        <v>224</v>
      </c>
    </row>
    <row r="1609" spans="1:1" x14ac:dyDescent="0.3">
      <c r="A1609">
        <v>403</v>
      </c>
    </row>
    <row r="1610" spans="1:1" x14ac:dyDescent="0.3">
      <c r="A1610" t="s">
        <v>1368</v>
      </c>
    </row>
    <row r="1611" spans="1:1" x14ac:dyDescent="0.3">
      <c r="A1611" t="s">
        <v>225</v>
      </c>
    </row>
    <row r="1613" spans="1:1" x14ac:dyDescent="0.3">
      <c r="A1613">
        <v>404</v>
      </c>
    </row>
    <row r="1614" spans="1:1" x14ac:dyDescent="0.3">
      <c r="A1614" t="s">
        <v>1369</v>
      </c>
    </row>
    <row r="1615" spans="1:1" x14ac:dyDescent="0.3">
      <c r="A1615" t="s">
        <v>226</v>
      </c>
    </row>
    <row r="1617" spans="1:1" x14ac:dyDescent="0.3">
      <c r="A1617">
        <v>405</v>
      </c>
    </row>
    <row r="1618" spans="1:1" x14ac:dyDescent="0.3">
      <c r="A1618" t="s">
        <v>1370</v>
      </c>
    </row>
    <row r="1619" spans="1:1" x14ac:dyDescent="0.3">
      <c r="A1619" t="s">
        <v>539</v>
      </c>
    </row>
    <row r="1621" spans="1:1" x14ac:dyDescent="0.3">
      <c r="A1621">
        <v>406</v>
      </c>
    </row>
    <row r="1622" spans="1:1" x14ac:dyDescent="0.3">
      <c r="A1622" t="s">
        <v>1371</v>
      </c>
    </row>
    <row r="1623" spans="1:1" x14ac:dyDescent="0.3">
      <c r="A1623" t="s">
        <v>227</v>
      </c>
    </row>
    <row r="1625" spans="1:1" x14ac:dyDescent="0.3">
      <c r="A1625">
        <v>407</v>
      </c>
    </row>
    <row r="1626" spans="1:1" x14ac:dyDescent="0.3">
      <c r="A1626" t="s">
        <v>1372</v>
      </c>
    </row>
    <row r="1627" spans="1:1" x14ac:dyDescent="0.3">
      <c r="A1627" t="s">
        <v>132</v>
      </c>
    </row>
    <row r="1629" spans="1:1" x14ac:dyDescent="0.3">
      <c r="A1629">
        <v>408</v>
      </c>
    </row>
    <row r="1630" spans="1:1" x14ac:dyDescent="0.3">
      <c r="A1630" t="s">
        <v>1373</v>
      </c>
    </row>
    <row r="1631" spans="1:1" x14ac:dyDescent="0.3">
      <c r="A1631" t="s">
        <v>228</v>
      </c>
    </row>
    <row r="1633" spans="1:1" x14ac:dyDescent="0.3">
      <c r="A1633">
        <v>409</v>
      </c>
    </row>
    <row r="1634" spans="1:1" x14ac:dyDescent="0.3">
      <c r="A1634" t="s">
        <v>1374</v>
      </c>
    </row>
    <row r="1635" spans="1:1" x14ac:dyDescent="0.3">
      <c r="A1635" t="s">
        <v>229</v>
      </c>
    </row>
    <row r="1637" spans="1:1" x14ac:dyDescent="0.3">
      <c r="A1637">
        <v>410</v>
      </c>
    </row>
    <row r="1638" spans="1:1" x14ac:dyDescent="0.3">
      <c r="A1638" t="s">
        <v>1375</v>
      </c>
    </row>
    <row r="1639" spans="1:1" x14ac:dyDescent="0.3">
      <c r="A1639" t="s">
        <v>215</v>
      </c>
    </row>
    <row r="1641" spans="1:1" x14ac:dyDescent="0.3">
      <c r="A1641">
        <v>411</v>
      </c>
    </row>
    <row r="1642" spans="1:1" x14ac:dyDescent="0.3">
      <c r="A1642" t="s">
        <v>1376</v>
      </c>
    </row>
    <row r="1643" spans="1:1" x14ac:dyDescent="0.3">
      <c r="A1643" t="s">
        <v>870</v>
      </c>
    </row>
    <row r="1645" spans="1:1" x14ac:dyDescent="0.3">
      <c r="A1645">
        <v>412</v>
      </c>
    </row>
    <row r="1646" spans="1:1" x14ac:dyDescent="0.3">
      <c r="A1646" t="s">
        <v>1377</v>
      </c>
    </row>
    <row r="1647" spans="1:1" x14ac:dyDescent="0.3">
      <c r="A1647" t="s">
        <v>230</v>
      </c>
    </row>
    <row r="1649" spans="1:1" x14ac:dyDescent="0.3">
      <c r="A1649">
        <v>413</v>
      </c>
    </row>
    <row r="1650" spans="1:1" x14ac:dyDescent="0.3">
      <c r="A1650" t="s">
        <v>1378</v>
      </c>
    </row>
    <row r="1651" spans="1:1" x14ac:dyDescent="0.3">
      <c r="A1651" t="s">
        <v>1379</v>
      </c>
    </row>
    <row r="1653" spans="1:1" x14ac:dyDescent="0.3">
      <c r="A1653">
        <v>414</v>
      </c>
    </row>
    <row r="1654" spans="1:1" x14ac:dyDescent="0.3">
      <c r="A1654" t="s">
        <v>1380</v>
      </c>
    </row>
    <row r="1655" spans="1:1" x14ac:dyDescent="0.3">
      <c r="A1655" t="s">
        <v>1381</v>
      </c>
    </row>
    <row r="1657" spans="1:1" x14ac:dyDescent="0.3">
      <c r="A1657">
        <v>415</v>
      </c>
    </row>
    <row r="1658" spans="1:1" x14ac:dyDescent="0.3">
      <c r="A1658" t="s">
        <v>1382</v>
      </c>
    </row>
    <row r="1659" spans="1:1" x14ac:dyDescent="0.3">
      <c r="A1659" t="s">
        <v>849</v>
      </c>
    </row>
    <row r="1661" spans="1:1" x14ac:dyDescent="0.3">
      <c r="A1661">
        <v>416</v>
      </c>
    </row>
    <row r="1662" spans="1:1" x14ac:dyDescent="0.3">
      <c r="A1662" t="s">
        <v>1383</v>
      </c>
    </row>
    <row r="1663" spans="1:1" x14ac:dyDescent="0.3">
      <c r="A1663" t="s">
        <v>850</v>
      </c>
    </row>
    <row r="1665" spans="1:1" x14ac:dyDescent="0.3">
      <c r="A1665">
        <v>417</v>
      </c>
    </row>
    <row r="1666" spans="1:1" x14ac:dyDescent="0.3">
      <c r="A1666" t="s">
        <v>1384</v>
      </c>
    </row>
    <row r="1667" spans="1:1" x14ac:dyDescent="0.3">
      <c r="A1667" t="s">
        <v>153</v>
      </c>
    </row>
    <row r="1669" spans="1:1" x14ac:dyDescent="0.3">
      <c r="A1669">
        <v>418</v>
      </c>
    </row>
    <row r="1670" spans="1:1" x14ac:dyDescent="0.3">
      <c r="A1670" t="s">
        <v>1385</v>
      </c>
    </row>
    <row r="1671" spans="1:1" x14ac:dyDescent="0.3">
      <c r="A1671" t="s">
        <v>231</v>
      </c>
    </row>
    <row r="1673" spans="1:1" x14ac:dyDescent="0.3">
      <c r="A1673">
        <v>419</v>
      </c>
    </row>
    <row r="1674" spans="1:1" x14ac:dyDescent="0.3">
      <c r="A1674" t="s">
        <v>1386</v>
      </c>
    </row>
    <row r="1675" spans="1:1" x14ac:dyDescent="0.3">
      <c r="A1675" t="s">
        <v>232</v>
      </c>
    </row>
    <row r="1677" spans="1:1" x14ac:dyDescent="0.3">
      <c r="A1677">
        <v>420</v>
      </c>
    </row>
    <row r="1678" spans="1:1" x14ac:dyDescent="0.3">
      <c r="A1678" t="s">
        <v>1387</v>
      </c>
    </row>
    <row r="1679" spans="1:1" x14ac:dyDescent="0.3">
      <c r="A1679" t="s">
        <v>851</v>
      </c>
    </row>
    <row r="1681" spans="1:1" x14ac:dyDescent="0.3">
      <c r="A1681">
        <v>421</v>
      </c>
    </row>
    <row r="1682" spans="1:1" x14ac:dyDescent="0.3">
      <c r="A1682" t="s">
        <v>1388</v>
      </c>
    </row>
    <row r="1683" spans="1:1" x14ac:dyDescent="0.3">
      <c r="A1683" t="s">
        <v>233</v>
      </c>
    </row>
    <row r="1685" spans="1:1" x14ac:dyDescent="0.3">
      <c r="A1685">
        <v>422</v>
      </c>
    </row>
    <row r="1686" spans="1:1" x14ac:dyDescent="0.3">
      <c r="A1686" t="s">
        <v>1389</v>
      </c>
    </row>
    <row r="1687" spans="1:1" x14ac:dyDescent="0.3">
      <c r="A1687" t="s">
        <v>234</v>
      </c>
    </row>
    <row r="1689" spans="1:1" x14ac:dyDescent="0.3">
      <c r="A1689">
        <v>423</v>
      </c>
    </row>
    <row r="1690" spans="1:1" x14ac:dyDescent="0.3">
      <c r="A1690" t="s">
        <v>1390</v>
      </c>
    </row>
    <row r="1691" spans="1:1" x14ac:dyDescent="0.3">
      <c r="A1691" t="s">
        <v>852</v>
      </c>
    </row>
    <row r="1693" spans="1:1" x14ac:dyDescent="0.3">
      <c r="A1693">
        <v>424</v>
      </c>
    </row>
    <row r="1694" spans="1:1" x14ac:dyDescent="0.3">
      <c r="A1694" t="s">
        <v>1391</v>
      </c>
    </row>
    <row r="1695" spans="1:1" x14ac:dyDescent="0.3">
      <c r="A1695" t="s">
        <v>235</v>
      </c>
    </row>
    <row r="1697" spans="1:1" x14ac:dyDescent="0.3">
      <c r="A1697">
        <v>425</v>
      </c>
    </row>
    <row r="1698" spans="1:1" x14ac:dyDescent="0.3">
      <c r="A1698" t="s">
        <v>1392</v>
      </c>
    </row>
    <row r="1699" spans="1:1" x14ac:dyDescent="0.3">
      <c r="A1699" t="s">
        <v>853</v>
      </c>
    </row>
    <row r="1701" spans="1:1" x14ac:dyDescent="0.3">
      <c r="A1701">
        <v>426</v>
      </c>
    </row>
    <row r="1702" spans="1:1" x14ac:dyDescent="0.3">
      <c r="A1702" t="s">
        <v>1393</v>
      </c>
    </row>
    <row r="1703" spans="1:1" x14ac:dyDescent="0.3">
      <c r="A1703" t="s">
        <v>854</v>
      </c>
    </row>
    <row r="1705" spans="1:1" x14ac:dyDescent="0.3">
      <c r="A1705">
        <v>427</v>
      </c>
    </row>
    <row r="1706" spans="1:1" x14ac:dyDescent="0.3">
      <c r="A1706" t="s">
        <v>1394</v>
      </c>
    </row>
    <row r="1707" spans="1:1" x14ac:dyDescent="0.3">
      <c r="A1707" t="s">
        <v>855</v>
      </c>
    </row>
    <row r="1709" spans="1:1" x14ac:dyDescent="0.3">
      <c r="A1709">
        <v>428</v>
      </c>
    </row>
    <row r="1710" spans="1:1" x14ac:dyDescent="0.3">
      <c r="A1710" t="s">
        <v>1395</v>
      </c>
    </row>
    <row r="1711" spans="1:1" x14ac:dyDescent="0.3">
      <c r="A1711" t="s">
        <v>856</v>
      </c>
    </row>
    <row r="1713" spans="1:1" x14ac:dyDescent="0.3">
      <c r="A1713">
        <v>429</v>
      </c>
    </row>
    <row r="1714" spans="1:1" x14ac:dyDescent="0.3">
      <c r="A1714" t="s">
        <v>1396</v>
      </c>
    </row>
    <row r="1715" spans="1:1" x14ac:dyDescent="0.3">
      <c r="A1715" t="s">
        <v>0</v>
      </c>
    </row>
    <row r="1717" spans="1:1" x14ac:dyDescent="0.3">
      <c r="A1717">
        <v>430</v>
      </c>
    </row>
    <row r="1718" spans="1:1" x14ac:dyDescent="0.3">
      <c r="A1718" t="s">
        <v>1397</v>
      </c>
    </row>
    <row r="1719" spans="1:1" x14ac:dyDescent="0.3">
      <c r="A1719" t="s">
        <v>857</v>
      </c>
    </row>
    <row r="1721" spans="1:1" x14ac:dyDescent="0.3">
      <c r="A1721">
        <v>431</v>
      </c>
    </row>
    <row r="1722" spans="1:1" x14ac:dyDescent="0.3">
      <c r="A1722" t="s">
        <v>1398</v>
      </c>
    </row>
    <row r="1723" spans="1:1" x14ac:dyDescent="0.3">
      <c r="A1723" t="s">
        <v>1399</v>
      </c>
    </row>
    <row r="1725" spans="1:1" x14ac:dyDescent="0.3">
      <c r="A1725">
        <v>432</v>
      </c>
    </row>
    <row r="1726" spans="1:1" x14ac:dyDescent="0.3">
      <c r="A1726" t="s">
        <v>1400</v>
      </c>
    </row>
    <row r="1727" spans="1:1" x14ac:dyDescent="0.3">
      <c r="A1727" t="s">
        <v>1401</v>
      </c>
    </row>
    <row r="1729" spans="1:1" x14ac:dyDescent="0.3">
      <c r="A1729">
        <v>433</v>
      </c>
    </row>
    <row r="1730" spans="1:1" x14ac:dyDescent="0.3">
      <c r="A1730" t="s">
        <v>1402</v>
      </c>
    </row>
    <row r="1731" spans="1:1" x14ac:dyDescent="0.3">
      <c r="A1731" t="s">
        <v>6</v>
      </c>
    </row>
    <row r="1733" spans="1:1" x14ac:dyDescent="0.3">
      <c r="A1733">
        <v>434</v>
      </c>
    </row>
    <row r="1734" spans="1:1" x14ac:dyDescent="0.3">
      <c r="A1734" t="s">
        <v>1403</v>
      </c>
    </row>
    <row r="1735" spans="1:1" x14ac:dyDescent="0.3">
      <c r="A1735" t="s">
        <v>236</v>
      </c>
    </row>
    <row r="1737" spans="1:1" x14ac:dyDescent="0.3">
      <c r="A1737">
        <v>435</v>
      </c>
    </row>
    <row r="1738" spans="1:1" x14ac:dyDescent="0.3">
      <c r="A1738" t="s">
        <v>1404</v>
      </c>
    </row>
    <row r="1739" spans="1:1" x14ac:dyDescent="0.3">
      <c r="A1739" t="s">
        <v>237</v>
      </c>
    </row>
    <row r="1741" spans="1:1" x14ac:dyDescent="0.3">
      <c r="A1741">
        <v>436</v>
      </c>
    </row>
    <row r="1742" spans="1:1" x14ac:dyDescent="0.3">
      <c r="A1742" t="s">
        <v>1405</v>
      </c>
    </row>
    <row r="1743" spans="1:1" x14ac:dyDescent="0.3">
      <c r="A1743" t="s">
        <v>238</v>
      </c>
    </row>
    <row r="1745" spans="1:1" x14ac:dyDescent="0.3">
      <c r="A1745">
        <v>437</v>
      </c>
    </row>
    <row r="1746" spans="1:1" x14ac:dyDescent="0.3">
      <c r="A1746" t="s">
        <v>1406</v>
      </c>
    </row>
    <row r="1747" spans="1:1" x14ac:dyDescent="0.3">
      <c r="A1747" t="s">
        <v>239</v>
      </c>
    </row>
    <row r="1749" spans="1:1" x14ac:dyDescent="0.3">
      <c r="A1749">
        <v>438</v>
      </c>
    </row>
    <row r="1750" spans="1:1" x14ac:dyDescent="0.3">
      <c r="A1750" t="s">
        <v>1407</v>
      </c>
    </row>
    <row r="1751" spans="1:1" x14ac:dyDescent="0.3">
      <c r="A1751" t="s">
        <v>871</v>
      </c>
    </row>
    <row r="1753" spans="1:1" x14ac:dyDescent="0.3">
      <c r="A1753">
        <v>439</v>
      </c>
    </row>
    <row r="1754" spans="1:1" x14ac:dyDescent="0.3">
      <c r="A1754" t="s">
        <v>1408</v>
      </c>
    </row>
    <row r="1755" spans="1:1" x14ac:dyDescent="0.3">
      <c r="A1755" s="4" t="s">
        <v>872</v>
      </c>
    </row>
    <row r="1757" spans="1:1" x14ac:dyDescent="0.3">
      <c r="A1757">
        <v>440</v>
      </c>
    </row>
    <row r="1758" spans="1:1" x14ac:dyDescent="0.3">
      <c r="A1758" t="s">
        <v>1409</v>
      </c>
    </row>
    <row r="1759" spans="1:1" x14ac:dyDescent="0.3">
      <c r="A1759" t="s">
        <v>873</v>
      </c>
    </row>
    <row r="1761" spans="1:1" x14ac:dyDescent="0.3">
      <c r="A1761">
        <v>441</v>
      </c>
    </row>
    <row r="1762" spans="1:1" x14ac:dyDescent="0.3">
      <c r="A1762" t="s">
        <v>1410</v>
      </c>
    </row>
    <row r="1763" spans="1:1" x14ac:dyDescent="0.3">
      <c r="A1763" t="s">
        <v>874</v>
      </c>
    </row>
    <row r="1765" spans="1:1" x14ac:dyDescent="0.3">
      <c r="A1765">
        <v>442</v>
      </c>
    </row>
    <row r="1766" spans="1:1" x14ac:dyDescent="0.3">
      <c r="A1766" t="s">
        <v>1411</v>
      </c>
    </row>
    <row r="1767" spans="1:1" x14ac:dyDescent="0.3">
      <c r="A1767" t="s">
        <v>7</v>
      </c>
    </row>
    <row r="1769" spans="1:1" x14ac:dyDescent="0.3">
      <c r="A1769">
        <v>443</v>
      </c>
    </row>
    <row r="1770" spans="1:1" x14ac:dyDescent="0.3">
      <c r="A1770" t="s">
        <v>1412</v>
      </c>
    </row>
    <row r="1771" spans="1:1" x14ac:dyDescent="0.3">
      <c r="A1771" t="s">
        <v>1413</v>
      </c>
    </row>
    <row r="1773" spans="1:1" x14ac:dyDescent="0.3">
      <c r="A1773">
        <v>444</v>
      </c>
    </row>
    <row r="1774" spans="1:1" x14ac:dyDescent="0.3">
      <c r="A1774" t="s">
        <v>1414</v>
      </c>
    </row>
    <row r="1775" spans="1:1" x14ac:dyDescent="0.3">
      <c r="A1775" t="s">
        <v>875</v>
      </c>
    </row>
    <row r="1777" spans="1:1" x14ac:dyDescent="0.3">
      <c r="A1777">
        <v>445</v>
      </c>
    </row>
    <row r="1778" spans="1:1" x14ac:dyDescent="0.3">
      <c r="A1778" t="s">
        <v>1415</v>
      </c>
    </row>
    <row r="1779" spans="1:1" x14ac:dyDescent="0.3">
      <c r="A1779" t="s">
        <v>876</v>
      </c>
    </row>
    <row r="1781" spans="1:1" x14ac:dyDescent="0.3">
      <c r="A1781">
        <v>446</v>
      </c>
    </row>
    <row r="1782" spans="1:1" x14ac:dyDescent="0.3">
      <c r="A1782" t="s">
        <v>1416</v>
      </c>
    </row>
    <row r="1783" spans="1:1" x14ac:dyDescent="0.3">
      <c r="A1783" t="s">
        <v>546</v>
      </c>
    </row>
    <row r="1785" spans="1:1" x14ac:dyDescent="0.3">
      <c r="A1785">
        <v>447</v>
      </c>
    </row>
    <row r="1786" spans="1:1" x14ac:dyDescent="0.3">
      <c r="A1786" t="s">
        <v>1417</v>
      </c>
    </row>
    <row r="1787" spans="1:1" x14ac:dyDescent="0.3">
      <c r="A1787" t="s">
        <v>1418</v>
      </c>
    </row>
    <row r="1789" spans="1:1" x14ac:dyDescent="0.3">
      <c r="A1789">
        <v>448</v>
      </c>
    </row>
    <row r="1790" spans="1:1" x14ac:dyDescent="0.3">
      <c r="A1790" t="s">
        <v>1419</v>
      </c>
    </row>
    <row r="1791" spans="1:1" x14ac:dyDescent="0.3">
      <c r="A1791" t="s">
        <v>858</v>
      </c>
    </row>
    <row r="1793" spans="1:1" x14ac:dyDescent="0.3">
      <c r="A1793">
        <v>449</v>
      </c>
    </row>
    <row r="1794" spans="1:1" x14ac:dyDescent="0.3">
      <c r="A1794" t="s">
        <v>1420</v>
      </c>
    </row>
    <row r="1795" spans="1:1" x14ac:dyDescent="0.3">
      <c r="A1795" t="s">
        <v>1421</v>
      </c>
    </row>
    <row r="1797" spans="1:1" x14ac:dyDescent="0.3">
      <c r="A1797">
        <v>450</v>
      </c>
    </row>
    <row r="1798" spans="1:1" x14ac:dyDescent="0.3">
      <c r="A1798" t="s">
        <v>1422</v>
      </c>
    </row>
    <row r="1799" spans="1:1" x14ac:dyDescent="0.3">
      <c r="A1799" t="s">
        <v>1251</v>
      </c>
    </row>
    <row r="1801" spans="1:1" x14ac:dyDescent="0.3">
      <c r="A1801">
        <v>451</v>
      </c>
    </row>
    <row r="1802" spans="1:1" x14ac:dyDescent="0.3">
      <c r="A1802" t="s">
        <v>1423</v>
      </c>
    </row>
    <row r="1803" spans="1:1" x14ac:dyDescent="0.3">
      <c r="A1803" t="s">
        <v>1424</v>
      </c>
    </row>
    <row r="1805" spans="1:1" x14ac:dyDescent="0.3">
      <c r="A1805">
        <v>452</v>
      </c>
    </row>
    <row r="1806" spans="1:1" x14ac:dyDescent="0.3">
      <c r="A1806" t="s">
        <v>1425</v>
      </c>
    </row>
    <row r="1807" spans="1:1" x14ac:dyDescent="0.3">
      <c r="A1807" t="s">
        <v>859</v>
      </c>
    </row>
    <row r="1809" spans="1:1" x14ac:dyDescent="0.3">
      <c r="A1809">
        <v>453</v>
      </c>
    </row>
    <row r="1810" spans="1:1" x14ac:dyDescent="0.3">
      <c r="A1810" t="s">
        <v>1426</v>
      </c>
    </row>
    <row r="1811" spans="1:1" x14ac:dyDescent="0.3">
      <c r="A1811" t="s">
        <v>860</v>
      </c>
    </row>
    <row r="1813" spans="1:1" x14ac:dyDescent="0.3">
      <c r="A1813">
        <v>454</v>
      </c>
    </row>
    <row r="1814" spans="1:1" x14ac:dyDescent="0.3">
      <c r="A1814" t="s">
        <v>1427</v>
      </c>
    </row>
    <row r="1815" spans="1:1" x14ac:dyDescent="0.3">
      <c r="A1815" t="s">
        <v>861</v>
      </c>
    </row>
    <row r="1817" spans="1:1" x14ac:dyDescent="0.3">
      <c r="A1817">
        <v>455</v>
      </c>
    </row>
    <row r="1818" spans="1:1" x14ac:dyDescent="0.3">
      <c r="A1818" t="s">
        <v>1428</v>
      </c>
    </row>
    <row r="1819" spans="1:1" x14ac:dyDescent="0.3">
      <c r="A1819" t="s">
        <v>547</v>
      </c>
    </row>
    <row r="1821" spans="1:1" x14ac:dyDescent="0.3">
      <c r="A1821">
        <v>456</v>
      </c>
    </row>
    <row r="1822" spans="1:1" x14ac:dyDescent="0.3">
      <c r="A1822" t="s">
        <v>1429</v>
      </c>
    </row>
    <row r="1823" spans="1:1" x14ac:dyDescent="0.3">
      <c r="A1823" t="s">
        <v>548</v>
      </c>
    </row>
    <row r="1825" spans="1:1" x14ac:dyDescent="0.3">
      <c r="A1825">
        <v>457</v>
      </c>
    </row>
    <row r="1826" spans="1:1" x14ac:dyDescent="0.3">
      <c r="A1826" t="s">
        <v>1430</v>
      </c>
    </row>
    <row r="1827" spans="1:1" x14ac:dyDescent="0.3">
      <c r="A1827" t="s">
        <v>240</v>
      </c>
    </row>
    <row r="1829" spans="1:1" x14ac:dyDescent="0.3">
      <c r="A1829">
        <v>458</v>
      </c>
    </row>
    <row r="1830" spans="1:1" x14ac:dyDescent="0.3">
      <c r="A1830" t="s">
        <v>1431</v>
      </c>
    </row>
    <row r="1831" spans="1:1" x14ac:dyDescent="0.3">
      <c r="A1831" t="s">
        <v>241</v>
      </c>
    </row>
    <row r="1833" spans="1:1" x14ac:dyDescent="0.3">
      <c r="A1833">
        <v>459</v>
      </c>
    </row>
    <row r="1834" spans="1:1" x14ac:dyDescent="0.3">
      <c r="A1834" t="s">
        <v>1432</v>
      </c>
    </row>
    <row r="1835" spans="1:1" x14ac:dyDescent="0.3">
      <c r="A1835" t="s">
        <v>242</v>
      </c>
    </row>
    <row r="1837" spans="1:1" x14ac:dyDescent="0.3">
      <c r="A1837">
        <v>460</v>
      </c>
    </row>
    <row r="1838" spans="1:1" x14ac:dyDescent="0.3">
      <c r="A1838" t="s">
        <v>1433</v>
      </c>
    </row>
    <row r="1839" spans="1:1" x14ac:dyDescent="0.3">
      <c r="A1839" t="s">
        <v>243</v>
      </c>
    </row>
    <row r="1841" spans="1:1" x14ac:dyDescent="0.3">
      <c r="A1841">
        <v>461</v>
      </c>
    </row>
    <row r="1842" spans="1:1" x14ac:dyDescent="0.3">
      <c r="A1842" t="s">
        <v>1434</v>
      </c>
    </row>
    <row r="1843" spans="1:1" x14ac:dyDescent="0.3">
      <c r="A1843" t="s">
        <v>244</v>
      </c>
    </row>
    <row r="1845" spans="1:1" x14ac:dyDescent="0.3">
      <c r="A1845">
        <v>462</v>
      </c>
    </row>
    <row r="1846" spans="1:1" x14ac:dyDescent="0.3">
      <c r="A1846" t="s">
        <v>1435</v>
      </c>
    </row>
    <row r="1847" spans="1:1" x14ac:dyDescent="0.3">
      <c r="A1847" t="s">
        <v>245</v>
      </c>
    </row>
    <row r="1849" spans="1:1" x14ac:dyDescent="0.3">
      <c r="A1849">
        <v>463</v>
      </c>
    </row>
    <row r="1850" spans="1:1" x14ac:dyDescent="0.3">
      <c r="A1850" t="s">
        <v>1436</v>
      </c>
    </row>
    <row r="1851" spans="1:1" x14ac:dyDescent="0.3">
      <c r="A1851" t="s">
        <v>549</v>
      </c>
    </row>
    <row r="1853" spans="1:1" x14ac:dyDescent="0.3">
      <c r="A1853">
        <v>464</v>
      </c>
    </row>
    <row r="1854" spans="1:1" x14ac:dyDescent="0.3">
      <c r="A1854" t="s">
        <v>1437</v>
      </c>
    </row>
    <row r="1855" spans="1:1" x14ac:dyDescent="0.3">
      <c r="A1855" t="s">
        <v>587</v>
      </c>
    </row>
    <row r="1857" spans="1:1" x14ac:dyDescent="0.3">
      <c r="A1857">
        <v>465</v>
      </c>
    </row>
    <row r="1858" spans="1:1" x14ac:dyDescent="0.3">
      <c r="A1858" t="s">
        <v>1438</v>
      </c>
    </row>
    <row r="1859" spans="1:1" x14ac:dyDescent="0.3">
      <c r="A1859" t="s">
        <v>540</v>
      </c>
    </row>
    <row r="1861" spans="1:1" x14ac:dyDescent="0.3">
      <c r="A1861">
        <v>466</v>
      </c>
    </row>
    <row r="1862" spans="1:1" x14ac:dyDescent="0.3">
      <c r="A1862" t="s">
        <v>1439</v>
      </c>
    </row>
    <row r="1863" spans="1:1" x14ac:dyDescent="0.3">
      <c r="A1863" t="s">
        <v>541</v>
      </c>
    </row>
    <row r="1865" spans="1:1" x14ac:dyDescent="0.3">
      <c r="A1865">
        <v>467</v>
      </c>
    </row>
    <row r="1866" spans="1:1" x14ac:dyDescent="0.3">
      <c r="A1866" t="s">
        <v>1440</v>
      </c>
    </row>
    <row r="1867" spans="1:1" x14ac:dyDescent="0.3">
      <c r="A1867" t="s">
        <v>877</v>
      </c>
    </row>
    <row r="1869" spans="1:1" x14ac:dyDescent="0.3">
      <c r="A1869">
        <v>468</v>
      </c>
    </row>
    <row r="1870" spans="1:1" x14ac:dyDescent="0.3">
      <c r="A1870" t="s">
        <v>1441</v>
      </c>
    </row>
    <row r="1871" spans="1:1" x14ac:dyDescent="0.3">
      <c r="A1871" t="s">
        <v>567</v>
      </c>
    </row>
    <row r="1873" spans="1:1" x14ac:dyDescent="0.3">
      <c r="A1873">
        <v>469</v>
      </c>
    </row>
    <row r="1874" spans="1:1" x14ac:dyDescent="0.3">
      <c r="A1874" t="s">
        <v>1442</v>
      </c>
    </row>
    <row r="1875" spans="1:1" x14ac:dyDescent="0.3">
      <c r="A1875" t="s">
        <v>588</v>
      </c>
    </row>
    <row r="1877" spans="1:1" x14ac:dyDescent="0.3">
      <c r="A1877">
        <v>470</v>
      </c>
    </row>
    <row r="1878" spans="1:1" x14ac:dyDescent="0.3">
      <c r="A1878" t="s">
        <v>1443</v>
      </c>
    </row>
    <row r="1879" spans="1:1" x14ac:dyDescent="0.3">
      <c r="A1879" t="s">
        <v>542</v>
      </c>
    </row>
    <row r="1881" spans="1:1" x14ac:dyDescent="0.3">
      <c r="A1881">
        <v>471</v>
      </c>
    </row>
    <row r="1882" spans="1:1" x14ac:dyDescent="0.3">
      <c r="A1882" t="s">
        <v>1444</v>
      </c>
    </row>
    <row r="1883" spans="1:1" x14ac:dyDescent="0.3">
      <c r="A1883" t="s">
        <v>579</v>
      </c>
    </row>
    <row r="1885" spans="1:1" x14ac:dyDescent="0.3">
      <c r="A1885">
        <v>472</v>
      </c>
    </row>
    <row r="1886" spans="1:1" x14ac:dyDescent="0.3">
      <c r="A1886" t="s">
        <v>1445</v>
      </c>
    </row>
    <row r="1887" spans="1:1" x14ac:dyDescent="0.3">
      <c r="A1887" t="s">
        <v>580</v>
      </c>
    </row>
    <row r="1889" spans="1:1" x14ac:dyDescent="0.3">
      <c r="A1889">
        <v>473</v>
      </c>
    </row>
    <row r="1890" spans="1:1" x14ac:dyDescent="0.3">
      <c r="A1890" t="s">
        <v>1446</v>
      </c>
    </row>
    <row r="1891" spans="1:1" x14ac:dyDescent="0.3">
      <c r="A1891" t="s">
        <v>543</v>
      </c>
    </row>
    <row r="1893" spans="1:1" x14ac:dyDescent="0.3">
      <c r="A1893">
        <v>474</v>
      </c>
    </row>
    <row r="1894" spans="1:1" x14ac:dyDescent="0.3">
      <c r="A1894" t="s">
        <v>1447</v>
      </c>
    </row>
    <row r="1895" spans="1:1" x14ac:dyDescent="0.3">
      <c r="A1895" t="s">
        <v>246</v>
      </c>
    </row>
    <row r="1897" spans="1:1" x14ac:dyDescent="0.3">
      <c r="A1897">
        <v>475</v>
      </c>
    </row>
    <row r="1898" spans="1:1" x14ac:dyDescent="0.3">
      <c r="A1898" t="s">
        <v>1448</v>
      </c>
    </row>
    <row r="1899" spans="1:1" x14ac:dyDescent="0.3">
      <c r="A1899" t="s">
        <v>247</v>
      </c>
    </row>
    <row r="1901" spans="1:1" x14ac:dyDescent="0.3">
      <c r="A1901">
        <v>476</v>
      </c>
    </row>
    <row r="1902" spans="1:1" x14ac:dyDescent="0.3">
      <c r="A1902" t="s">
        <v>1449</v>
      </c>
    </row>
    <row r="1903" spans="1:1" x14ac:dyDescent="0.3">
      <c r="A1903" t="s">
        <v>248</v>
      </c>
    </row>
    <row r="1905" spans="1:1" x14ac:dyDescent="0.3">
      <c r="A1905">
        <v>477</v>
      </c>
    </row>
    <row r="1906" spans="1:1" x14ac:dyDescent="0.3">
      <c r="A1906" t="s">
        <v>1450</v>
      </c>
    </row>
    <row r="1907" spans="1:1" x14ac:dyDescent="0.3">
      <c r="A1907" t="s">
        <v>249</v>
      </c>
    </row>
    <row r="1909" spans="1:1" x14ac:dyDescent="0.3">
      <c r="A1909">
        <v>478</v>
      </c>
    </row>
    <row r="1910" spans="1:1" x14ac:dyDescent="0.3">
      <c r="A1910" t="s">
        <v>1451</v>
      </c>
    </row>
    <row r="1911" spans="1:1" x14ac:dyDescent="0.3">
      <c r="A1911" t="s">
        <v>581</v>
      </c>
    </row>
    <row r="1913" spans="1:1" x14ac:dyDescent="0.3">
      <c r="A1913">
        <v>479</v>
      </c>
    </row>
    <row r="1914" spans="1:1" x14ac:dyDescent="0.3">
      <c r="A1914" t="s">
        <v>1452</v>
      </c>
    </row>
    <row r="1915" spans="1:1" x14ac:dyDescent="0.3">
      <c r="A1915" t="s">
        <v>568</v>
      </c>
    </row>
    <row r="1917" spans="1:1" x14ac:dyDescent="0.3">
      <c r="A1917">
        <v>480</v>
      </c>
    </row>
    <row r="1918" spans="1:1" x14ac:dyDescent="0.3">
      <c r="A1918" t="s">
        <v>1453</v>
      </c>
    </row>
    <row r="1919" spans="1:1" x14ac:dyDescent="0.3">
      <c r="A1919" t="s">
        <v>550</v>
      </c>
    </row>
    <row r="1921" spans="1:1" x14ac:dyDescent="0.3">
      <c r="A1921">
        <v>481</v>
      </c>
    </row>
    <row r="1922" spans="1:1" x14ac:dyDescent="0.3">
      <c r="A1922" t="s">
        <v>1454</v>
      </c>
    </row>
    <row r="1923" spans="1:1" x14ac:dyDescent="0.3">
      <c r="A1923" t="s">
        <v>551</v>
      </c>
    </row>
    <row r="1925" spans="1:1" x14ac:dyDescent="0.3">
      <c r="A1925">
        <v>482</v>
      </c>
    </row>
    <row r="1926" spans="1:1" x14ac:dyDescent="0.3">
      <c r="A1926" t="s">
        <v>1455</v>
      </c>
    </row>
    <row r="1927" spans="1:1" x14ac:dyDescent="0.3">
      <c r="A1927" t="s">
        <v>250</v>
      </c>
    </row>
    <row r="1929" spans="1:1" x14ac:dyDescent="0.3">
      <c r="A1929">
        <v>483</v>
      </c>
    </row>
    <row r="1930" spans="1:1" x14ac:dyDescent="0.3">
      <c r="A1930" t="s">
        <v>1456</v>
      </c>
    </row>
    <row r="1931" spans="1:1" x14ac:dyDescent="0.3">
      <c r="A1931" t="s">
        <v>552</v>
      </c>
    </row>
    <row r="1933" spans="1:1" x14ac:dyDescent="0.3">
      <c r="A1933">
        <v>484</v>
      </c>
    </row>
    <row r="1934" spans="1:1" x14ac:dyDescent="0.3">
      <c r="A1934" t="s">
        <v>1457</v>
      </c>
    </row>
    <row r="1935" spans="1:1" x14ac:dyDescent="0.3">
      <c r="A1935" t="s">
        <v>251</v>
      </c>
    </row>
    <row r="1937" spans="1:1" x14ac:dyDescent="0.3">
      <c r="A1937">
        <v>485</v>
      </c>
    </row>
    <row r="1938" spans="1:1" x14ac:dyDescent="0.3">
      <c r="A1938" t="s">
        <v>1458</v>
      </c>
    </row>
    <row r="1939" spans="1:1" x14ac:dyDescent="0.3">
      <c r="A1939" t="s">
        <v>252</v>
      </c>
    </row>
    <row r="1941" spans="1:1" x14ac:dyDescent="0.3">
      <c r="A1941">
        <v>486</v>
      </c>
    </row>
    <row r="1942" spans="1:1" x14ac:dyDescent="0.3">
      <c r="A1942" t="s">
        <v>1459</v>
      </c>
    </row>
    <row r="1943" spans="1:1" x14ac:dyDescent="0.3">
      <c r="A1943" t="s">
        <v>1223</v>
      </c>
    </row>
    <row r="1945" spans="1:1" x14ac:dyDescent="0.3">
      <c r="A1945">
        <v>487</v>
      </c>
    </row>
    <row r="1946" spans="1:1" x14ac:dyDescent="0.3">
      <c r="A1946" t="s">
        <v>1460</v>
      </c>
    </row>
    <row r="1947" spans="1:1" x14ac:dyDescent="0.3">
      <c r="A1947" t="s">
        <v>1461</v>
      </c>
    </row>
    <row r="1949" spans="1:1" x14ac:dyDescent="0.3">
      <c r="A1949">
        <v>488</v>
      </c>
    </row>
    <row r="1950" spans="1:1" x14ac:dyDescent="0.3">
      <c r="A1950" t="s">
        <v>1462</v>
      </c>
    </row>
    <row r="1951" spans="1:1" x14ac:dyDescent="0.3">
      <c r="A1951" t="s">
        <v>1463</v>
      </c>
    </row>
    <row r="1953" spans="1:1" x14ac:dyDescent="0.3">
      <c r="A1953">
        <v>489</v>
      </c>
    </row>
    <row r="1954" spans="1:1" x14ac:dyDescent="0.3">
      <c r="A1954" t="s">
        <v>1464</v>
      </c>
    </row>
    <row r="1955" spans="1:1" x14ac:dyDescent="0.3">
      <c r="A1955" t="s">
        <v>1465</v>
      </c>
    </row>
    <row r="1957" spans="1:1" x14ac:dyDescent="0.3">
      <c r="A1957">
        <v>490</v>
      </c>
    </row>
    <row r="1958" spans="1:1" x14ac:dyDescent="0.3">
      <c r="A1958" t="s">
        <v>1466</v>
      </c>
    </row>
    <row r="1959" spans="1:1" x14ac:dyDescent="0.3">
      <c r="A1959" t="s">
        <v>253</v>
      </c>
    </row>
    <row r="1961" spans="1:1" x14ac:dyDescent="0.3">
      <c r="A1961">
        <v>491</v>
      </c>
    </row>
    <row r="1962" spans="1:1" x14ac:dyDescent="0.3">
      <c r="A1962" t="s">
        <v>1467</v>
      </c>
    </row>
    <row r="1963" spans="1:1" x14ac:dyDescent="0.3">
      <c r="A1963" t="s">
        <v>1468</v>
      </c>
    </row>
    <row r="1965" spans="1:1" x14ac:dyDescent="0.3">
      <c r="A1965">
        <v>492</v>
      </c>
    </row>
    <row r="1966" spans="1:1" x14ac:dyDescent="0.3">
      <c r="A1966" t="s">
        <v>1469</v>
      </c>
    </row>
    <row r="1967" spans="1:1" x14ac:dyDescent="0.3">
      <c r="A1967" t="s">
        <v>1224</v>
      </c>
    </row>
    <row r="1969" spans="1:1" x14ac:dyDescent="0.3">
      <c r="A1969">
        <v>493</v>
      </c>
    </row>
    <row r="1970" spans="1:1" x14ac:dyDescent="0.3">
      <c r="A1970" t="s">
        <v>1470</v>
      </c>
    </row>
    <row r="1971" spans="1:1" x14ac:dyDescent="0.3">
      <c r="A1971" t="s">
        <v>1225</v>
      </c>
    </row>
    <row r="1973" spans="1:1" x14ac:dyDescent="0.3">
      <c r="A1973">
        <v>494</v>
      </c>
    </row>
    <row r="1974" spans="1:1" x14ac:dyDescent="0.3">
      <c r="A1974" t="s">
        <v>1471</v>
      </c>
    </row>
    <row r="1975" spans="1:1" x14ac:dyDescent="0.3">
      <c r="A1975" t="s">
        <v>1472</v>
      </c>
    </row>
    <row r="1977" spans="1:1" x14ac:dyDescent="0.3">
      <c r="A1977">
        <v>495</v>
      </c>
    </row>
    <row r="1978" spans="1:1" x14ac:dyDescent="0.3">
      <c r="A1978" t="s">
        <v>1473</v>
      </c>
    </row>
    <row r="1979" spans="1:1" x14ac:dyDescent="0.3">
      <c r="A1979" t="s">
        <v>1226</v>
      </c>
    </row>
    <row r="1981" spans="1:1" x14ac:dyDescent="0.3">
      <c r="A1981">
        <v>496</v>
      </c>
    </row>
    <row r="1982" spans="1:1" x14ac:dyDescent="0.3">
      <c r="A1982" t="s">
        <v>1474</v>
      </c>
    </row>
    <row r="1983" spans="1:1" x14ac:dyDescent="0.3">
      <c r="A1983" t="s">
        <v>1227</v>
      </c>
    </row>
    <row r="1985" spans="1:1" x14ac:dyDescent="0.3">
      <c r="A1985">
        <v>497</v>
      </c>
    </row>
    <row r="1986" spans="1:1" x14ac:dyDescent="0.3">
      <c r="A1986" t="s">
        <v>1475</v>
      </c>
    </row>
    <row r="1987" spans="1:1" x14ac:dyDescent="0.3">
      <c r="A1987" t="s">
        <v>582</v>
      </c>
    </row>
    <row r="1989" spans="1:1" x14ac:dyDescent="0.3">
      <c r="A1989">
        <v>498</v>
      </c>
    </row>
    <row r="1990" spans="1:1" x14ac:dyDescent="0.3">
      <c r="A1990" t="s">
        <v>1476</v>
      </c>
    </row>
    <row r="1991" spans="1:1" x14ac:dyDescent="0.3">
      <c r="A1991" t="s">
        <v>591</v>
      </c>
    </row>
    <row r="1993" spans="1:1" x14ac:dyDescent="0.3">
      <c r="A1993">
        <v>499</v>
      </c>
    </row>
    <row r="1994" spans="1:1" x14ac:dyDescent="0.3">
      <c r="A1994" t="s">
        <v>1477</v>
      </c>
    </row>
    <row r="1995" spans="1:1" x14ac:dyDescent="0.3">
      <c r="A1995" t="s">
        <v>544</v>
      </c>
    </row>
    <row r="1997" spans="1:1" x14ac:dyDescent="0.3">
      <c r="A1997">
        <v>500</v>
      </c>
    </row>
    <row r="1998" spans="1:1" x14ac:dyDescent="0.3">
      <c r="A1998" t="s">
        <v>1478</v>
      </c>
    </row>
    <row r="1999" spans="1:1" x14ac:dyDescent="0.3">
      <c r="A1999" t="s">
        <v>583</v>
      </c>
    </row>
    <row r="2001" spans="1:1" x14ac:dyDescent="0.3">
      <c r="A2001">
        <v>501</v>
      </c>
    </row>
    <row r="2002" spans="1:1" x14ac:dyDescent="0.3">
      <c r="A2002" t="s">
        <v>1479</v>
      </c>
    </row>
    <row r="2003" spans="1:1" x14ac:dyDescent="0.3">
      <c r="A2003" t="s">
        <v>254</v>
      </c>
    </row>
    <row r="2005" spans="1:1" x14ac:dyDescent="0.3">
      <c r="A2005">
        <v>502</v>
      </c>
    </row>
    <row r="2006" spans="1:1" x14ac:dyDescent="0.3">
      <c r="A2006" t="s">
        <v>1480</v>
      </c>
    </row>
    <row r="2007" spans="1:1" x14ac:dyDescent="0.3">
      <c r="A2007" t="s">
        <v>1481</v>
      </c>
    </row>
    <row r="2009" spans="1:1" x14ac:dyDescent="0.3">
      <c r="A2009">
        <v>503</v>
      </c>
    </row>
    <row r="2010" spans="1:1" x14ac:dyDescent="0.3">
      <c r="A2010" t="s">
        <v>1482</v>
      </c>
    </row>
    <row r="2011" spans="1:1" x14ac:dyDescent="0.3">
      <c r="A2011" t="s">
        <v>1483</v>
      </c>
    </row>
    <row r="2013" spans="1:1" x14ac:dyDescent="0.3">
      <c r="A2013">
        <v>504</v>
      </c>
    </row>
    <row r="2014" spans="1:1" x14ac:dyDescent="0.3">
      <c r="A2014" t="s">
        <v>1484</v>
      </c>
    </row>
    <row r="2015" spans="1:1" x14ac:dyDescent="0.3">
      <c r="A2015" t="s">
        <v>215</v>
      </c>
    </row>
    <row r="2017" spans="1:1" x14ac:dyDescent="0.3">
      <c r="A2017">
        <v>505</v>
      </c>
    </row>
    <row r="2018" spans="1:1" x14ac:dyDescent="0.3">
      <c r="A2018" t="s">
        <v>1485</v>
      </c>
    </row>
    <row r="2019" spans="1:1" x14ac:dyDescent="0.3">
      <c r="A2019" t="s">
        <v>569</v>
      </c>
    </row>
    <row r="2021" spans="1:1" x14ac:dyDescent="0.3">
      <c r="A2021">
        <v>506</v>
      </c>
    </row>
    <row r="2022" spans="1:1" x14ac:dyDescent="0.3">
      <c r="A2022" t="s">
        <v>1486</v>
      </c>
    </row>
    <row r="2023" spans="1:1" x14ac:dyDescent="0.3">
      <c r="A2023" t="s">
        <v>570</v>
      </c>
    </row>
    <row r="2025" spans="1:1" x14ac:dyDescent="0.3">
      <c r="A2025">
        <v>507</v>
      </c>
    </row>
    <row r="2026" spans="1:1" x14ac:dyDescent="0.3">
      <c r="A2026" t="s">
        <v>1487</v>
      </c>
    </row>
    <row r="2027" spans="1:1" x14ac:dyDescent="0.3">
      <c r="A2027" t="s">
        <v>553</v>
      </c>
    </row>
    <row r="2029" spans="1:1" x14ac:dyDescent="0.3">
      <c r="A2029">
        <v>508</v>
      </c>
    </row>
    <row r="2030" spans="1:1" x14ac:dyDescent="0.3">
      <c r="A2030" t="s">
        <v>1488</v>
      </c>
    </row>
    <row r="2031" spans="1:1" x14ac:dyDescent="0.3">
      <c r="A2031" t="s">
        <v>255</v>
      </c>
    </row>
    <row r="2033" spans="1:1" x14ac:dyDescent="0.3">
      <c r="A2033">
        <v>509</v>
      </c>
    </row>
    <row r="2034" spans="1:1" x14ac:dyDescent="0.3">
      <c r="A2034" t="s">
        <v>1489</v>
      </c>
    </row>
    <row r="2035" spans="1:1" x14ac:dyDescent="0.3">
      <c r="A2035" t="s">
        <v>554</v>
      </c>
    </row>
    <row r="2037" spans="1:1" x14ac:dyDescent="0.3">
      <c r="A2037">
        <v>510</v>
      </c>
    </row>
    <row r="2038" spans="1:1" x14ac:dyDescent="0.3">
      <c r="A2038" t="s">
        <v>1490</v>
      </c>
    </row>
    <row r="2039" spans="1:1" x14ac:dyDescent="0.3">
      <c r="A2039" t="s">
        <v>256</v>
      </c>
    </row>
    <row r="2041" spans="1:1" x14ac:dyDescent="0.3">
      <c r="A2041">
        <v>511</v>
      </c>
    </row>
    <row r="2042" spans="1:1" x14ac:dyDescent="0.3">
      <c r="A2042" t="s">
        <v>1491</v>
      </c>
    </row>
    <row r="2043" spans="1:1" x14ac:dyDescent="0.3">
      <c r="A2043" t="s">
        <v>862</v>
      </c>
    </row>
    <row r="2045" spans="1:1" x14ac:dyDescent="0.3">
      <c r="A2045">
        <v>512</v>
      </c>
    </row>
    <row r="2046" spans="1:1" x14ac:dyDescent="0.3">
      <c r="A2046" t="s">
        <v>1492</v>
      </c>
    </row>
    <row r="2047" spans="1:1" x14ac:dyDescent="0.3">
      <c r="A2047" t="s">
        <v>257</v>
      </c>
    </row>
    <row r="2049" spans="1:1" x14ac:dyDescent="0.3">
      <c r="A2049">
        <v>513</v>
      </c>
    </row>
    <row r="2050" spans="1:1" x14ac:dyDescent="0.3">
      <c r="A2050" t="s">
        <v>1493</v>
      </c>
    </row>
    <row r="2051" spans="1:1" x14ac:dyDescent="0.3">
      <c r="A2051" t="s">
        <v>258</v>
      </c>
    </row>
    <row r="2053" spans="1:1" x14ac:dyDescent="0.3">
      <c r="A2053">
        <v>514</v>
      </c>
    </row>
    <row r="2054" spans="1:1" x14ac:dyDescent="0.3">
      <c r="A2054" t="s">
        <v>1494</v>
      </c>
    </row>
    <row r="2055" spans="1:1" x14ac:dyDescent="0.3">
      <c r="A2055" t="s">
        <v>571</v>
      </c>
    </row>
    <row r="2057" spans="1:1" x14ac:dyDescent="0.3">
      <c r="A2057">
        <v>515</v>
      </c>
    </row>
    <row r="2058" spans="1:1" x14ac:dyDescent="0.3">
      <c r="A2058" t="s">
        <v>1495</v>
      </c>
    </row>
    <row r="2059" spans="1:1" x14ac:dyDescent="0.3">
      <c r="A2059" t="s">
        <v>259</v>
      </c>
    </row>
    <row r="2061" spans="1:1" x14ac:dyDescent="0.3">
      <c r="A2061">
        <v>516</v>
      </c>
    </row>
    <row r="2062" spans="1:1" x14ac:dyDescent="0.3">
      <c r="A2062" t="s">
        <v>1496</v>
      </c>
    </row>
    <row r="2063" spans="1:1" x14ac:dyDescent="0.3">
      <c r="A2063" t="s">
        <v>1228</v>
      </c>
    </row>
    <row r="2065" spans="1:1" x14ac:dyDescent="0.3">
      <c r="A2065">
        <v>517</v>
      </c>
    </row>
    <row r="2066" spans="1:1" x14ac:dyDescent="0.3">
      <c r="A2066" t="s">
        <v>1497</v>
      </c>
    </row>
    <row r="2067" spans="1:1" x14ac:dyDescent="0.3">
      <c r="A2067" t="s">
        <v>1229</v>
      </c>
    </row>
    <row r="2069" spans="1:1" x14ac:dyDescent="0.3">
      <c r="A2069">
        <v>518</v>
      </c>
    </row>
    <row r="2070" spans="1:1" x14ac:dyDescent="0.3">
      <c r="A2070" t="s">
        <v>1498</v>
      </c>
    </row>
    <row r="2071" spans="1:1" x14ac:dyDescent="0.3">
      <c r="A2071" t="s">
        <v>260</v>
      </c>
    </row>
    <row r="2073" spans="1:1" x14ac:dyDescent="0.3">
      <c r="A2073">
        <v>519</v>
      </c>
    </row>
    <row r="2074" spans="1:1" x14ac:dyDescent="0.3">
      <c r="A2074" t="s">
        <v>1499</v>
      </c>
    </row>
    <row r="2075" spans="1:1" x14ac:dyDescent="0.3">
      <c r="A2075" t="s">
        <v>1230</v>
      </c>
    </row>
    <row r="2077" spans="1:1" x14ac:dyDescent="0.3">
      <c r="A2077">
        <v>520</v>
      </c>
    </row>
    <row r="2078" spans="1:1" x14ac:dyDescent="0.3">
      <c r="A2078" t="s">
        <v>1500</v>
      </c>
    </row>
    <row r="2079" spans="1:1" x14ac:dyDescent="0.3">
      <c r="A2079" t="s">
        <v>1231</v>
      </c>
    </row>
    <row r="2081" spans="1:1" x14ac:dyDescent="0.3">
      <c r="A2081">
        <v>521</v>
      </c>
    </row>
    <row r="2082" spans="1:1" x14ac:dyDescent="0.3">
      <c r="A2082" t="s">
        <v>1501</v>
      </c>
    </row>
    <row r="2083" spans="1:1" x14ac:dyDescent="0.3">
      <c r="A2083" t="s">
        <v>261</v>
      </c>
    </row>
    <row r="2085" spans="1:1" x14ac:dyDescent="0.3">
      <c r="A2085">
        <v>522</v>
      </c>
    </row>
    <row r="2086" spans="1:1" x14ac:dyDescent="0.3">
      <c r="A2086" t="s">
        <v>1502</v>
      </c>
    </row>
    <row r="2087" spans="1:1" x14ac:dyDescent="0.3">
      <c r="A2087" t="s">
        <v>1232</v>
      </c>
    </row>
    <row r="2089" spans="1:1" x14ac:dyDescent="0.3">
      <c r="A2089">
        <v>523</v>
      </c>
    </row>
    <row r="2090" spans="1:1" x14ac:dyDescent="0.3">
      <c r="A2090" t="s">
        <v>1503</v>
      </c>
    </row>
    <row r="2091" spans="1:1" x14ac:dyDescent="0.3">
      <c r="A2091" t="s">
        <v>0</v>
      </c>
    </row>
    <row r="2093" spans="1:1" x14ac:dyDescent="0.3">
      <c r="A2093">
        <v>524</v>
      </c>
    </row>
    <row r="2094" spans="1:1" x14ac:dyDescent="0.3">
      <c r="A2094" t="s">
        <v>1504</v>
      </c>
    </row>
    <row r="2095" spans="1:1" x14ac:dyDescent="0.3">
      <c r="A2095" t="s">
        <v>1233</v>
      </c>
    </row>
    <row r="2097" spans="1:1" x14ac:dyDescent="0.3">
      <c r="A2097">
        <v>525</v>
      </c>
    </row>
    <row r="2098" spans="1:1" x14ac:dyDescent="0.3">
      <c r="A2098" t="s">
        <v>1505</v>
      </c>
    </row>
    <row r="2099" spans="1:1" x14ac:dyDescent="0.3">
      <c r="A2099" t="s">
        <v>1234</v>
      </c>
    </row>
    <row r="2101" spans="1:1" x14ac:dyDescent="0.3">
      <c r="A2101">
        <v>526</v>
      </c>
    </row>
    <row r="2102" spans="1:1" x14ac:dyDescent="0.3">
      <c r="A2102" t="s">
        <v>1506</v>
      </c>
    </row>
    <row r="2103" spans="1:1" x14ac:dyDescent="0.3">
      <c r="A2103" t="s">
        <v>1235</v>
      </c>
    </row>
    <row r="2105" spans="1:1" x14ac:dyDescent="0.3">
      <c r="A2105">
        <v>527</v>
      </c>
    </row>
    <row r="2106" spans="1:1" x14ac:dyDescent="0.3">
      <c r="A2106" t="s">
        <v>1507</v>
      </c>
    </row>
    <row r="2107" spans="1:1" x14ac:dyDescent="0.3">
      <c r="A2107" t="s">
        <v>555</v>
      </c>
    </row>
    <row r="2109" spans="1:1" x14ac:dyDescent="0.3">
      <c r="A2109">
        <v>528</v>
      </c>
    </row>
    <row r="2110" spans="1:1" x14ac:dyDescent="0.3">
      <c r="A2110" t="s">
        <v>1508</v>
      </c>
    </row>
    <row r="2111" spans="1:1" x14ac:dyDescent="0.3">
      <c r="A2111" t="s">
        <v>1236</v>
      </c>
    </row>
    <row r="2113" spans="1:1" x14ac:dyDescent="0.3">
      <c r="A2113">
        <v>529</v>
      </c>
    </row>
    <row r="2114" spans="1:1" x14ac:dyDescent="0.3">
      <c r="A2114" t="s">
        <v>1509</v>
      </c>
    </row>
    <row r="2115" spans="1:1" x14ac:dyDescent="0.3">
      <c r="A2115" t="s">
        <v>572</v>
      </c>
    </row>
    <row r="2117" spans="1:1" x14ac:dyDescent="0.3">
      <c r="A2117">
        <v>530</v>
      </c>
    </row>
    <row r="2118" spans="1:1" x14ac:dyDescent="0.3">
      <c r="A2118" t="s">
        <v>1510</v>
      </c>
    </row>
    <row r="2119" spans="1:1" x14ac:dyDescent="0.3">
      <c r="A2119" t="s">
        <v>262</v>
      </c>
    </row>
    <row r="2121" spans="1:1" x14ac:dyDescent="0.3">
      <c r="A2121">
        <v>531</v>
      </c>
    </row>
    <row r="2122" spans="1:1" x14ac:dyDescent="0.3">
      <c r="A2122" t="s">
        <v>1511</v>
      </c>
    </row>
    <row r="2123" spans="1:1" x14ac:dyDescent="0.3">
      <c r="A2123" t="s">
        <v>1237</v>
      </c>
    </row>
    <row r="2125" spans="1:1" x14ac:dyDescent="0.3">
      <c r="A2125">
        <v>532</v>
      </c>
    </row>
    <row r="2126" spans="1:1" x14ac:dyDescent="0.3">
      <c r="A2126" t="s">
        <v>1512</v>
      </c>
    </row>
    <row r="2127" spans="1:1" x14ac:dyDescent="0.3">
      <c r="A2127" t="s">
        <v>1238</v>
      </c>
    </row>
    <row r="2129" spans="1:1" x14ac:dyDescent="0.3">
      <c r="A2129">
        <v>533</v>
      </c>
    </row>
    <row r="2130" spans="1:1" x14ac:dyDescent="0.3">
      <c r="A2130" t="s">
        <v>1513</v>
      </c>
    </row>
    <row r="2131" spans="1:1" x14ac:dyDescent="0.3">
      <c r="A2131" t="s">
        <v>573</v>
      </c>
    </row>
    <row r="2133" spans="1:1" x14ac:dyDescent="0.3">
      <c r="A2133">
        <v>534</v>
      </c>
    </row>
    <row r="2134" spans="1:1" x14ac:dyDescent="0.3">
      <c r="A2134" t="s">
        <v>1514</v>
      </c>
    </row>
    <row r="2135" spans="1:1" x14ac:dyDescent="0.3">
      <c r="A2135" t="s">
        <v>1515</v>
      </c>
    </row>
    <row r="2137" spans="1:1" x14ac:dyDescent="0.3">
      <c r="A2137">
        <v>535</v>
      </c>
    </row>
    <row r="2138" spans="1:1" x14ac:dyDescent="0.3">
      <c r="A2138" t="s">
        <v>1516</v>
      </c>
    </row>
    <row r="2139" spans="1:1" x14ac:dyDescent="0.3">
      <c r="A2139" t="s">
        <v>556</v>
      </c>
    </row>
    <row r="2141" spans="1:1" x14ac:dyDescent="0.3">
      <c r="A2141">
        <v>536</v>
      </c>
    </row>
    <row r="2142" spans="1:1" x14ac:dyDescent="0.3">
      <c r="A2142" t="s">
        <v>1517</v>
      </c>
    </row>
    <row r="2143" spans="1:1" x14ac:dyDescent="0.3">
      <c r="A2143" t="s">
        <v>263</v>
      </c>
    </row>
    <row r="2145" spans="1:1" x14ac:dyDescent="0.3">
      <c r="A2145">
        <v>537</v>
      </c>
    </row>
    <row r="2146" spans="1:1" x14ac:dyDescent="0.3">
      <c r="A2146" t="s">
        <v>1518</v>
      </c>
    </row>
    <row r="2147" spans="1:1" x14ac:dyDescent="0.3">
      <c r="A2147" t="s">
        <v>1239</v>
      </c>
    </row>
    <row r="2149" spans="1:1" x14ac:dyDescent="0.3">
      <c r="A2149">
        <v>538</v>
      </c>
    </row>
    <row r="2150" spans="1:1" x14ac:dyDescent="0.3">
      <c r="A2150" t="s">
        <v>1519</v>
      </c>
    </row>
    <row r="2151" spans="1:1" x14ac:dyDescent="0.3">
      <c r="A2151" t="s">
        <v>545</v>
      </c>
    </row>
    <row r="2153" spans="1:1" x14ac:dyDescent="0.3">
      <c r="A2153">
        <v>539</v>
      </c>
    </row>
    <row r="2154" spans="1:1" x14ac:dyDescent="0.3">
      <c r="A2154" t="s">
        <v>1520</v>
      </c>
    </row>
    <row r="2155" spans="1:1" x14ac:dyDescent="0.3">
      <c r="A2155" t="s">
        <v>1521</v>
      </c>
    </row>
    <row r="2157" spans="1:1" x14ac:dyDescent="0.3">
      <c r="A2157">
        <v>540</v>
      </c>
    </row>
    <row r="2158" spans="1:1" x14ac:dyDescent="0.3">
      <c r="A2158" t="s">
        <v>1522</v>
      </c>
    </row>
    <row r="2159" spans="1:1" x14ac:dyDescent="0.3">
      <c r="A2159" t="s">
        <v>264</v>
      </c>
    </row>
    <row r="2161" spans="1:1" x14ac:dyDescent="0.3">
      <c r="A2161">
        <v>541</v>
      </c>
    </row>
    <row r="2162" spans="1:1" x14ac:dyDescent="0.3">
      <c r="A2162" t="s">
        <v>1523</v>
      </c>
    </row>
    <row r="2163" spans="1:1" x14ac:dyDescent="0.3">
      <c r="A2163" t="s">
        <v>1240</v>
      </c>
    </row>
    <row r="2165" spans="1:1" x14ac:dyDescent="0.3">
      <c r="A2165">
        <v>542</v>
      </c>
    </row>
    <row r="2166" spans="1:1" x14ac:dyDescent="0.3">
      <c r="A2166" t="s">
        <v>1524</v>
      </c>
    </row>
    <row r="2167" spans="1:1" x14ac:dyDescent="0.3">
      <c r="A2167" t="s">
        <v>0</v>
      </c>
    </row>
    <row r="2169" spans="1:1" x14ac:dyDescent="0.3">
      <c r="A2169">
        <v>543</v>
      </c>
    </row>
    <row r="2170" spans="1:1" x14ac:dyDescent="0.3">
      <c r="A2170" t="s">
        <v>1525</v>
      </c>
    </row>
    <row r="2171" spans="1:1" x14ac:dyDescent="0.3">
      <c r="A2171" t="s">
        <v>1526</v>
      </c>
    </row>
    <row r="2173" spans="1:1" x14ac:dyDescent="0.3">
      <c r="A2173">
        <v>544</v>
      </c>
    </row>
    <row r="2174" spans="1:1" x14ac:dyDescent="0.3">
      <c r="A2174" t="s">
        <v>1527</v>
      </c>
    </row>
    <row r="2175" spans="1:1" x14ac:dyDescent="0.3">
      <c r="A2175" t="s">
        <v>153</v>
      </c>
    </row>
    <row r="2177" spans="1:1" x14ac:dyDescent="0.3">
      <c r="A2177">
        <v>545</v>
      </c>
    </row>
    <row r="2178" spans="1:1" x14ac:dyDescent="0.3">
      <c r="A2178" t="s">
        <v>1528</v>
      </c>
    </row>
    <row r="2179" spans="1:1" x14ac:dyDescent="0.3">
      <c r="A2179" t="s">
        <v>1529</v>
      </c>
    </row>
    <row r="2181" spans="1:1" x14ac:dyDescent="0.3">
      <c r="A2181">
        <v>546</v>
      </c>
    </row>
    <row r="2182" spans="1:1" x14ac:dyDescent="0.3">
      <c r="A2182" t="s">
        <v>1530</v>
      </c>
    </row>
    <row r="2183" spans="1:1" x14ac:dyDescent="0.3">
      <c r="A2183" t="s">
        <v>1241</v>
      </c>
    </row>
    <row r="2185" spans="1:1" x14ac:dyDescent="0.3">
      <c r="A2185">
        <v>547</v>
      </c>
    </row>
    <row r="2186" spans="1:1" x14ac:dyDescent="0.3">
      <c r="A2186" t="s">
        <v>1531</v>
      </c>
    </row>
    <row r="2187" spans="1:1" x14ac:dyDescent="0.3">
      <c r="A2187" t="s">
        <v>1242</v>
      </c>
    </row>
    <row r="2189" spans="1:1" x14ac:dyDescent="0.3">
      <c r="A2189">
        <v>548</v>
      </c>
    </row>
    <row r="2190" spans="1:1" x14ac:dyDescent="0.3">
      <c r="A2190" t="s">
        <v>1532</v>
      </c>
    </row>
    <row r="2191" spans="1:1" x14ac:dyDescent="0.3">
      <c r="A2191" t="s">
        <v>1243</v>
      </c>
    </row>
    <row r="2193" spans="1:1" x14ac:dyDescent="0.3">
      <c r="A2193">
        <v>549</v>
      </c>
    </row>
    <row r="2194" spans="1:1" x14ac:dyDescent="0.3">
      <c r="A2194" t="s">
        <v>1533</v>
      </c>
    </row>
    <row r="2195" spans="1:1" x14ac:dyDescent="0.3">
      <c r="A2195" t="s">
        <v>1534</v>
      </c>
    </row>
    <row r="2197" spans="1:1" x14ac:dyDescent="0.3">
      <c r="A2197">
        <v>550</v>
      </c>
    </row>
    <row r="2198" spans="1:1" x14ac:dyDescent="0.3">
      <c r="A2198" t="s">
        <v>1535</v>
      </c>
    </row>
    <row r="2199" spans="1:1" x14ac:dyDescent="0.3">
      <c r="A2199" t="s">
        <v>265</v>
      </c>
    </row>
    <row r="2201" spans="1:1" x14ac:dyDescent="0.3">
      <c r="A2201">
        <v>551</v>
      </c>
    </row>
    <row r="2202" spans="1:1" x14ac:dyDescent="0.3">
      <c r="A2202" t="s">
        <v>1536</v>
      </c>
    </row>
    <row r="2203" spans="1:1" x14ac:dyDescent="0.3">
      <c r="A2203" t="s">
        <v>863</v>
      </c>
    </row>
    <row r="2205" spans="1:1" x14ac:dyDescent="0.3">
      <c r="A2205">
        <v>552</v>
      </c>
    </row>
    <row r="2206" spans="1:1" x14ac:dyDescent="0.3">
      <c r="A2206" t="s">
        <v>1537</v>
      </c>
    </row>
    <row r="2207" spans="1:1" x14ac:dyDescent="0.3">
      <c r="A2207" t="s">
        <v>266</v>
      </c>
    </row>
    <row r="2209" spans="1:1" x14ac:dyDescent="0.3">
      <c r="A2209">
        <v>553</v>
      </c>
    </row>
    <row r="2210" spans="1:1" x14ac:dyDescent="0.3">
      <c r="A2210" t="s">
        <v>1538</v>
      </c>
    </row>
    <row r="2211" spans="1:1" x14ac:dyDescent="0.3">
      <c r="A2211" t="s">
        <v>1</v>
      </c>
    </row>
    <row r="2213" spans="1:1" x14ac:dyDescent="0.3">
      <c r="A2213">
        <v>554</v>
      </c>
    </row>
    <row r="2214" spans="1:1" x14ac:dyDescent="0.3">
      <c r="A2214" t="s">
        <v>1539</v>
      </c>
    </row>
    <row r="2215" spans="1:1" x14ac:dyDescent="0.3">
      <c r="A2215" t="s">
        <v>267</v>
      </c>
    </row>
    <row r="2217" spans="1:1" x14ac:dyDescent="0.3">
      <c r="A2217">
        <v>555</v>
      </c>
    </row>
    <row r="2218" spans="1:1" x14ac:dyDescent="0.3">
      <c r="A2218" t="s">
        <v>1540</v>
      </c>
    </row>
    <row r="2219" spans="1:1" x14ac:dyDescent="0.3">
      <c r="A2219" t="s">
        <v>1244</v>
      </c>
    </row>
    <row r="2221" spans="1:1" x14ac:dyDescent="0.3">
      <c r="A2221">
        <v>556</v>
      </c>
    </row>
    <row r="2222" spans="1:1" x14ac:dyDescent="0.3">
      <c r="A2222" t="s">
        <v>1541</v>
      </c>
    </row>
    <row r="2223" spans="1:1" x14ac:dyDescent="0.3">
      <c r="A2223" t="s">
        <v>268</v>
      </c>
    </row>
    <row r="2225" spans="1:1" x14ac:dyDescent="0.3">
      <c r="A2225">
        <v>557</v>
      </c>
    </row>
    <row r="2226" spans="1:1" x14ac:dyDescent="0.3">
      <c r="A2226" t="s">
        <v>1542</v>
      </c>
    </row>
    <row r="2227" spans="1:1" x14ac:dyDescent="0.3">
      <c r="A2227" t="s">
        <v>584</v>
      </c>
    </row>
    <row r="2229" spans="1:1" x14ac:dyDescent="0.3">
      <c r="A2229">
        <v>558</v>
      </c>
    </row>
    <row r="2230" spans="1:1" x14ac:dyDescent="0.3">
      <c r="A2230" t="s">
        <v>1543</v>
      </c>
    </row>
    <row r="2231" spans="1:1" x14ac:dyDescent="0.3">
      <c r="A2231" t="s">
        <v>557</v>
      </c>
    </row>
    <row r="2233" spans="1:1" x14ac:dyDescent="0.3">
      <c r="A2233">
        <v>559</v>
      </c>
    </row>
    <row r="2234" spans="1:1" x14ac:dyDescent="0.3">
      <c r="A2234" t="s">
        <v>1544</v>
      </c>
    </row>
    <row r="2235" spans="1:1" x14ac:dyDescent="0.3">
      <c r="A2235" t="s">
        <v>1545</v>
      </c>
    </row>
    <row r="2237" spans="1:1" x14ac:dyDescent="0.3">
      <c r="A2237">
        <v>560</v>
      </c>
    </row>
    <row r="2238" spans="1:1" x14ac:dyDescent="0.3">
      <c r="A2238" t="s">
        <v>1546</v>
      </c>
    </row>
    <row r="2239" spans="1:1" x14ac:dyDescent="0.3">
      <c r="A2239" t="s">
        <v>269</v>
      </c>
    </row>
    <row r="2241" spans="1:1" x14ac:dyDescent="0.3">
      <c r="A2241">
        <v>561</v>
      </c>
    </row>
    <row r="2242" spans="1:1" x14ac:dyDescent="0.3">
      <c r="A2242" t="s">
        <v>1547</v>
      </c>
    </row>
    <row r="2243" spans="1:1" x14ac:dyDescent="0.3">
      <c r="A2243" t="s">
        <v>270</v>
      </c>
    </row>
    <row r="2245" spans="1:1" x14ac:dyDescent="0.3">
      <c r="A2245">
        <v>562</v>
      </c>
    </row>
    <row r="2246" spans="1:1" x14ac:dyDescent="0.3">
      <c r="A2246" t="s">
        <v>1548</v>
      </c>
    </row>
    <row r="2247" spans="1:1" x14ac:dyDescent="0.3">
      <c r="A2247" t="s">
        <v>1245</v>
      </c>
    </row>
    <row r="2249" spans="1:1" x14ac:dyDescent="0.3">
      <c r="A2249">
        <v>563</v>
      </c>
    </row>
    <row r="2250" spans="1:1" x14ac:dyDescent="0.3">
      <c r="A2250" t="s">
        <v>1549</v>
      </c>
    </row>
    <row r="2251" spans="1:1" x14ac:dyDescent="0.3">
      <c r="A2251" t="s">
        <v>1246</v>
      </c>
    </row>
    <row r="2253" spans="1:1" x14ac:dyDescent="0.3">
      <c r="A2253">
        <v>564</v>
      </c>
    </row>
    <row r="2254" spans="1:1" x14ac:dyDescent="0.3">
      <c r="A2254" t="s">
        <v>1550</v>
      </c>
    </row>
    <row r="2255" spans="1:1" x14ac:dyDescent="0.3">
      <c r="A2255" t="s">
        <v>1247</v>
      </c>
    </row>
    <row r="2257" spans="1:1" x14ac:dyDescent="0.3">
      <c r="A2257">
        <v>565</v>
      </c>
    </row>
    <row r="2258" spans="1:1" x14ac:dyDescent="0.3">
      <c r="A2258" t="s">
        <v>1551</v>
      </c>
    </row>
    <row r="2259" spans="1:1" x14ac:dyDescent="0.3">
      <c r="A2259" t="s">
        <v>1248</v>
      </c>
    </row>
    <row r="2261" spans="1:1" x14ac:dyDescent="0.3">
      <c r="A2261">
        <v>566</v>
      </c>
    </row>
    <row r="2262" spans="1:1" x14ac:dyDescent="0.3">
      <c r="A2262" t="s">
        <v>1552</v>
      </c>
    </row>
    <row r="2263" spans="1:1" x14ac:dyDescent="0.3">
      <c r="A2263" t="s">
        <v>574</v>
      </c>
    </row>
    <row r="2265" spans="1:1" x14ac:dyDescent="0.3">
      <c r="A2265">
        <v>567</v>
      </c>
    </row>
    <row r="2266" spans="1:1" x14ac:dyDescent="0.3">
      <c r="A2266" t="s">
        <v>1553</v>
      </c>
    </row>
    <row r="2267" spans="1:1" x14ac:dyDescent="0.3">
      <c r="A2267" t="s">
        <v>575</v>
      </c>
    </row>
    <row r="2269" spans="1:1" x14ac:dyDescent="0.3">
      <c r="A2269">
        <v>568</v>
      </c>
    </row>
    <row r="2270" spans="1:1" x14ac:dyDescent="0.3">
      <c r="A2270" t="s">
        <v>1554</v>
      </c>
    </row>
    <row r="2271" spans="1:1" x14ac:dyDescent="0.3">
      <c r="A2271" t="s">
        <v>576</v>
      </c>
    </row>
    <row r="2273" spans="1:1" x14ac:dyDescent="0.3">
      <c r="A2273">
        <v>569</v>
      </c>
    </row>
    <row r="2274" spans="1:1" x14ac:dyDescent="0.3">
      <c r="A2274" t="s">
        <v>1555</v>
      </c>
    </row>
    <row r="2275" spans="1:1" x14ac:dyDescent="0.3">
      <c r="A2275" t="s">
        <v>1249</v>
      </c>
    </row>
    <row r="2277" spans="1:1" x14ac:dyDescent="0.3">
      <c r="A2277">
        <v>570</v>
      </c>
    </row>
    <row r="2278" spans="1:1" x14ac:dyDescent="0.3">
      <c r="A2278" t="s">
        <v>1556</v>
      </c>
    </row>
    <row r="2279" spans="1:1" x14ac:dyDescent="0.3">
      <c r="A2279" t="s">
        <v>0</v>
      </c>
    </row>
    <row r="2281" spans="1:1" x14ac:dyDescent="0.3">
      <c r="A2281">
        <v>571</v>
      </c>
    </row>
    <row r="2282" spans="1:1" x14ac:dyDescent="0.3">
      <c r="A2282" t="s">
        <v>1557</v>
      </c>
    </row>
    <row r="2283" spans="1:1" x14ac:dyDescent="0.3">
      <c r="A2283" t="s">
        <v>1250</v>
      </c>
    </row>
    <row r="2285" spans="1:1" x14ac:dyDescent="0.3">
      <c r="A2285">
        <v>572</v>
      </c>
    </row>
    <row r="2286" spans="1:1" x14ac:dyDescent="0.3">
      <c r="A2286" t="s">
        <v>1558</v>
      </c>
    </row>
    <row r="2287" spans="1:1" x14ac:dyDescent="0.3">
      <c r="A2287" t="s">
        <v>1251</v>
      </c>
    </row>
    <row r="2289" spans="1:1" x14ac:dyDescent="0.3">
      <c r="A2289">
        <v>573</v>
      </c>
    </row>
    <row r="2290" spans="1:1" x14ac:dyDescent="0.3">
      <c r="A2290" t="s">
        <v>1559</v>
      </c>
    </row>
    <row r="2291" spans="1:1" x14ac:dyDescent="0.3">
      <c r="A2291" t="s">
        <v>1252</v>
      </c>
    </row>
    <row r="2293" spans="1:1" x14ac:dyDescent="0.3">
      <c r="A2293">
        <v>574</v>
      </c>
    </row>
    <row r="2294" spans="1:1" x14ac:dyDescent="0.3">
      <c r="A2294" t="s">
        <v>1560</v>
      </c>
    </row>
    <row r="2295" spans="1:1" x14ac:dyDescent="0.3">
      <c r="A2295" t="s">
        <v>1253</v>
      </c>
    </row>
    <row r="2297" spans="1:1" x14ac:dyDescent="0.3">
      <c r="A2297">
        <v>575</v>
      </c>
    </row>
    <row r="2298" spans="1:1" x14ac:dyDescent="0.3">
      <c r="A2298" t="s">
        <v>1561</v>
      </c>
    </row>
    <row r="2299" spans="1:1" x14ac:dyDescent="0.3">
      <c r="A2299" t="s">
        <v>1562</v>
      </c>
    </row>
    <row r="2301" spans="1:1" x14ac:dyDescent="0.3">
      <c r="A2301">
        <v>576</v>
      </c>
    </row>
    <row r="2302" spans="1:1" x14ac:dyDescent="0.3">
      <c r="A2302" t="s">
        <v>1563</v>
      </c>
    </row>
    <row r="2303" spans="1:1" x14ac:dyDescent="0.3">
      <c r="A2303" t="s">
        <v>1564</v>
      </c>
    </row>
    <row r="2305" spans="1:1" x14ac:dyDescent="0.3">
      <c r="A2305">
        <v>577</v>
      </c>
    </row>
    <row r="2306" spans="1:1" x14ac:dyDescent="0.3">
      <c r="A2306" t="s">
        <v>1565</v>
      </c>
    </row>
    <row r="2307" spans="1:1" x14ac:dyDescent="0.3">
      <c r="A2307" t="s">
        <v>271</v>
      </c>
    </row>
    <row r="2309" spans="1:1" x14ac:dyDescent="0.3">
      <c r="A2309">
        <v>578</v>
      </c>
    </row>
    <row r="2310" spans="1:1" x14ac:dyDescent="0.3">
      <c r="A2310" t="s">
        <v>1566</v>
      </c>
    </row>
    <row r="2311" spans="1:1" x14ac:dyDescent="0.3">
      <c r="A2311" t="s">
        <v>844</v>
      </c>
    </row>
    <row r="2313" spans="1:1" x14ac:dyDescent="0.3">
      <c r="A2313">
        <v>579</v>
      </c>
    </row>
    <row r="2314" spans="1:1" x14ac:dyDescent="0.3">
      <c r="A2314" t="s">
        <v>1567</v>
      </c>
    </row>
    <row r="2315" spans="1:1" x14ac:dyDescent="0.3">
      <c r="A2315" t="s">
        <v>595</v>
      </c>
    </row>
    <row r="2317" spans="1:1" x14ac:dyDescent="0.3">
      <c r="A2317">
        <v>580</v>
      </c>
    </row>
    <row r="2318" spans="1:1" x14ac:dyDescent="0.3">
      <c r="A2318" t="s">
        <v>1568</v>
      </c>
    </row>
    <row r="2319" spans="1:1" x14ac:dyDescent="0.3">
      <c r="A2319" t="s">
        <v>577</v>
      </c>
    </row>
    <row r="2321" spans="1:1" x14ac:dyDescent="0.3">
      <c r="A2321">
        <v>581</v>
      </c>
    </row>
    <row r="2322" spans="1:1" x14ac:dyDescent="0.3">
      <c r="A2322" t="s">
        <v>1569</v>
      </c>
    </row>
    <row r="2323" spans="1:1" x14ac:dyDescent="0.3">
      <c r="A2323" t="s">
        <v>1570</v>
      </c>
    </row>
    <row r="2325" spans="1:1" x14ac:dyDescent="0.3">
      <c r="A2325">
        <v>582</v>
      </c>
    </row>
    <row r="2326" spans="1:1" x14ac:dyDescent="0.3">
      <c r="A2326" t="s">
        <v>1571</v>
      </c>
    </row>
    <row r="2327" spans="1:1" x14ac:dyDescent="0.3">
      <c r="A2327" t="s">
        <v>585</v>
      </c>
    </row>
    <row r="2329" spans="1:1" x14ac:dyDescent="0.3">
      <c r="A2329">
        <v>583</v>
      </c>
    </row>
    <row r="2330" spans="1:1" x14ac:dyDescent="0.3">
      <c r="A2330" t="s">
        <v>1572</v>
      </c>
    </row>
    <row r="2331" spans="1:1" x14ac:dyDescent="0.3">
      <c r="A2331" t="s">
        <v>586</v>
      </c>
    </row>
    <row r="2333" spans="1:1" x14ac:dyDescent="0.3">
      <c r="A2333">
        <v>584</v>
      </c>
    </row>
    <row r="2334" spans="1:1" x14ac:dyDescent="0.3">
      <c r="A2334" t="s">
        <v>1573</v>
      </c>
    </row>
    <row r="2335" spans="1:1" x14ac:dyDescent="0.3">
      <c r="A2335" t="s">
        <v>578</v>
      </c>
    </row>
    <row r="2337" spans="1:1" x14ac:dyDescent="0.3">
      <c r="A2337">
        <v>585</v>
      </c>
    </row>
    <row r="2338" spans="1:1" x14ac:dyDescent="0.3">
      <c r="A2338" t="s">
        <v>1574</v>
      </c>
    </row>
    <row r="2339" spans="1:1" x14ac:dyDescent="0.3">
      <c r="A2339" t="s">
        <v>272</v>
      </c>
    </row>
    <row r="2341" spans="1:1" x14ac:dyDescent="0.3">
      <c r="A2341">
        <v>586</v>
      </c>
    </row>
    <row r="2342" spans="1:1" x14ac:dyDescent="0.3">
      <c r="A2342" t="s">
        <v>1575</v>
      </c>
    </row>
    <row r="2343" spans="1:1" x14ac:dyDescent="0.3">
      <c r="A2343" t="s">
        <v>1254</v>
      </c>
    </row>
    <row r="2345" spans="1:1" x14ac:dyDescent="0.3">
      <c r="A2345">
        <v>587</v>
      </c>
    </row>
    <row r="2346" spans="1:1" x14ac:dyDescent="0.3">
      <c r="A2346" t="s">
        <v>1576</v>
      </c>
    </row>
    <row r="2347" spans="1:1" x14ac:dyDescent="0.3">
      <c r="A2347" t="s">
        <v>273</v>
      </c>
    </row>
    <row r="2349" spans="1:1" x14ac:dyDescent="0.3">
      <c r="A2349">
        <v>588</v>
      </c>
    </row>
    <row r="2350" spans="1:1" x14ac:dyDescent="0.3">
      <c r="A2350" t="s">
        <v>1577</v>
      </c>
    </row>
    <row r="2351" spans="1:1" x14ac:dyDescent="0.3">
      <c r="A2351" t="s">
        <v>1255</v>
      </c>
    </row>
    <row r="2353" spans="1:1" x14ac:dyDescent="0.3">
      <c r="A2353">
        <v>589</v>
      </c>
    </row>
    <row r="2354" spans="1:1" x14ac:dyDescent="0.3">
      <c r="A2354" t="s">
        <v>1578</v>
      </c>
    </row>
    <row r="2355" spans="1:1" x14ac:dyDescent="0.3">
      <c r="A2355" t="s">
        <v>878</v>
      </c>
    </row>
    <row r="2357" spans="1:1" x14ac:dyDescent="0.3">
      <c r="A2357">
        <v>590</v>
      </c>
    </row>
    <row r="2358" spans="1:1" x14ac:dyDescent="0.3">
      <c r="A2358" t="s">
        <v>1579</v>
      </c>
    </row>
    <row r="2359" spans="1:1" x14ac:dyDescent="0.3">
      <c r="A2359" t="s">
        <v>864</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66" workbookViewId="0">
      <selection activeCell="C590" sqref="C590"/>
    </sheetView>
  </sheetViews>
  <sheetFormatPr defaultRowHeight="14" x14ac:dyDescent="0.3"/>
  <cols>
    <col min="1" max="1" width="4.5" bestFit="1" customWidth="1"/>
    <col min="2" max="2" width="27.75" bestFit="1" customWidth="1"/>
    <col min="3" max="3" width="63" bestFit="1" customWidth="1"/>
    <col min="4" max="4" width="12.08203125" customWidth="1"/>
    <col min="5" max="5" width="11.75" bestFit="1" customWidth="1"/>
    <col min="6" max="6" width="11.75" style="5" bestFit="1" customWidth="1"/>
    <col min="7" max="7" width="11.75" style="1" bestFit="1" customWidth="1"/>
    <col min="8" max="8" width="4.83203125" style="2" bestFit="1" customWidth="1"/>
    <col min="9" max="9" width="3.5" bestFit="1" customWidth="1"/>
    <col min="10" max="10" width="12.08203125" customWidth="1"/>
    <col min="13" max="13" width="13" style="2" bestFit="1" customWidth="1"/>
  </cols>
  <sheetData>
    <row r="1" spans="1:13" x14ac:dyDescent="0.3">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3">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3">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3">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3">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3">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3">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3">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3">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3">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3">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3">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3">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3">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3">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5" t="str">
        <f t="shared" ca="1" si="2"/>
        <v>00:00:44.720</v>
      </c>
      <c r="G15" s="1" t="str">
        <f t="shared" ca="1" si="3"/>
        <v>00:00:45.920</v>
      </c>
      <c r="H15" s="2">
        <f t="shared" ca="1" si="4"/>
        <v>1.3888888888888913E-5</v>
      </c>
      <c r="I15">
        <f t="shared" ca="1" si="5"/>
        <v>7</v>
      </c>
      <c r="J15" s="2">
        <f t="shared" ca="1" si="6"/>
        <v>1.9841269841269874E-6</v>
      </c>
      <c r="K15" t="e">
        <f ca="1">MATCH(ROW(),sub!D:D,0)</f>
        <v>#N/A</v>
      </c>
      <c r="L15" t="b">
        <f t="shared" ca="1" si="7"/>
        <v>0</v>
      </c>
      <c r="M15" s="2">
        <f t="shared" ca="1" si="8"/>
        <v>0</v>
      </c>
    </row>
    <row r="16" spans="1:13" x14ac:dyDescent="0.3">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3">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3">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3">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5" t="str">
        <f t="shared" ca="1" si="2"/>
        <v>00:00:54.400</v>
      </c>
      <c r="G19" s="1" t="str">
        <f t="shared" ca="1" si="3"/>
        <v>00:00:55.800</v>
      </c>
      <c r="H19" s="2">
        <f t="shared" ca="1" si="4"/>
        <v>1.6203703703703714E-5</v>
      </c>
      <c r="I19">
        <f t="shared" ca="1" si="5"/>
        <v>8</v>
      </c>
      <c r="J19" s="2">
        <f t="shared" ca="1" si="6"/>
        <v>2.0254629629629643E-6</v>
      </c>
      <c r="K19">
        <f ca="1">MATCH(ROW(),sub!D:D,0)</f>
        <v>8</v>
      </c>
      <c r="L19" t="b">
        <f t="shared" ca="1" si="7"/>
        <v>1</v>
      </c>
      <c r="M19" s="2">
        <f t="shared" ca="1" si="8"/>
        <v>2.0254629629629643E-6</v>
      </c>
    </row>
    <row r="20" spans="1:13" x14ac:dyDescent="0.3">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3">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3">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5" t="str">
        <f t="shared" ca="1" si="2"/>
        <v>00:01:00.720</v>
      </c>
      <c r="G22" s="1" t="str">
        <f t="shared" ca="1" si="3"/>
        <v>00:01:04.640</v>
      </c>
      <c r="H22" s="2">
        <f t="shared" ca="1" si="4"/>
        <v>4.5370370370370421E-5</v>
      </c>
      <c r="I22">
        <f t="shared" ca="1" si="5"/>
        <v>13</v>
      </c>
      <c r="J22" s="2">
        <f t="shared" ca="1" si="6"/>
        <v>3.490028490028494E-6</v>
      </c>
      <c r="K22" t="e">
        <f ca="1">MATCH(ROW(),sub!D:D,0)</f>
        <v>#N/A</v>
      </c>
      <c r="L22" t="b">
        <f t="shared" ca="1" si="7"/>
        <v>0</v>
      </c>
      <c r="M22" s="2">
        <f t="shared" ca="1" si="8"/>
        <v>0</v>
      </c>
    </row>
    <row r="23" spans="1:13" x14ac:dyDescent="0.3">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3">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3">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3">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3">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3">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3">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3">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3">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5" t="str">
        <f t="shared" ca="1" si="2"/>
        <v>00:01:26.800</v>
      </c>
      <c r="G31" s="1" t="str">
        <f t="shared" ca="1" si="3"/>
        <v>00:01:29.840</v>
      </c>
      <c r="H31" s="2">
        <f t="shared" ca="1" si="4"/>
        <v>3.5185185185185189E-5</v>
      </c>
      <c r="I31">
        <f t="shared" ca="1" si="5"/>
        <v>18</v>
      </c>
      <c r="J31" s="2">
        <f t="shared" ca="1" si="6"/>
        <v>1.9547325102880663E-6</v>
      </c>
      <c r="K31" t="e">
        <f ca="1">MATCH(ROW(),sub!D:D,0)</f>
        <v>#N/A</v>
      </c>
      <c r="L31" t="b">
        <f t="shared" ca="1" si="7"/>
        <v>1</v>
      </c>
      <c r="M31" s="2">
        <f t="shared" ca="1" si="8"/>
        <v>1.9547325102880663E-6</v>
      </c>
    </row>
    <row r="32" spans="1:13" x14ac:dyDescent="0.3">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5" t="str">
        <f t="shared" ca="1" si="2"/>
        <v>00:01:30.400</v>
      </c>
      <c r="G32" s="1" t="str">
        <f t="shared" ca="1" si="3"/>
        <v>00:01:32.880</v>
      </c>
      <c r="H32" s="2">
        <f t="shared" ca="1" si="4"/>
        <v>2.8703703703703747E-5</v>
      </c>
      <c r="I32">
        <f t="shared" ca="1" si="5"/>
        <v>11</v>
      </c>
      <c r="J32" s="2">
        <f t="shared" ca="1" si="6"/>
        <v>2.6094276094276132E-6</v>
      </c>
      <c r="K32" t="e">
        <f ca="1">MATCH(ROW(),sub!D:D,0)</f>
        <v>#N/A</v>
      </c>
      <c r="L32" t="b">
        <f t="shared" ca="1" si="7"/>
        <v>1</v>
      </c>
      <c r="M32" s="2">
        <f t="shared" ca="1" si="8"/>
        <v>2.6094276094276132E-6</v>
      </c>
    </row>
    <row r="33" spans="1:13" x14ac:dyDescent="0.3">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5" t="str">
        <f t="shared" ca="1" si="2"/>
        <v>00:01:32.880</v>
      </c>
      <c r="G33" s="1" t="str">
        <f t="shared" ca="1" si="3"/>
        <v>00:01:38.560</v>
      </c>
      <c r="H33" s="2">
        <f t="shared" ca="1" si="4"/>
        <v>6.5740740740740777E-5</v>
      </c>
      <c r="I33">
        <f t="shared" ca="1" si="5"/>
        <v>20</v>
      </c>
      <c r="J33" s="2">
        <f t="shared" ca="1" si="6"/>
        <v>3.2870370370370387E-6</v>
      </c>
      <c r="K33" t="e">
        <f ca="1">MATCH(ROW(),sub!D:D,0)</f>
        <v>#N/A</v>
      </c>
      <c r="L33" t="b">
        <f t="shared" ca="1" si="7"/>
        <v>0</v>
      </c>
      <c r="M33" s="2">
        <f t="shared" ca="1" si="8"/>
        <v>0</v>
      </c>
    </row>
    <row r="34" spans="1:13" x14ac:dyDescent="0.3">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3">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5" t="str">
        <f t="shared" ca="1" si="2"/>
        <v>00:01:40.080</v>
      </c>
      <c r="G35" s="1" t="str">
        <f t="shared" ca="1" si="3"/>
        <v>00:01:43.040</v>
      </c>
      <c r="H35" s="2">
        <f t="shared" ca="1" si="4"/>
        <v>3.4259259259259269E-5</v>
      </c>
      <c r="I35">
        <f t="shared" ca="1" si="5"/>
        <v>18</v>
      </c>
      <c r="J35" s="2">
        <f t="shared" ca="1" si="6"/>
        <v>1.9032921810699594E-6</v>
      </c>
      <c r="K35" t="e">
        <f ca="1">MATCH(ROW(),sub!D:D,0)</f>
        <v>#N/A</v>
      </c>
      <c r="L35" t="b">
        <f t="shared" ca="1" si="7"/>
        <v>0</v>
      </c>
      <c r="M35" s="2">
        <f t="shared" ca="1" si="8"/>
        <v>0</v>
      </c>
    </row>
    <row r="36" spans="1:13" x14ac:dyDescent="0.3">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5" t="str">
        <f t="shared" ca="1" si="2"/>
        <v>00:01:44.480</v>
      </c>
      <c r="G36" s="1" t="str">
        <f t="shared" ca="1" si="3"/>
        <v>00:01:51.160</v>
      </c>
      <c r="H36" s="2">
        <f t="shared" ca="1" si="4"/>
        <v>7.7314814814814998E-5</v>
      </c>
      <c r="I36">
        <f t="shared" ca="1" si="5"/>
        <v>29</v>
      </c>
      <c r="J36" s="2">
        <f t="shared" ca="1" si="6"/>
        <v>2.6660280970625861E-6</v>
      </c>
      <c r="K36">
        <f ca="1">MATCH(ROW(),sub!D:D,0)</f>
        <v>13</v>
      </c>
      <c r="L36" t="b">
        <f t="shared" ca="1" si="7"/>
        <v>0</v>
      </c>
      <c r="M36" s="2">
        <f t="shared" ca="1" si="8"/>
        <v>0</v>
      </c>
    </row>
    <row r="37" spans="1:13" x14ac:dyDescent="0.3">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5" t="str">
        <f t="shared" ca="1" si="2"/>
        <v>00:01:51.160</v>
      </c>
      <c r="G37" s="1" t="str">
        <f t="shared" ca="1" si="3"/>
        <v>00:01:52.760</v>
      </c>
      <c r="H37" s="2">
        <f t="shared" ca="1" si="4"/>
        <v>1.8518518518518406E-5</v>
      </c>
      <c r="I37">
        <f t="shared" ca="1" si="5"/>
        <v>9</v>
      </c>
      <c r="J37" s="2">
        <f t="shared" ca="1" si="6"/>
        <v>2.0576131687242673E-6</v>
      </c>
      <c r="K37">
        <f ca="1">MATCH(ROW(),sub!D:D,0)</f>
        <v>14</v>
      </c>
      <c r="L37" t="b">
        <f t="shared" ca="1" si="7"/>
        <v>1</v>
      </c>
      <c r="M37" s="2">
        <f t="shared" ca="1" si="8"/>
        <v>2.0576131687242673E-6</v>
      </c>
    </row>
    <row r="38" spans="1:13" x14ac:dyDescent="0.3">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5" t="str">
        <f t="shared" ca="1" si="2"/>
        <v>00:01:52.760</v>
      </c>
      <c r="G38" s="1" t="str">
        <f t="shared" ca="1" si="3"/>
        <v>00:01:54.960</v>
      </c>
      <c r="H38" s="2">
        <f t="shared" ca="1" si="4"/>
        <v>2.5462962962963243E-5</v>
      </c>
      <c r="I38">
        <f t="shared" ca="1" si="5"/>
        <v>13</v>
      </c>
      <c r="J38" s="2">
        <f t="shared" ca="1" si="6"/>
        <v>1.9586894586894802E-6</v>
      </c>
      <c r="K38" t="e">
        <f ca="1">MATCH(ROW(),sub!D:D,0)</f>
        <v>#N/A</v>
      </c>
      <c r="L38" t="b">
        <f t="shared" ca="1" si="7"/>
        <v>1</v>
      </c>
      <c r="M38" s="2">
        <f t="shared" ca="1" si="8"/>
        <v>1.9586894586894802E-6</v>
      </c>
    </row>
    <row r="39" spans="1:13" x14ac:dyDescent="0.3">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3">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5" t="str">
        <f t="shared" ca="1" si="2"/>
        <v>00:01:57.280</v>
      </c>
      <c r="G40" s="1" t="str">
        <f t="shared" ca="1" si="3"/>
        <v>00:02:04.080</v>
      </c>
      <c r="H40" s="2">
        <f t="shared" ca="1" si="4"/>
        <v>7.8703703703703661E-5</v>
      </c>
      <c r="I40">
        <f t="shared" ca="1" si="5"/>
        <v>28</v>
      </c>
      <c r="J40" s="2">
        <f t="shared" ca="1" si="6"/>
        <v>2.8108465608465592E-6</v>
      </c>
      <c r="K40" t="e">
        <f ca="1">MATCH(ROW(),sub!D:D,0)</f>
        <v>#N/A</v>
      </c>
      <c r="L40" t="b">
        <f t="shared" ca="1" si="7"/>
        <v>0</v>
      </c>
      <c r="M40" s="2">
        <f t="shared" ca="1" si="8"/>
        <v>0</v>
      </c>
    </row>
    <row r="41" spans="1:13" x14ac:dyDescent="0.3">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5" t="str">
        <f t="shared" ca="1" si="2"/>
        <v>00:02:04.080</v>
      </c>
      <c r="G41" s="1" t="str">
        <f t="shared" ca="1" si="3"/>
        <v>00:02:07.560</v>
      </c>
      <c r="H41" s="2">
        <f t="shared" ca="1" si="4"/>
        <v>4.0277777777777751E-5</v>
      </c>
      <c r="I41">
        <f t="shared" ca="1" si="5"/>
        <v>18</v>
      </c>
      <c r="J41" s="2">
        <f t="shared" ca="1" si="6"/>
        <v>2.2376543209876528E-6</v>
      </c>
      <c r="K41">
        <f ca="1">MATCH(ROW(),sub!D:D,0)</f>
        <v>15</v>
      </c>
      <c r="L41" t="b">
        <f t="shared" ca="1" si="7"/>
        <v>1</v>
      </c>
      <c r="M41" s="2">
        <f t="shared" ca="1" si="8"/>
        <v>2.2376543209876528E-6</v>
      </c>
    </row>
    <row r="42" spans="1:13" x14ac:dyDescent="0.3">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5" t="str">
        <f t="shared" ca="1" si="2"/>
        <v>00:02:07.840</v>
      </c>
      <c r="G42" s="1" t="str">
        <f t="shared" ca="1" si="3"/>
        <v>00:02:11.400</v>
      </c>
      <c r="H42" s="2">
        <f t="shared" ca="1" si="4"/>
        <v>4.1203703703703888E-5</v>
      </c>
      <c r="I42">
        <f t="shared" ca="1" si="5"/>
        <v>19</v>
      </c>
      <c r="J42" s="2">
        <f t="shared" ca="1" si="6"/>
        <v>2.1686159844054677E-6</v>
      </c>
      <c r="K42" t="e">
        <f ca="1">MATCH(ROW(),sub!D:D,0)</f>
        <v>#N/A</v>
      </c>
      <c r="L42" t="b">
        <f t="shared" ca="1" si="7"/>
        <v>1</v>
      </c>
      <c r="M42" s="2">
        <f t="shared" ca="1" si="8"/>
        <v>2.1686159844054677E-6</v>
      </c>
    </row>
    <row r="43" spans="1:13" x14ac:dyDescent="0.3">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3">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3">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3">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3">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3">
      <c r="A48">
        <f ca="1">OFFSET(srt_raw!$A$1,(ROW()-1)*4+COLUMN()-1,0)</f>
        <v>48</v>
      </c>
      <c r="B48" t="str">
        <f ca="1">OFFSET(srt_raw!$A$1,(ROW()-1)*4+COLUMN()-1,0)</f>
        <v>00:02:31,520 --&gt; 00:02:34,600</v>
      </c>
      <c r="C48" t="str">
        <f ca="1">OFFSET(srt_raw!$A$1,(ROW()-1)*4+COLUMN()-1,0)</f>
        <v>表示L1除了由刚才说的按钮叠加外，</v>
      </c>
      <c r="D48" t="str">
        <f t="shared" ca="1" si="0"/>
        <v>00:02:31,520</v>
      </c>
      <c r="E48" t="str">
        <f t="shared" ca="1" si="1"/>
        <v>00:02:34,600</v>
      </c>
      <c r="F48" s="5" t="str">
        <f t="shared" ca="1" si="2"/>
        <v>00:02:31.520</v>
      </c>
      <c r="G48" s="1" t="str">
        <f t="shared" ca="1" si="3"/>
        <v>00:02:34.600</v>
      </c>
      <c r="H48" s="2">
        <f t="shared" ca="1" si="4"/>
        <v>3.5648148148148149E-5</v>
      </c>
      <c r="I48">
        <f t="shared" ca="1" si="5"/>
        <v>17</v>
      </c>
      <c r="J48" s="2">
        <f t="shared" ca="1" si="6"/>
        <v>2.0969498910675382E-6</v>
      </c>
      <c r="K48" t="e">
        <f ca="1">MATCH(ROW(),sub!D:D,0)</f>
        <v>#N/A</v>
      </c>
      <c r="L48" t="b">
        <f t="shared" ca="1" si="7"/>
        <v>1</v>
      </c>
      <c r="M48" s="2">
        <f t="shared" ca="1" si="8"/>
        <v>2.0969498910675382E-6</v>
      </c>
    </row>
    <row r="49" spans="1:13" x14ac:dyDescent="0.3">
      <c r="A49">
        <f ca="1">OFFSET(srt_raw!$A$1,(ROW()-1)*4+COLUMN()-1,0)</f>
        <v>49</v>
      </c>
      <c r="B49" t="str">
        <f ca="1">OFFSET(srt_raw!$A$1,(ROW()-1)*4+COLUMN()-1,0)</f>
        <v>00:02:34,600 --&gt; 00:02:36,840</v>
      </c>
      <c r="C49" t="str">
        <f ca="1">OFFSET(srt_raw!$A$1,(ROW()-1)*4+COLUMN()-1,0)</f>
        <v>还需要翻转才是正确的状态。</v>
      </c>
      <c r="D49" t="str">
        <f t="shared" ca="1" si="0"/>
        <v>00:02:34,600</v>
      </c>
      <c r="E49" t="str">
        <f t="shared" ca="1" si="1"/>
        <v>00:02:36,840</v>
      </c>
      <c r="F49" s="5" t="str">
        <f t="shared" ca="1" si="2"/>
        <v>00:02:34.600</v>
      </c>
      <c r="G49" s="1" t="str">
        <f t="shared" ca="1" si="3"/>
        <v>00:02:36.840</v>
      </c>
      <c r="H49" s="2">
        <f t="shared" ca="1" si="4"/>
        <v>2.5925925925925986E-5</v>
      </c>
      <c r="I49">
        <f t="shared" ca="1" si="5"/>
        <v>13</v>
      </c>
      <c r="J49" s="2">
        <f t="shared" ca="1" si="6"/>
        <v>1.9943019943019989E-6</v>
      </c>
      <c r="K49" t="e">
        <f ca="1">MATCH(ROW(),sub!D:D,0)</f>
        <v>#N/A</v>
      </c>
      <c r="L49" t="b">
        <f t="shared" ca="1" si="7"/>
        <v>0</v>
      </c>
      <c r="M49" s="2">
        <f t="shared" ca="1" si="8"/>
        <v>0</v>
      </c>
    </row>
    <row r="50" spans="1:13" x14ac:dyDescent="0.3">
      <c r="A50">
        <f ca="1">OFFSET(srt_raw!$A$1,(ROW()-1)*4+COLUMN()-1,0)</f>
        <v>50</v>
      </c>
      <c r="B50" t="str">
        <f ca="1">OFFSET(srt_raw!$A$1,(ROW()-1)*4+COLUMN()-1,0)</f>
        <v>00:02:38,320 --&gt; 00:02:39,320</v>
      </c>
      <c r="C50" t="str">
        <f ca="1">OFFSET(srt_raw!$A$1,(ROW()-1)*4+COLUMN()-1,0)</f>
        <v>同理，</v>
      </c>
      <c r="D50" t="str">
        <f t="shared" ca="1" si="0"/>
        <v>00:02:38,320</v>
      </c>
      <c r="E50" t="str">
        <f t="shared" ca="1" si="1"/>
        <v>00:02:39,320</v>
      </c>
      <c r="F50" s="5" t="str">
        <f t="shared" ca="1" si="2"/>
        <v>00:02:38.320</v>
      </c>
      <c r="G50" s="1" t="str">
        <f t="shared" ca="1" si="3"/>
        <v>00:02:39.320</v>
      </c>
      <c r="H50" s="2">
        <f t="shared" ca="1" si="4"/>
        <v>1.1574074074074004E-5</v>
      </c>
      <c r="I50">
        <f t="shared" ca="1" si="5"/>
        <v>3</v>
      </c>
      <c r="J50" s="2">
        <f t="shared" ca="1" si="6"/>
        <v>3.8580246913580011E-6</v>
      </c>
      <c r="K50">
        <f ca="1">MATCH(ROW(),sub!D:D,0)</f>
        <v>18</v>
      </c>
      <c r="L50" t="b">
        <f t="shared" ca="1" si="7"/>
        <v>1</v>
      </c>
      <c r="M50" s="2">
        <f t="shared" ca="1" si="8"/>
        <v>3.8580246913580011E-6</v>
      </c>
    </row>
    <row r="51" spans="1:13" x14ac:dyDescent="0.3">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3">
      <c r="A52">
        <f ca="1">OFFSET(srt_raw!$A$1,(ROW()-1)*4+COLUMN()-1,0)</f>
        <v>52</v>
      </c>
      <c r="B52" t="str">
        <f ca="1">OFFSET(srt_raw!$A$1,(ROW()-1)*4+COLUMN()-1,0)</f>
        <v>00:02:42,880 --&gt; 00:02:47,040</v>
      </c>
      <c r="C52" t="str">
        <f ca="1">OFFSET(srt_raw!$A$1,(ROW()-1)*4+COLUMN()-1,0)</f>
        <v>即第七个按钮B7是第二个灯L2的翻转。</v>
      </c>
      <c r="D52" t="str">
        <f t="shared" ca="1" si="0"/>
        <v>00:02:42,880</v>
      </c>
      <c r="E52" t="str">
        <f t="shared" ca="1" si="1"/>
        <v>00:02:47,040</v>
      </c>
      <c r="F52" s="5" t="str">
        <f t="shared" ca="1" si="2"/>
        <v>00:02:42.880</v>
      </c>
      <c r="G52" s="1" t="str">
        <f t="shared" ca="1" si="3"/>
        <v>00:02:47.040</v>
      </c>
      <c r="H52" s="2">
        <f t="shared" ca="1" si="4"/>
        <v>4.814814814814829E-5</v>
      </c>
      <c r="I52">
        <f t="shared" ca="1" si="5"/>
        <v>19</v>
      </c>
      <c r="J52" s="2">
        <f t="shared" ca="1" si="6"/>
        <v>2.5341130604288574E-6</v>
      </c>
      <c r="K52" t="e">
        <f ca="1">MATCH(ROW(),sub!D:D,0)</f>
        <v>#N/A</v>
      </c>
      <c r="L52" t="b">
        <f t="shared" ca="1" si="7"/>
        <v>1</v>
      </c>
      <c r="M52" s="2">
        <f t="shared" ca="1" si="8"/>
        <v>2.5341130604288574E-6</v>
      </c>
    </row>
    <row r="53" spans="1:13" x14ac:dyDescent="0.3">
      <c r="A53">
        <f ca="1">OFFSET(srt_raw!$A$1,(ROW()-1)*4+COLUMN()-1,0)</f>
        <v>53</v>
      </c>
      <c r="B53" t="str">
        <f ca="1">OFFSET(srt_raw!$A$1,(ROW()-1)*4+COLUMN()-1,0)</f>
        <v>00:02:47,040 --&gt; 00:02:47,600</v>
      </c>
      <c r="C53" t="str">
        <f ca="1">OFFSET(srt_raw!$A$1,(ROW()-1)*4+COLUMN()-1,0)</f>
        <v>同样，</v>
      </c>
      <c r="D53" t="str">
        <f t="shared" ca="1" si="0"/>
        <v>00:02:47,040</v>
      </c>
      <c r="E53" t="str">
        <f t="shared" ca="1" si="1"/>
        <v>00:02:47,600</v>
      </c>
      <c r="F53" s="5" t="str">
        <f t="shared" ca="1" si="2"/>
        <v>00:02:47.040</v>
      </c>
      <c r="G53" s="1" t="str">
        <f t="shared" ca="1" si="3"/>
        <v>00:02:47.600</v>
      </c>
      <c r="H53" s="2">
        <f t="shared" ca="1" si="4"/>
        <v>6.4814814814814423E-6</v>
      </c>
      <c r="I53">
        <f t="shared" ca="1" si="5"/>
        <v>3</v>
      </c>
      <c r="J53" s="2">
        <f t="shared" ca="1" si="6"/>
        <v>2.1604938271604806E-6</v>
      </c>
      <c r="K53" t="e">
        <f ca="1">MATCH(ROW(),sub!D:D,0)</f>
        <v>#N/A</v>
      </c>
      <c r="L53" t="b">
        <f t="shared" ca="1" si="7"/>
        <v>1</v>
      </c>
      <c r="M53" s="2">
        <f t="shared" ca="1" si="8"/>
        <v>2.1604938271604806E-6</v>
      </c>
    </row>
    <row r="54" spans="1:13" x14ac:dyDescent="0.3">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3">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3">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3">
      <c r="A57">
        <f ca="1">OFFSET(srt_raw!$A$1,(ROW()-1)*4+COLUMN()-1,0)</f>
        <v>57</v>
      </c>
      <c r="B57" t="str">
        <f ca="1">OFFSET(srt_raw!$A$1,(ROW()-1)*4+COLUMN()-1,0)</f>
        <v>00:02:59,040 --&gt; 00:03:02,280</v>
      </c>
      <c r="C57" t="str">
        <f ca="1">OFFSET(srt_raw!$A$1,(ROW()-1)*4+COLUMN()-1,0)</f>
        <v>有B1等于B1。</v>
      </c>
      <c r="D57" t="str">
        <f t="shared" ca="1" si="0"/>
        <v>00:02:59,040</v>
      </c>
      <c r="E57" t="str">
        <f t="shared" ca="1" si="1"/>
        <v>00:03:02,280</v>
      </c>
      <c r="F57" s="5" t="str">
        <f t="shared" ca="1" si="2"/>
        <v>00:02:59.040</v>
      </c>
      <c r="G57" s="1" t="str">
        <f t="shared" ca="1" si="3"/>
        <v>00:03:02.280</v>
      </c>
      <c r="H57" s="2">
        <f t="shared" ca="1" si="4"/>
        <v>3.7499999999999773E-5</v>
      </c>
      <c r="I57">
        <f t="shared" ca="1" si="5"/>
        <v>8</v>
      </c>
      <c r="J57" s="2">
        <f t="shared" ca="1" si="6"/>
        <v>4.6874999999999716E-6</v>
      </c>
      <c r="K57" t="e">
        <f ca="1">MATCH(ROW(),sub!D:D,0)</f>
        <v>#N/A</v>
      </c>
      <c r="L57" t="b">
        <f t="shared" ca="1" si="7"/>
        <v>0</v>
      </c>
      <c r="M57" s="2">
        <f t="shared" ca="1" si="8"/>
        <v>0</v>
      </c>
    </row>
    <row r="58" spans="1:13" x14ac:dyDescent="0.3">
      <c r="A58">
        <f ca="1">OFFSET(srt_raw!$A$1,(ROW()-1)*4+COLUMN()-1,0)</f>
        <v>58</v>
      </c>
      <c r="B58" t="str">
        <f ca="1">OFFSET(srt_raw!$A$1,(ROW()-1)*4+COLUMN()-1,0)</f>
        <v>00:03:02,280 --&gt; 00:03:08,640</v>
      </c>
      <c r="C58" t="str">
        <f ca="1">OFFSET(srt_raw!$A$1,(ROW()-1)*4+COLUMN()-1,0)</f>
        <v>接下来我们来看第六个灯L6等于B1加B6加B7等于B1加B1</v>
      </c>
      <c r="D58" t="str">
        <f t="shared" ca="1" si="0"/>
        <v>00:03:02,280</v>
      </c>
      <c r="E58" t="str">
        <f t="shared" ca="1" si="1"/>
        <v>00:03:08,640</v>
      </c>
      <c r="F58" s="5" t="str">
        <f t="shared" ca="1" si="2"/>
        <v>00:03:02.280</v>
      </c>
      <c r="G58" s="1" t="str">
        <f t="shared" ca="1" si="3"/>
        <v>00:03:08.640</v>
      </c>
      <c r="H58" s="2">
        <f t="shared" ca="1" si="4"/>
        <v>7.3611111111111099E-5</v>
      </c>
      <c r="I58">
        <f t="shared" ca="1" si="5"/>
        <v>30</v>
      </c>
      <c r="J58" s="2">
        <f t="shared" ca="1" si="6"/>
        <v>2.4537037037037034E-6</v>
      </c>
      <c r="K58">
        <f ca="1">MATCH(ROW(),sub!D:D,0)</f>
        <v>20</v>
      </c>
      <c r="L58" t="b">
        <f t="shared" ca="1" si="7"/>
        <v>1</v>
      </c>
      <c r="M58" s="2">
        <f t="shared" ca="1" si="8"/>
        <v>2.4537037037037034E-6</v>
      </c>
    </row>
    <row r="59" spans="1:13" x14ac:dyDescent="0.3">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3">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3">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3">
      <c r="A62">
        <f ca="1">OFFSET(srt_raw!$A$1,(ROW()-1)*4+COLUMN()-1,0)</f>
        <v>62</v>
      </c>
      <c r="B62" t="str">
        <f ca="1">OFFSET(srt_raw!$A$1,(ROW()-1)*4+COLUMN()-1,0)</f>
        <v>00:03:21,680 --&gt; 00:03:26,240</v>
      </c>
      <c r="C62" t="str">
        <f ca="1">OFFSET(srt_raw!$A$1,(ROW()-1)*4+COLUMN()-1,0)</f>
        <v>加B2加B3加非B2加B3加B4等于非B4。</v>
      </c>
      <c r="D62" t="str">
        <f t="shared" ca="1" si="0"/>
        <v>00:03:21,680</v>
      </c>
      <c r="E62" t="str">
        <f t="shared" ca="1" si="1"/>
        <v>00:03:26,240</v>
      </c>
      <c r="F62" s="5" t="str">
        <f t="shared" ca="1" si="2"/>
        <v>00:03:21.680</v>
      </c>
      <c r="G62" s="1" t="str">
        <f t="shared" ca="1" si="3"/>
        <v>00:03:26.240</v>
      </c>
      <c r="H62" s="2">
        <f t="shared" ca="1" si="4"/>
        <v>5.2777777777777892E-5</v>
      </c>
      <c r="I62">
        <f t="shared" ca="1" si="5"/>
        <v>22</v>
      </c>
      <c r="J62" s="2">
        <f t="shared" ca="1" si="6"/>
        <v>2.3989898989899043E-6</v>
      </c>
      <c r="K62" t="e">
        <f ca="1">MATCH(ROW(),sub!D:D,0)</f>
        <v>#N/A</v>
      </c>
      <c r="L62" t="b">
        <f t="shared" ca="1" si="7"/>
        <v>0</v>
      </c>
      <c r="M62" s="2">
        <f t="shared" ca="1" si="8"/>
        <v>0</v>
      </c>
    </row>
    <row r="63" spans="1:13" x14ac:dyDescent="0.3">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3">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3">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3">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3">
      <c r="A67">
        <f ca="1">OFFSET(srt_raw!$A$1,(ROW()-1)*4+COLUMN()-1,0)</f>
        <v>67</v>
      </c>
      <c r="B67" t="str">
        <f ca="1">OFFSET(srt_raw!$A$1,(ROW()-1)*4+COLUMN()-1,0)</f>
        <v>00:03:41,280 --&gt; 00:03:43,800</v>
      </c>
      <c r="C67" t="str">
        <f ca="1">OFFSET(srt_raw!$A$1,(ROW()-1)*4+COLUMN()-1,0)</f>
        <v>则按钮和灯可写为以上公式。</v>
      </c>
      <c r="D67" t="str">
        <f t="shared" ca="1" si="9"/>
        <v>00:03:41,280</v>
      </c>
      <c r="E67" t="str">
        <f t="shared" ca="1" si="10"/>
        <v>00:03:43,800</v>
      </c>
      <c r="F67" s="5" t="str">
        <f t="shared" ca="1" si="11"/>
        <v>00:03:41.280</v>
      </c>
      <c r="G67" s="1" t="str">
        <f t="shared" ca="1" si="12"/>
        <v>00:03:43.800</v>
      </c>
      <c r="H67" s="2">
        <f t="shared" ca="1" si="13"/>
        <v>2.916666666666649E-5</v>
      </c>
      <c r="I67">
        <f t="shared" ca="1" si="14"/>
        <v>13</v>
      </c>
      <c r="J67" s="2">
        <f t="shared" ca="1" si="15"/>
        <v>2.2435897435897299E-6</v>
      </c>
      <c r="K67" t="e">
        <f ca="1">MATCH(ROW(),sub!D:D,0)</f>
        <v>#N/A</v>
      </c>
      <c r="L67" t="b">
        <f t="shared" ca="1" si="16"/>
        <v>1</v>
      </c>
      <c r="M67" s="2">
        <f t="shared" ca="1" si="17"/>
        <v>2.2435897435897299E-6</v>
      </c>
    </row>
    <row r="68" spans="1:13" x14ac:dyDescent="0.3">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3">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3">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3">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3">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3">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3">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3">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3">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3">
      <c r="A77">
        <f ca="1">OFFSET(srt_raw!$A$1,(ROW()-1)*4+COLUMN()-1,0)</f>
        <v>77</v>
      </c>
      <c r="B77" t="str">
        <f ca="1">OFFSET(srt_raw!$A$1,(ROW()-1)*4+COLUMN()-1,0)</f>
        <v>00:04:20,960 --&gt; 00:04:23,600</v>
      </c>
      <c r="C77" t="str">
        <f ca="1">OFFSET(srt_raw!$A$1,(ROW()-1)*4+COLUMN()-1,0)</f>
        <v>因此我们可以在公式中去除外，</v>
      </c>
      <c r="D77" t="str">
        <f t="shared" ca="1" si="9"/>
        <v>00:04:20,960</v>
      </c>
      <c r="E77" t="str">
        <f t="shared" ca="1" si="10"/>
        <v>00:04:23,600</v>
      </c>
      <c r="F77" s="5" t="str">
        <f t="shared" ca="1" si="11"/>
        <v>00:04:20.960</v>
      </c>
      <c r="G77" s="1" t="str">
        <f t="shared" ca="1" si="12"/>
        <v>00:04:23.600</v>
      </c>
      <c r="H77" s="2">
        <f t="shared" ca="1" si="13"/>
        <v>3.0555555555555804E-5</v>
      </c>
      <c r="I77">
        <f t="shared" ca="1" si="14"/>
        <v>14</v>
      </c>
      <c r="J77" s="2">
        <f t="shared" ca="1" si="15"/>
        <v>2.1825396825397002E-6</v>
      </c>
      <c r="K77">
        <f ca="1">MATCH(ROW(),sub!D:D,0)</f>
        <v>28</v>
      </c>
      <c r="L77" t="b">
        <f t="shared" ca="1" si="16"/>
        <v>1</v>
      </c>
      <c r="M77" s="2">
        <f t="shared" ca="1" si="17"/>
        <v>2.1825396825397002E-6</v>
      </c>
    </row>
    <row r="78" spans="1:13" x14ac:dyDescent="0.3">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3">
      <c r="A79">
        <f ca="1">OFFSET(srt_raw!$A$1,(ROW()-1)*4+COLUMN()-1,0)</f>
        <v>79</v>
      </c>
      <c r="B79" t="str">
        <f ca="1">OFFSET(srt_raw!$A$1,(ROW()-1)*4+COLUMN()-1,0)</f>
        <v>00:04:30,240 --&gt; 00:04:33,680</v>
      </c>
      <c r="C79" t="str">
        <f ca="1">OFFSET(srt_raw!$A$1,(ROW()-1)*4+COLUMN()-1,0)</f>
        <v>又因为后一行的按钮是前一行灯的翻转，</v>
      </c>
      <c r="D79" t="str">
        <f t="shared" ca="1" si="9"/>
        <v>00:04:30,240</v>
      </c>
      <c r="E79" t="str">
        <f t="shared" ca="1" si="10"/>
        <v>00:04:33,680</v>
      </c>
      <c r="F79" s="5" t="str">
        <f t="shared" ca="1" si="11"/>
        <v>00:04:30.240</v>
      </c>
      <c r="G79" s="1" t="str">
        <f t="shared" ca="1" si="12"/>
        <v>00:04:33.680</v>
      </c>
      <c r="H79" s="2">
        <f t="shared" ca="1" si="13"/>
        <v>3.9814814814814574E-5</v>
      </c>
      <c r="I79">
        <f t="shared" ca="1" si="14"/>
        <v>18</v>
      </c>
      <c r="J79" s="2">
        <f t="shared" ca="1" si="15"/>
        <v>2.2119341563785875E-6</v>
      </c>
      <c r="K79">
        <f ca="1">MATCH(ROW(),sub!D:D,0)</f>
        <v>29</v>
      </c>
      <c r="L79" t="b">
        <f t="shared" ca="1" si="16"/>
        <v>1</v>
      </c>
      <c r="M79" s="2">
        <f t="shared" ca="1" si="17"/>
        <v>2.2119341563785875E-6</v>
      </c>
    </row>
    <row r="80" spans="1:13" x14ac:dyDescent="0.3">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3">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3">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3">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3">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3">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3">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3">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3">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3">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3">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3">
      <c r="A91">
        <f ca="1">OFFSET(srt_raw!$A$1,(ROW()-1)*4+COLUMN()-1,0)</f>
        <v>91</v>
      </c>
      <c r="B91" t="str">
        <f ca="1">OFFSET(srt_raw!$A$1,(ROW()-1)*4+COLUMN()-1,0)</f>
        <v>00:05:10,480 --&gt; 00:05:12,320</v>
      </c>
      <c r="C91" t="str">
        <f ca="1">OFFSET(srt_raw!$A$1,(ROW()-1)*4+COLUMN()-1,0)</f>
        <v>因为最后一次推倒的是灯，</v>
      </c>
      <c r="D91" t="str">
        <f t="shared" ca="1" si="9"/>
        <v>00:05:10,480</v>
      </c>
      <c r="E91" t="str">
        <f t="shared" ca="1" si="10"/>
        <v>00:05:12,320</v>
      </c>
      <c r="F91" s="5" t="str">
        <f t="shared" ca="1" si="11"/>
        <v>00:05:10.480</v>
      </c>
      <c r="G91" s="1" t="str">
        <f t="shared" ca="1" si="12"/>
        <v>00:05:12.320</v>
      </c>
      <c r="H91" s="2">
        <f t="shared" ca="1" si="13"/>
        <v>2.1296296296295734E-5</v>
      </c>
      <c r="I91">
        <f t="shared" ca="1" si="14"/>
        <v>12</v>
      </c>
      <c r="J91" s="2">
        <f t="shared" ca="1" si="15"/>
        <v>1.7746913580246446E-6</v>
      </c>
      <c r="K91" t="e">
        <f ca="1">MATCH(ROW(),sub!D:D,0)</f>
        <v>#N/A</v>
      </c>
      <c r="L91" t="b">
        <f t="shared" ca="1" si="16"/>
        <v>1</v>
      </c>
      <c r="M91" s="2">
        <f t="shared" ca="1" si="17"/>
        <v>1.7746913580246446E-6</v>
      </c>
    </row>
    <row r="92" spans="1:13" x14ac:dyDescent="0.3">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3">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3">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3">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3">
      <c r="A96">
        <f ca="1">OFFSET(srt_raw!$A$1,(ROW()-1)*4+COLUMN()-1,0)</f>
        <v>96</v>
      </c>
      <c r="B96" t="str">
        <f ca="1">OFFSET(srt_raw!$A$1,(ROW()-1)*4+COLUMN()-1,0)</f>
        <v>00:05:19,960 --&gt; 00:05:22,720</v>
      </c>
      <c r="C96" t="str">
        <f ca="1">OFFSET(srt_raw!$A$1,(ROW()-1)*4+COLUMN()-1,0)</f>
        <v>写成公式外。</v>
      </c>
      <c r="D96" t="str">
        <f t="shared" ca="1" si="9"/>
        <v>00:05:19,960</v>
      </c>
      <c r="E96" t="str">
        <f t="shared" ca="1" si="10"/>
        <v>00:05:22,720</v>
      </c>
      <c r="F96" s="5" t="str">
        <f t="shared" ca="1" si="11"/>
        <v>00:05:19.960</v>
      </c>
      <c r="G96" s="1" t="str">
        <f t="shared" ca="1" si="12"/>
        <v>00:05:22.720</v>
      </c>
      <c r="H96" s="2">
        <f t="shared" ca="1" si="13"/>
        <v>3.1944444444445119E-5</v>
      </c>
      <c r="I96">
        <f t="shared" ca="1" si="14"/>
        <v>6</v>
      </c>
      <c r="J96" s="2">
        <f t="shared" ca="1" si="15"/>
        <v>5.3240740740741867E-6</v>
      </c>
      <c r="K96" t="e">
        <f ca="1">MATCH(ROW(),sub!D:D,0)</f>
        <v>#N/A</v>
      </c>
      <c r="L96" t="b">
        <f t="shared" ca="1" si="16"/>
        <v>0</v>
      </c>
      <c r="M96" s="2">
        <f t="shared" ca="1" si="17"/>
        <v>0</v>
      </c>
    </row>
    <row r="97" spans="1:13" x14ac:dyDescent="0.3">
      <c r="A97">
        <f ca="1">OFFSET(srt_raw!$A$1,(ROW()-1)*4+COLUMN()-1,0)</f>
        <v>97</v>
      </c>
      <c r="B97" t="str">
        <f ca="1">OFFSET(srt_raw!$A$1,(ROW()-1)*4+COLUMN()-1,0)</f>
        <v>00:05:22,720 --&gt; 00:05:24,880</v>
      </c>
      <c r="C97" t="str">
        <f ca="1">OFFSET(srt_raw!$A$1,(ROW()-1)*4+COLUMN()-1,0)</f>
        <v>即后一行的翻转是前一行，</v>
      </c>
      <c r="D97" t="str">
        <f t="shared" ca="1" si="9"/>
        <v>00:05:22,720</v>
      </c>
      <c r="E97" t="str">
        <f t="shared" ca="1" si="10"/>
        <v>00:05:24,880</v>
      </c>
      <c r="F97" s="5" t="str">
        <f t="shared" ca="1" si="11"/>
        <v>00:05:22.720</v>
      </c>
      <c r="G97" s="1" t="str">
        <f t="shared" ca="1" si="12"/>
        <v>00:05:24.880</v>
      </c>
      <c r="H97" s="2">
        <f t="shared" ca="1" si="13"/>
        <v>2.4999999999999415E-5</v>
      </c>
      <c r="I97">
        <f t="shared" ca="1" si="14"/>
        <v>12</v>
      </c>
      <c r="J97" s="2">
        <f t="shared" ca="1" si="15"/>
        <v>2.0833333333332847E-6</v>
      </c>
      <c r="K97">
        <f ca="1">MATCH(ROW(),sub!D:D,0)</f>
        <v>35</v>
      </c>
      <c r="L97" t="b">
        <f t="shared" ca="1" si="16"/>
        <v>1</v>
      </c>
      <c r="M97" s="2">
        <f t="shared" ca="1" si="17"/>
        <v>2.0833333333332847E-6</v>
      </c>
    </row>
    <row r="98" spans="1:13" x14ac:dyDescent="0.3">
      <c r="A98">
        <f ca="1">OFFSET(srt_raw!$A$1,(ROW()-1)*4+COLUMN()-1,0)</f>
        <v>98</v>
      </c>
      <c r="B98" t="str">
        <f ca="1">OFFSET(srt_raw!$A$1,(ROW()-1)*4+COLUMN()-1,0)</f>
        <v>00:05:24,880 --&gt; 00:05:29,160</v>
      </c>
      <c r="C98" t="str">
        <f ca="1">OFFSET(srt_raw!$A$1,(ROW()-1)*4+COLUMN()-1,0)</f>
        <v>左中右和上上行叠加后的翻转。</v>
      </c>
      <c r="D98" t="str">
        <f t="shared" ca="1" si="9"/>
        <v>00:05:24,880</v>
      </c>
      <c r="E98" t="str">
        <f t="shared" ca="1" si="10"/>
        <v>00:05:29,160</v>
      </c>
      <c r="F98" s="5" t="str">
        <f t="shared" ca="1" si="11"/>
        <v>00:05:24.880</v>
      </c>
      <c r="G98" s="1" t="str">
        <f t="shared" ca="1" si="12"/>
        <v>00:05:29.160</v>
      </c>
      <c r="H98" s="2">
        <f t="shared" ca="1" si="13"/>
        <v>4.9537037037037605E-5</v>
      </c>
      <c r="I98">
        <f t="shared" ca="1" si="14"/>
        <v>14</v>
      </c>
      <c r="J98" s="2">
        <f t="shared" ca="1" si="15"/>
        <v>3.538359788359829E-6</v>
      </c>
      <c r="K98" t="e">
        <f ca="1">MATCH(ROW(),sub!D:D,0)</f>
        <v>#N/A</v>
      </c>
      <c r="L98" t="b">
        <f t="shared" ca="1" si="16"/>
        <v>0</v>
      </c>
      <c r="M98" s="2">
        <f t="shared" ca="1" si="17"/>
        <v>0</v>
      </c>
    </row>
    <row r="99" spans="1:13" x14ac:dyDescent="0.3">
      <c r="A99">
        <f ca="1">OFFSET(srt_raw!$A$1,(ROW()-1)*4+COLUMN()-1,0)</f>
        <v>99</v>
      </c>
      <c r="B99" t="str">
        <f ca="1">OFFSET(srt_raw!$A$1,(ROW()-1)*4+COLUMN()-1,0)</f>
        <v>00:05:29,160 --&gt; 00:05:33,800</v>
      </c>
      <c r="C99" t="str">
        <f ca="1">OFFSET(srt_raw!$A$1,(ROW()-1)*4+COLUMN()-1,0)</f>
        <v>可以注意到这里的公式外和公式B的推导公式是类似的。</v>
      </c>
      <c r="D99" t="str">
        <f t="shared" ca="1" si="9"/>
        <v>00:05:29,160</v>
      </c>
      <c r="E99" t="str">
        <f t="shared" ca="1" si="10"/>
        <v>00:05:33,800</v>
      </c>
      <c r="F99" s="5" t="str">
        <f t="shared" ca="1" si="11"/>
        <v>00:05:29.160</v>
      </c>
      <c r="G99" s="1" t="str">
        <f t="shared" ca="1" si="12"/>
        <v>00:05:33.800</v>
      </c>
      <c r="H99" s="2">
        <f t="shared" ca="1" si="13"/>
        <v>5.3703703703703379E-5</v>
      </c>
      <c r="I99">
        <f t="shared" ca="1" si="14"/>
        <v>25</v>
      </c>
      <c r="J99" s="2">
        <f t="shared" ca="1" si="15"/>
        <v>2.148148148148135E-6</v>
      </c>
      <c r="K99">
        <f ca="1">MATCH(ROW(),sub!D:D,0)</f>
        <v>36</v>
      </c>
      <c r="L99" t="b">
        <f t="shared" ca="1" si="16"/>
        <v>1</v>
      </c>
      <c r="M99" s="2">
        <f t="shared" ca="1" si="17"/>
        <v>2.148148148148135E-6</v>
      </c>
    </row>
    <row r="100" spans="1:13" x14ac:dyDescent="0.3">
      <c r="A100">
        <f ca="1">OFFSET(srt_raw!$A$1,(ROW()-1)*4+COLUMN()-1,0)</f>
        <v>100</v>
      </c>
      <c r="B100" t="str">
        <f ca="1">OFFSET(srt_raw!$A$1,(ROW()-1)*4+COLUMN()-1,0)</f>
        <v>00:05:34,320 --&gt; 00:05:37,120</v>
      </c>
      <c r="C100" t="str">
        <f ca="1">OFFSET(srt_raw!$A$1,(ROW()-1)*4+COLUMN()-1,0)</f>
        <v>只不过Y是从0向量开始推导的，</v>
      </c>
      <c r="D100" t="str">
        <f t="shared" ca="1" si="9"/>
        <v>00:05:34,320</v>
      </c>
      <c r="E100" t="str">
        <f t="shared" ca="1" si="10"/>
        <v>00:05:37,120</v>
      </c>
      <c r="F100" s="5" t="str">
        <f t="shared" ca="1" si="11"/>
        <v>00:05:34.320</v>
      </c>
      <c r="G100" s="1" t="str">
        <f t="shared" ca="1" si="12"/>
        <v>00:05:37.120</v>
      </c>
      <c r="H100" s="2">
        <f t="shared" ca="1" si="13"/>
        <v>3.2407407407407645E-5</v>
      </c>
      <c r="I100">
        <f t="shared" ca="1" si="14"/>
        <v>15</v>
      </c>
      <c r="J100" s="2">
        <f t="shared" ca="1" si="15"/>
        <v>2.1604938271605098E-6</v>
      </c>
      <c r="K100" t="e">
        <f ca="1">MATCH(ROW(),sub!D:D,0)</f>
        <v>#N/A</v>
      </c>
      <c r="L100" t="b">
        <f t="shared" ca="1" si="16"/>
        <v>1</v>
      </c>
      <c r="M100" s="2">
        <f t="shared" ca="1" si="17"/>
        <v>2.1604938271605098E-6</v>
      </c>
    </row>
    <row r="101" spans="1:13" x14ac:dyDescent="0.3">
      <c r="A101">
        <f ca="1">OFFSET(srt_raw!$A$1,(ROW()-1)*4+COLUMN()-1,0)</f>
        <v>101</v>
      </c>
      <c r="B101" t="str">
        <f ca="1">OFFSET(srt_raw!$A$1,(ROW()-1)*4+COLUMN()-1,0)</f>
        <v>00:05:37,120 --&gt; 00:05:43,040</v>
      </c>
      <c r="C101" t="str">
        <f ca="1">OFFSET(srt_raw!$A$1,(ROW()-1)*4+COLUMN()-1,0)</f>
        <v>并且不能省略翻转符号非1使用0向量，</v>
      </c>
      <c r="D101" t="str">
        <f t="shared" ca="1" si="9"/>
        <v>00:05:37,120</v>
      </c>
      <c r="E101" t="str">
        <f t="shared" ca="1" si="10"/>
        <v>00:05:43,040</v>
      </c>
      <c r="F101" s="5" t="str">
        <f t="shared" ca="1" si="11"/>
        <v>00:05:37.120</v>
      </c>
      <c r="G101" s="1" t="str">
        <f t="shared" ca="1" si="12"/>
        <v>00:05:43.040</v>
      </c>
      <c r="H101" s="2">
        <f t="shared" ca="1" si="13"/>
        <v>6.8518518518518538E-5</v>
      </c>
      <c r="I101">
        <f t="shared" ca="1" si="14"/>
        <v>18</v>
      </c>
      <c r="J101" s="2">
        <f t="shared" ca="1" si="15"/>
        <v>3.8065843621399188E-6</v>
      </c>
      <c r="K101" t="e">
        <f ca="1">MATCH(ROW(),sub!D:D,0)</f>
        <v>#N/A</v>
      </c>
      <c r="L101" t="b">
        <f t="shared" ca="1" si="16"/>
        <v>0</v>
      </c>
      <c r="M101" s="2">
        <f t="shared" ca="1" si="17"/>
        <v>0</v>
      </c>
    </row>
    <row r="102" spans="1:13" x14ac:dyDescent="0.3">
      <c r="A102">
        <f ca="1">OFFSET(srt_raw!$A$1,(ROW()-1)*4+COLUMN()-1,0)</f>
        <v>102</v>
      </c>
      <c r="B102" t="str">
        <f ca="1">OFFSET(srt_raw!$A$1,(ROW()-1)*4+COLUMN()-1,0)</f>
        <v>00:05:43,040 --&gt; 00:05:46,360</v>
      </c>
      <c r="C102" t="str">
        <f ca="1">OFFSET(srt_raw!$A$1,(ROW()-1)*4+COLUMN()-1,0)</f>
        <v>第一次翻转发生在从1到2行的推导过程中，</v>
      </c>
      <c r="D102" t="str">
        <f t="shared" ca="1" si="9"/>
        <v>00:05:43,040</v>
      </c>
      <c r="E102" t="str">
        <f t="shared" ca="1" si="10"/>
        <v>00:05:46,360</v>
      </c>
      <c r="F102" s="5" t="str">
        <f t="shared" ca="1" si="11"/>
        <v>00:05:43.040</v>
      </c>
      <c r="G102" s="1" t="str">
        <f t="shared" ca="1" si="12"/>
        <v>00:05:46.360</v>
      </c>
      <c r="H102" s="2">
        <f t="shared" ca="1" si="13"/>
        <v>3.8425925925926127E-5</v>
      </c>
      <c r="I102">
        <f t="shared" ca="1" si="14"/>
        <v>20</v>
      </c>
      <c r="J102" s="2">
        <f t="shared" ca="1" si="15"/>
        <v>1.9212962962963064E-6</v>
      </c>
      <c r="K102">
        <f ca="1">MATCH(ROW(),sub!D:D,0)</f>
        <v>37</v>
      </c>
      <c r="L102" t="b">
        <f t="shared" ca="1" si="16"/>
        <v>1</v>
      </c>
      <c r="M102" s="2">
        <f t="shared" ca="1" si="17"/>
        <v>1.9212962962963064E-6</v>
      </c>
    </row>
    <row r="103" spans="1:13" x14ac:dyDescent="0.3">
      <c r="A103">
        <f ca="1">OFFSET(srt_raw!$A$1,(ROW()-1)*4+COLUMN()-1,0)</f>
        <v>103</v>
      </c>
      <c r="B103" t="str">
        <f ca="1">OFFSET(srt_raw!$A$1,(ROW()-1)*4+COLUMN()-1,0)</f>
        <v>00:05:46,360 --&gt; 00:05:48,520</v>
      </c>
      <c r="C103" t="str">
        <f ca="1">OFFSET(srt_raw!$A$1,(ROW()-1)*4+COLUMN()-1,0)</f>
        <v>在此之前没有发生过翻转，</v>
      </c>
      <c r="D103" t="str">
        <f t="shared" ca="1" si="9"/>
        <v>00:05:46,360</v>
      </c>
      <c r="E103" t="str">
        <f t="shared" ca="1" si="10"/>
        <v>00:05:48,520</v>
      </c>
      <c r="F103" s="5" t="str">
        <f t="shared" ca="1" si="11"/>
        <v>00:05:46.360</v>
      </c>
      <c r="G103" s="1" t="str">
        <f t="shared" ca="1" si="12"/>
        <v>00:05:48.520</v>
      </c>
      <c r="H103" s="2">
        <f t="shared" ca="1" si="13"/>
        <v>2.4999999999998981E-5</v>
      </c>
      <c r="I103">
        <f t="shared" ca="1" si="14"/>
        <v>12</v>
      </c>
      <c r="J103" s="2">
        <f t="shared" ca="1" si="15"/>
        <v>2.0833333333332483E-6</v>
      </c>
      <c r="K103" t="e">
        <f ca="1">MATCH(ROW(),sub!D:D,0)</f>
        <v>#N/A</v>
      </c>
      <c r="L103" t="b">
        <f t="shared" ca="1" si="16"/>
        <v>1</v>
      </c>
      <c r="M103" s="2">
        <f t="shared" ca="1" si="17"/>
        <v>2.0833333333332483E-6</v>
      </c>
    </row>
    <row r="104" spans="1:13" x14ac:dyDescent="0.3">
      <c r="A104">
        <f ca="1">OFFSET(srt_raw!$A$1,(ROW()-1)*4+COLUMN()-1,0)</f>
        <v>104</v>
      </c>
      <c r="B104" t="str">
        <f ca="1">OFFSET(srt_raw!$A$1,(ROW()-1)*4+COLUMN()-1,0)</f>
        <v>00:05:48,720 --&gt; 00:05:53,080</v>
      </c>
      <c r="C104" t="str">
        <f ca="1">OFFSET(srt_raw!$A$1,(ROW()-1)*4+COLUMN()-1,0)</f>
        <v>因此Y的第一行是全0，</v>
      </c>
      <c r="D104" t="str">
        <f t="shared" ca="1" si="9"/>
        <v>00:05:48,720</v>
      </c>
      <c r="E104" t="str">
        <f t="shared" ca="1" si="10"/>
        <v>00:05:53,080</v>
      </c>
      <c r="F104" s="5" t="str">
        <f t="shared" ca="1" si="11"/>
        <v>00:05:48.720</v>
      </c>
      <c r="G104" s="1" t="str">
        <f t="shared" ca="1" si="12"/>
        <v>00:05:53.080</v>
      </c>
      <c r="H104" s="2">
        <f t="shared" ca="1" si="13"/>
        <v>5.0462962962962224E-5</v>
      </c>
      <c r="I104">
        <f t="shared" ca="1" si="14"/>
        <v>11</v>
      </c>
      <c r="J104" s="2">
        <f t="shared" ca="1" si="15"/>
        <v>4.5875420875420202E-6</v>
      </c>
      <c r="K104" t="e">
        <f ca="1">MATCH(ROW(),sub!D:D,0)</f>
        <v>#N/A</v>
      </c>
      <c r="L104" t="b">
        <f t="shared" ca="1" si="16"/>
        <v>0</v>
      </c>
      <c r="M104" s="2">
        <f t="shared" ca="1" si="17"/>
        <v>0</v>
      </c>
    </row>
    <row r="105" spans="1:13" x14ac:dyDescent="0.3">
      <c r="A105">
        <f ca="1">OFFSET(srt_raw!$A$1,(ROW()-1)*4+COLUMN()-1,0)</f>
        <v>105</v>
      </c>
      <c r="B105" t="str">
        <f ca="1">OFFSET(srt_raw!$A$1,(ROW()-1)*4+COLUMN()-1,0)</f>
        <v>00:05:53,080 --&gt; 00:05:55,640</v>
      </c>
      <c r="C105" t="str">
        <f ca="1">OFFSET(srt_raw!$A$1,(ROW()-1)*4+COLUMN()-1,0)</f>
        <v>2翻转符号非必须存在，</v>
      </c>
      <c r="D105" t="str">
        <f t="shared" ca="1" si="9"/>
        <v>00:05:53,080</v>
      </c>
      <c r="E105" t="str">
        <f t="shared" ca="1" si="10"/>
        <v>00:05:55,640</v>
      </c>
      <c r="F105" s="5" t="str">
        <f t="shared" ca="1" si="11"/>
        <v>00:05:53.080</v>
      </c>
      <c r="G105" s="1" t="str">
        <f t="shared" ca="1" si="12"/>
        <v>00:05:55.640</v>
      </c>
      <c r="H105" s="2">
        <f t="shared" ca="1" si="13"/>
        <v>2.962962962962945E-5</v>
      </c>
      <c r="I105">
        <f t="shared" ca="1" si="14"/>
        <v>11</v>
      </c>
      <c r="J105" s="2">
        <f t="shared" ca="1" si="15"/>
        <v>2.6936026936026773E-6</v>
      </c>
      <c r="K105">
        <f ca="1">MATCH(ROW(),sub!D:D,0)</f>
        <v>38</v>
      </c>
      <c r="L105" t="b">
        <f t="shared" ca="1" si="16"/>
        <v>1</v>
      </c>
      <c r="M105" s="2">
        <f t="shared" ca="1" si="17"/>
        <v>2.6936026936026773E-6</v>
      </c>
    </row>
    <row r="106" spans="1:13" x14ac:dyDescent="0.3">
      <c r="A106">
        <f ca="1">OFFSET(srt_raw!$A$1,(ROW()-1)*4+COLUMN()-1,0)</f>
        <v>106</v>
      </c>
      <c r="B106" t="str">
        <f ca="1">OFFSET(srt_raw!$A$1,(ROW()-1)*4+COLUMN()-1,0)</f>
        <v>00:05:55,640 --&gt; 00:05:57,360</v>
      </c>
      <c r="C106" t="str">
        <f ca="1">OFFSET(srt_raw!$A$1,(ROW()-1)*4+COLUMN()-1,0)</f>
        <v>每次推导都需要翻转，</v>
      </c>
      <c r="D106" t="str">
        <f t="shared" ca="1" si="9"/>
        <v>00:05:55,640</v>
      </c>
      <c r="E106" t="str">
        <f t="shared" ca="1" si="10"/>
        <v>00:05:57,360</v>
      </c>
      <c r="F106" s="5" t="str">
        <f t="shared" ca="1" si="11"/>
        <v>00:05:55.640</v>
      </c>
      <c r="G106" s="1" t="str">
        <f t="shared" ca="1" si="12"/>
        <v>00:05:57.360</v>
      </c>
      <c r="H106" s="2">
        <f t="shared" ca="1" si="13"/>
        <v>1.9907407407407721E-5</v>
      </c>
      <c r="I106">
        <f t="shared" ca="1" si="14"/>
        <v>10</v>
      </c>
      <c r="J106" s="2">
        <f t="shared" ca="1" si="15"/>
        <v>1.9907407407407721E-6</v>
      </c>
      <c r="K106" t="e">
        <f ca="1">MATCH(ROW(),sub!D:D,0)</f>
        <v>#N/A</v>
      </c>
      <c r="L106" t="b">
        <f t="shared" ca="1" si="16"/>
        <v>1</v>
      </c>
      <c r="M106" s="2">
        <f t="shared" ca="1" si="17"/>
        <v>1.9907407407407721E-6</v>
      </c>
    </row>
    <row r="107" spans="1:13" x14ac:dyDescent="0.3">
      <c r="A107">
        <f ca="1">OFFSET(srt_raw!$A$1,(ROW()-1)*4+COLUMN()-1,0)</f>
        <v>107</v>
      </c>
      <c r="B107" t="str">
        <f ca="1">OFFSET(srt_raw!$A$1,(ROW()-1)*4+COLUMN()-1,0)</f>
        <v>00:05:57,360 --&gt; 00:05:59,160</v>
      </c>
      <c r="C107" t="str">
        <f ca="1">OFFSET(srt_raw!$A$1,(ROW()-1)*4+COLUMN()-1,0)</f>
        <v>因此不可省略，</v>
      </c>
      <c r="D107" t="str">
        <f t="shared" ca="1" si="9"/>
        <v>00:05:57,360</v>
      </c>
      <c r="E107" t="str">
        <f t="shared" ca="1" si="10"/>
        <v>00:05:59,160</v>
      </c>
      <c r="F107" s="5" t="str">
        <f t="shared" ca="1" si="11"/>
        <v>00:05:57.360</v>
      </c>
      <c r="G107" s="1" t="str">
        <f t="shared" ca="1" si="12"/>
        <v>00:05:59.160</v>
      </c>
      <c r="H107" s="2">
        <f t="shared" ca="1" si="13"/>
        <v>2.0833333333332774E-5</v>
      </c>
      <c r="I107">
        <f t="shared" ca="1" si="14"/>
        <v>7</v>
      </c>
      <c r="J107" s="2">
        <f t="shared" ca="1" si="15"/>
        <v>2.9761904761903962E-6</v>
      </c>
      <c r="K107" t="e">
        <f ca="1">MATCH(ROW(),sub!D:D,0)</f>
        <v>#N/A</v>
      </c>
      <c r="L107" t="b">
        <f t="shared" ca="1" si="16"/>
        <v>1</v>
      </c>
      <c r="M107" s="2">
        <f t="shared" ca="1" si="17"/>
        <v>2.9761904761903962E-6</v>
      </c>
    </row>
    <row r="108" spans="1:13" x14ac:dyDescent="0.3">
      <c r="A108">
        <f ca="1">OFFSET(srt_raw!$A$1,(ROW()-1)*4+COLUMN()-1,0)</f>
        <v>108</v>
      </c>
      <c r="B108" t="str">
        <f ca="1">OFFSET(srt_raw!$A$1,(ROW()-1)*4+COLUMN()-1,0)</f>
        <v>00:05:59,160 --&gt; 00:06:01,440</v>
      </c>
      <c r="C108" t="str">
        <f ca="1">OFFSET(srt_raw!$A$1,(ROW()-1)*4+COLUMN()-1,0)</f>
        <v>而前者将这个翻转取出来了，</v>
      </c>
      <c r="D108" t="str">
        <f t="shared" ca="1" si="9"/>
        <v>00:05:59,160</v>
      </c>
      <c r="E108" t="str">
        <f t="shared" ca="1" si="10"/>
        <v>00:06:01,440</v>
      </c>
      <c r="F108" s="5" t="str">
        <f t="shared" ca="1" si="11"/>
        <v>00:05:59.160</v>
      </c>
      <c r="G108" s="1" t="str">
        <f t="shared" ca="1" si="12"/>
        <v>00:06:01.440</v>
      </c>
      <c r="H108" s="2">
        <f t="shared" ca="1" si="13"/>
        <v>2.6388888888889163E-5</v>
      </c>
      <c r="I108">
        <f t="shared" ca="1" si="14"/>
        <v>13</v>
      </c>
      <c r="J108" s="2">
        <f t="shared" ca="1" si="15"/>
        <v>2.0299145299145511E-6</v>
      </c>
      <c r="K108" t="e">
        <f ca="1">MATCH(ROW(),sub!D:D,0)</f>
        <v>#N/A</v>
      </c>
      <c r="L108" t="b">
        <f t="shared" ca="1" si="16"/>
        <v>1</v>
      </c>
      <c r="M108" s="2">
        <f t="shared" ca="1" si="17"/>
        <v>2.0299145299145511E-6</v>
      </c>
    </row>
    <row r="109" spans="1:13" x14ac:dyDescent="0.3">
      <c r="A109">
        <f ca="1">OFFSET(srt_raw!$A$1,(ROW()-1)*4+COLUMN()-1,0)</f>
        <v>109</v>
      </c>
      <c r="B109" t="str">
        <f ca="1">OFFSET(srt_raw!$A$1,(ROW()-1)*4+COLUMN()-1,0)</f>
        <v>00:06:01,440 --&gt; 00:06:03,320</v>
      </c>
      <c r="C109" t="str">
        <f ca="1">OFFSET(srt_raw!$A$1,(ROW()-1)*4+COLUMN()-1,0)</f>
        <v>因此不用翻转符号非。</v>
      </c>
      <c r="D109" t="str">
        <f t="shared" ca="1" si="9"/>
        <v>00:06:01,440</v>
      </c>
      <c r="E109" t="str">
        <f t="shared" ca="1" si="10"/>
        <v>00:06:03,320</v>
      </c>
      <c r="F109" s="5" t="str">
        <f t="shared" ca="1" si="11"/>
        <v>00:06:01.440</v>
      </c>
      <c r="G109" s="1" t="str">
        <f t="shared" ca="1" si="12"/>
        <v>00:06:03.320</v>
      </c>
      <c r="H109" s="2">
        <f t="shared" ca="1" si="13"/>
        <v>2.1759259259259561E-5</v>
      </c>
      <c r="I109">
        <f t="shared" ca="1" si="14"/>
        <v>10</v>
      </c>
      <c r="J109" s="2">
        <f t="shared" ca="1" si="15"/>
        <v>2.1759259259259562E-6</v>
      </c>
      <c r="K109" t="e">
        <f ca="1">MATCH(ROW(),sub!D:D,0)</f>
        <v>#N/A</v>
      </c>
      <c r="L109" t="b">
        <f t="shared" ca="1" si="16"/>
        <v>0</v>
      </c>
      <c r="M109" s="2">
        <f t="shared" ca="1" si="17"/>
        <v>0</v>
      </c>
    </row>
    <row r="110" spans="1:13" x14ac:dyDescent="0.3">
      <c r="A110">
        <f ca="1">OFFSET(srt_raw!$A$1,(ROW()-1)*4+COLUMN()-1,0)</f>
        <v>110</v>
      </c>
      <c r="B110" t="str">
        <f ca="1">OFFSET(srt_raw!$A$1,(ROW()-1)*4+COLUMN()-1,0)</f>
        <v>00:06:05,120 --&gt; 00:06:07,360</v>
      </c>
      <c r="C110" t="str">
        <f ca="1">OFFSET(srt_raw!$A$1,(ROW()-1)*4+COLUMN()-1,0)</f>
        <v>三不使用X而使用Y，</v>
      </c>
      <c r="D110" t="str">
        <f t="shared" ca="1" si="9"/>
        <v>00:06:05,120</v>
      </c>
      <c r="E110" t="str">
        <f t="shared" ca="1" si="10"/>
        <v>00:06:07,360</v>
      </c>
      <c r="F110" s="5" t="str">
        <f t="shared" ca="1" si="11"/>
        <v>00:06:05.120</v>
      </c>
      <c r="G110" s="1" t="str">
        <f t="shared" ca="1" si="12"/>
        <v>00:06:07.360</v>
      </c>
      <c r="H110" s="2">
        <f t="shared" ca="1" si="13"/>
        <v>2.5925925925925769E-5</v>
      </c>
      <c r="I110">
        <f t="shared" ca="1" si="14"/>
        <v>10</v>
      </c>
      <c r="J110" s="2">
        <f t="shared" ca="1" si="15"/>
        <v>2.5925925925925768E-6</v>
      </c>
      <c r="K110">
        <f ca="1">MATCH(ROW(),sub!D:D,0)</f>
        <v>39</v>
      </c>
      <c r="L110" t="b">
        <f t="shared" ca="1" si="16"/>
        <v>1</v>
      </c>
      <c r="M110" s="2">
        <f t="shared" ca="1" si="17"/>
        <v>2.5925925925925768E-6</v>
      </c>
    </row>
    <row r="111" spans="1:13" x14ac:dyDescent="0.3">
      <c r="A111">
        <f ca="1">OFFSET(srt_raw!$A$1,(ROW()-1)*4+COLUMN()-1,0)</f>
        <v>111</v>
      </c>
      <c r="B111" t="str">
        <f ca="1">OFFSET(srt_raw!$A$1,(ROW()-1)*4+COLUMN()-1,0)</f>
        <v>00:06:08,000 --&gt; 00:06:11,520</v>
      </c>
      <c r="C111" t="str">
        <f ca="1">OFFSET(srt_raw!$A$1,(ROW()-1)*4+COLUMN()-1,0)</f>
        <v>翻转是前面所有按钮的翻转叠加后提取出来的，</v>
      </c>
      <c r="D111" t="str">
        <f t="shared" ca="1" si="9"/>
        <v>00:06:08,000</v>
      </c>
      <c r="E111" t="str">
        <f t="shared" ca="1" si="10"/>
        <v>00:06:11,520</v>
      </c>
      <c r="F111" s="5" t="str">
        <f t="shared" ca="1" si="11"/>
        <v>00:06:08.000</v>
      </c>
      <c r="G111" s="1" t="str">
        <f t="shared" ca="1" si="12"/>
        <v>00:06:11.520</v>
      </c>
      <c r="H111" s="2">
        <f t="shared" ca="1" si="13"/>
        <v>4.0740740740740494E-5</v>
      </c>
      <c r="I111">
        <f t="shared" ca="1" si="14"/>
        <v>21</v>
      </c>
      <c r="J111" s="2">
        <f t="shared" ca="1" si="15"/>
        <v>1.9400352733685949E-6</v>
      </c>
      <c r="K111" t="e">
        <f ca="1">MATCH(ROW(),sub!D:D,0)</f>
        <v>#N/A</v>
      </c>
      <c r="L111" t="b">
        <f t="shared" ca="1" si="16"/>
        <v>1</v>
      </c>
      <c r="M111" s="2">
        <f t="shared" ca="1" si="17"/>
        <v>1.9400352733685949E-6</v>
      </c>
    </row>
    <row r="112" spans="1:13" x14ac:dyDescent="0.3">
      <c r="A112">
        <f ca="1">OFFSET(srt_raw!$A$1,(ROW()-1)*4+COLUMN()-1,0)</f>
        <v>112</v>
      </c>
      <c r="B112" t="str">
        <f ca="1">OFFSET(srt_raw!$A$1,(ROW()-1)*4+COLUMN()-1,0)</f>
        <v>00:06:11,520 --&gt; 00:06:13,480</v>
      </c>
      <c r="C112" t="str">
        <f ca="1">OFFSET(srt_raw!$A$1,(ROW()-1)*4+COLUMN()-1,0)</f>
        <v>代表的是灯的翻转，</v>
      </c>
      <c r="D112" t="str">
        <f t="shared" ca="1" si="9"/>
        <v>00:06:11,520</v>
      </c>
      <c r="E112" t="str">
        <f t="shared" ca="1" si="10"/>
        <v>00:06:13,480</v>
      </c>
      <c r="F112" s="5" t="str">
        <f t="shared" ca="1" si="11"/>
        <v>00:06:11.520</v>
      </c>
      <c r="G112" s="1" t="str">
        <f t="shared" ca="1" si="12"/>
        <v>00:06:13.480</v>
      </c>
      <c r="H112" s="2">
        <f t="shared" ca="1" si="13"/>
        <v>2.2685185185185482E-5</v>
      </c>
      <c r="I112">
        <f t="shared" ca="1" si="14"/>
        <v>9</v>
      </c>
      <c r="J112" s="2">
        <f t="shared" ca="1" si="15"/>
        <v>2.5205761316872757E-6</v>
      </c>
      <c r="K112" t="e">
        <f ca="1">MATCH(ROW(),sub!D:D,0)</f>
        <v>#N/A</v>
      </c>
      <c r="L112" t="b">
        <f t="shared" ca="1" si="16"/>
        <v>1</v>
      </c>
      <c r="M112" s="2">
        <f t="shared" ca="1" si="17"/>
        <v>2.5205761316872757E-6</v>
      </c>
    </row>
    <row r="113" spans="1:13" x14ac:dyDescent="0.3">
      <c r="A113">
        <f ca="1">OFFSET(srt_raw!$A$1,(ROW()-1)*4+COLUMN()-1,0)</f>
        <v>113</v>
      </c>
      <c r="B113" t="str">
        <f ca="1">OFFSET(srt_raw!$A$1,(ROW()-1)*4+COLUMN()-1,0)</f>
        <v>00:06:13,480 --&gt; 00:06:16,640</v>
      </c>
      <c r="C113" t="str">
        <f ca="1">OFFSET(srt_raw!$A$1,(ROW()-1)*4+COLUMN()-1,0)</f>
        <v>而不是某个按钮的翻转。</v>
      </c>
      <c r="D113" t="str">
        <f t="shared" ca="1" si="9"/>
        <v>00:06:13,480</v>
      </c>
      <c r="E113" t="str">
        <f t="shared" ca="1" si="10"/>
        <v>00:06:16,640</v>
      </c>
      <c r="F113" s="5" t="str">
        <f t="shared" ca="1" si="11"/>
        <v>00:06:13.480</v>
      </c>
      <c r="G113" s="1" t="str">
        <f t="shared" ca="1" si="12"/>
        <v>00:06:16.640</v>
      </c>
      <c r="H113" s="2">
        <f t="shared" ca="1" si="13"/>
        <v>3.6574074074073419E-5</v>
      </c>
      <c r="I113">
        <f t="shared" ca="1" si="14"/>
        <v>11</v>
      </c>
      <c r="J113" s="2">
        <f t="shared" ca="1" si="15"/>
        <v>3.3249158249157654E-6</v>
      </c>
      <c r="K113" t="e">
        <f ca="1">MATCH(ROW(),sub!D:D,0)</f>
        <v>#N/A</v>
      </c>
      <c r="L113" t="b">
        <f t="shared" ca="1" si="16"/>
        <v>0</v>
      </c>
      <c r="M113" s="2">
        <f t="shared" ca="1" si="17"/>
        <v>0</v>
      </c>
    </row>
    <row r="114" spans="1:13" x14ac:dyDescent="0.3">
      <c r="A114">
        <f ca="1">OFFSET(srt_raw!$A$1,(ROW()-1)*4+COLUMN()-1,0)</f>
        <v>114</v>
      </c>
      <c r="B114" t="str">
        <f ca="1">OFFSET(srt_raw!$A$1,(ROW()-1)*4+COLUMN()-1,0)</f>
        <v>00:06:16,640 --&gt; 00:06:17,280</v>
      </c>
      <c r="C114" t="str">
        <f ca="1">OFFSET(srt_raw!$A$1,(ROW()-1)*4+COLUMN()-1,0)</f>
        <v>事实上，</v>
      </c>
      <c r="D114" t="str">
        <f t="shared" ca="1" si="9"/>
        <v>00:06:16,640</v>
      </c>
      <c r="E114" t="str">
        <f t="shared" ca="1" si="10"/>
        <v>00:06:17,280</v>
      </c>
      <c r="F114" s="5" t="str">
        <f t="shared" ca="1" si="11"/>
        <v>00:06:16.640</v>
      </c>
      <c r="G114" s="1" t="str">
        <f t="shared" ca="1" si="12"/>
        <v>00:06:17.280</v>
      </c>
      <c r="H114" s="2">
        <f t="shared" ca="1" si="13"/>
        <v>7.4074074074073626E-6</v>
      </c>
      <c r="I114">
        <f t="shared" ca="1" si="14"/>
        <v>4</v>
      </c>
      <c r="J114" s="2">
        <f t="shared" ca="1" si="15"/>
        <v>1.8518518518518406E-6</v>
      </c>
      <c r="K114">
        <f ca="1">MATCH(ROW(),sub!D:D,0)</f>
        <v>40</v>
      </c>
      <c r="L114" t="b">
        <f t="shared" ca="1" si="16"/>
        <v>1</v>
      </c>
      <c r="M114" s="2">
        <f t="shared" ca="1" si="17"/>
        <v>1.8518518518518406E-6</v>
      </c>
    </row>
    <row r="115" spans="1:13" x14ac:dyDescent="0.3">
      <c r="A115">
        <f ca="1">OFFSET(srt_raw!$A$1,(ROW()-1)*4+COLUMN()-1,0)</f>
        <v>115</v>
      </c>
      <c r="B115" t="str">
        <f ca="1">OFFSET(srt_raw!$A$1,(ROW()-1)*4+COLUMN()-1,0)</f>
        <v>00:06:17,360 --&gt; 00:06:20,800</v>
      </c>
      <c r="C115" t="str">
        <f ca="1">OFFSET(srt_raw!$A$1,(ROW()-1)*4+COLUMN()-1,0)</f>
        <v>按钮矩阵也可以用另一种更直观的方法推得。</v>
      </c>
      <c r="D115" t="str">
        <f t="shared" ca="1" si="9"/>
        <v>00:06:17,360</v>
      </c>
      <c r="E115" t="str">
        <f t="shared" ca="1" si="10"/>
        <v>00:06:20,800</v>
      </c>
      <c r="F115" s="5" t="str">
        <f t="shared" ca="1" si="11"/>
        <v>00:06:17.360</v>
      </c>
      <c r="G115" s="1" t="str">
        <f t="shared" ca="1" si="12"/>
        <v>00:06:20.800</v>
      </c>
      <c r="H115" s="2">
        <f t="shared" ca="1" si="13"/>
        <v>3.9814814814814574E-5</v>
      </c>
      <c r="I115">
        <f t="shared" ca="1" si="14"/>
        <v>20</v>
      </c>
      <c r="J115" s="2">
        <f t="shared" ca="1" si="15"/>
        <v>1.9907407407407289E-6</v>
      </c>
      <c r="K115" t="e">
        <f ca="1">MATCH(ROW(),sub!D:D,0)</f>
        <v>#N/A</v>
      </c>
      <c r="L115" t="b">
        <f t="shared" ca="1" si="16"/>
        <v>0</v>
      </c>
      <c r="M115" s="2">
        <f t="shared" ca="1" si="17"/>
        <v>0</v>
      </c>
    </row>
    <row r="116" spans="1:13" x14ac:dyDescent="0.3">
      <c r="A116">
        <f ca="1">OFFSET(srt_raw!$A$1,(ROW()-1)*4+COLUMN()-1,0)</f>
        <v>116</v>
      </c>
      <c r="B116" t="str">
        <f ca="1">OFFSET(srt_raw!$A$1,(ROW()-1)*4+COLUMN()-1,0)</f>
        <v>00:06:22,400 --&gt; 00:06:23,040</v>
      </c>
      <c r="C116" t="str">
        <f ca="1">OFFSET(srt_raw!$A$1,(ROW()-1)*4+COLUMN()-1,0)</f>
        <v>首先，</v>
      </c>
      <c r="D116" t="str">
        <f t="shared" ca="1" si="9"/>
        <v>00:06:22,400</v>
      </c>
      <c r="E116" t="str">
        <f t="shared" ca="1" si="10"/>
        <v>00:06:23,040</v>
      </c>
      <c r="F116" s="5" t="str">
        <f t="shared" ca="1" si="11"/>
        <v>00:06:22.400</v>
      </c>
      <c r="G116" s="1" t="str">
        <f t="shared" ca="1" si="12"/>
        <v>00:06:23.040</v>
      </c>
      <c r="H116" s="2">
        <f t="shared" ca="1" si="13"/>
        <v>7.4074074074073626E-6</v>
      </c>
      <c r="I116">
        <f t="shared" ca="1" si="14"/>
        <v>3</v>
      </c>
      <c r="J116" s="2">
        <f t="shared" ca="1" si="15"/>
        <v>2.469135802469121E-6</v>
      </c>
      <c r="K116">
        <f ca="1">MATCH(ROW(),sub!D:D,0)</f>
        <v>41</v>
      </c>
      <c r="L116" t="b">
        <f t="shared" ca="1" si="16"/>
        <v>1</v>
      </c>
      <c r="M116" s="2">
        <f t="shared" ca="1" si="17"/>
        <v>2.469135802469121E-6</v>
      </c>
    </row>
    <row r="117" spans="1:13" x14ac:dyDescent="0.3">
      <c r="A117">
        <f ca="1">OFFSET(srt_raw!$A$1,(ROW()-1)*4+COLUMN()-1,0)</f>
        <v>117</v>
      </c>
      <c r="B117" t="str">
        <f ca="1">OFFSET(srt_raw!$A$1,(ROW()-1)*4+COLUMN()-1,0)</f>
        <v>00:06:23,040 --&gt; 00:06:24,400</v>
      </c>
      <c r="C117" t="str">
        <f ca="1">OFFSET(srt_raw!$A$1,(ROW()-1)*4+COLUMN()-1,0)</f>
        <v>在第一个矩阵中，</v>
      </c>
      <c r="D117" t="str">
        <f t="shared" ca="1" si="9"/>
        <v>00:06:23,040</v>
      </c>
      <c r="E117" t="str">
        <f t="shared" ca="1" si="10"/>
        <v>00:06:24,400</v>
      </c>
      <c r="F117" s="5" t="str">
        <f t="shared" ca="1" si="11"/>
        <v>00:06:23.040</v>
      </c>
      <c r="G117" s="1" t="str">
        <f t="shared" ca="1" si="12"/>
        <v>00:06:24.400</v>
      </c>
      <c r="H117" s="2">
        <f t="shared" ca="1" si="13"/>
        <v>1.5740740740740645E-5</v>
      </c>
      <c r="I117">
        <f t="shared" ca="1" si="14"/>
        <v>8</v>
      </c>
      <c r="J117" s="2">
        <f t="shared" ca="1" si="15"/>
        <v>1.9675925925925807E-6</v>
      </c>
      <c r="K117" t="e">
        <f ca="1">MATCH(ROW(),sub!D:D,0)</f>
        <v>#N/A</v>
      </c>
      <c r="L117" t="b">
        <f t="shared" ca="1" si="16"/>
        <v>1</v>
      </c>
      <c r="M117" s="2">
        <f t="shared" ca="1" si="17"/>
        <v>1.9675925925925807E-6</v>
      </c>
    </row>
    <row r="118" spans="1:13" x14ac:dyDescent="0.3">
      <c r="A118">
        <f ca="1">OFFSET(srt_raw!$A$1,(ROW()-1)*4+COLUMN()-1,0)</f>
        <v>118</v>
      </c>
      <c r="B118" t="str">
        <f ca="1">OFFSET(srt_raw!$A$1,(ROW()-1)*4+COLUMN()-1,0)</f>
        <v>00:06:24,400 --&gt; 00:06:27,040</v>
      </c>
      <c r="C118" t="str">
        <f ca="1">OFFSET(srt_raw!$A$1,(ROW()-1)*4+COLUMN()-1,0)</f>
        <v>我们点击第一行第一个按钮，</v>
      </c>
      <c r="D118" t="str">
        <f t="shared" ca="1" si="9"/>
        <v>00:06:24,400</v>
      </c>
      <c r="E118" t="str">
        <f t="shared" ca="1" si="10"/>
        <v>00:06:27,040</v>
      </c>
      <c r="F118" s="5" t="str">
        <f t="shared" ca="1" si="11"/>
        <v>00:06:24.400</v>
      </c>
      <c r="G118" s="1" t="str">
        <f t="shared" ca="1" si="12"/>
        <v>00:06:27.040</v>
      </c>
      <c r="H118" s="2">
        <f t="shared" ca="1" si="13"/>
        <v>3.0555555555556238E-5</v>
      </c>
      <c r="I118">
        <f t="shared" ca="1" si="14"/>
        <v>13</v>
      </c>
      <c r="J118" s="2">
        <f t="shared" ca="1" si="15"/>
        <v>2.350427350427403E-6</v>
      </c>
      <c r="K118" t="e">
        <f ca="1">MATCH(ROW(),sub!D:D,0)</f>
        <v>#N/A</v>
      </c>
      <c r="L118" t="b">
        <f t="shared" ca="1" si="16"/>
        <v>1</v>
      </c>
      <c r="M118" s="2">
        <f t="shared" ca="1" si="17"/>
        <v>2.350427350427403E-6</v>
      </c>
    </row>
    <row r="119" spans="1:13" x14ac:dyDescent="0.3">
      <c r="A119">
        <f ca="1">OFFSET(srt_raw!$A$1,(ROW()-1)*4+COLUMN()-1,0)</f>
        <v>119</v>
      </c>
      <c r="B119" t="str">
        <f ca="1">OFFSET(srt_raw!$A$1,(ROW()-1)*4+COLUMN()-1,0)</f>
        <v>00:06:27,040 --&gt; 00:06:29,040</v>
      </c>
      <c r="C119" t="str">
        <f ca="1">OFFSET(srt_raw!$A$1,(ROW()-1)*4+COLUMN()-1,0)</f>
        <v>然后点击第二行的按钮，</v>
      </c>
      <c r="D119" t="str">
        <f t="shared" ca="1" si="9"/>
        <v>00:06:27,040</v>
      </c>
      <c r="E119" t="str">
        <f t="shared" ca="1" si="10"/>
        <v>00:06:29,040</v>
      </c>
      <c r="F119" s="5" t="str">
        <f t="shared" ca="1" si="11"/>
        <v>00:06:27.040</v>
      </c>
      <c r="G119" s="1" t="str">
        <f t="shared" ca="1" si="12"/>
        <v>00:06:29.040</v>
      </c>
      <c r="H119" s="2">
        <f t="shared" ca="1" si="13"/>
        <v>2.3148148148148008E-5</v>
      </c>
      <c r="I119">
        <f t="shared" ca="1" si="14"/>
        <v>11</v>
      </c>
      <c r="J119" s="2">
        <f t="shared" ca="1" si="15"/>
        <v>2.1043771043770915E-6</v>
      </c>
      <c r="K119" t="e">
        <f ca="1">MATCH(ROW(),sub!D:D,0)</f>
        <v>#N/A</v>
      </c>
      <c r="L119" t="b">
        <f t="shared" ca="1" si="16"/>
        <v>1</v>
      </c>
      <c r="M119" s="2">
        <f t="shared" ca="1" si="17"/>
        <v>2.1043771043770915E-6</v>
      </c>
    </row>
    <row r="120" spans="1:13" x14ac:dyDescent="0.3">
      <c r="A120">
        <f ca="1">OFFSET(srt_raw!$A$1,(ROW()-1)*4+COLUMN()-1,0)</f>
        <v>120</v>
      </c>
      <c r="B120" t="str">
        <f ca="1">OFFSET(srt_raw!$A$1,(ROW()-1)*4+COLUMN()-1,0)</f>
        <v>00:06:29,120 --&gt; 00:06:30,760</v>
      </c>
      <c r="C120" t="str">
        <f ca="1">OFFSET(srt_raw!$A$1,(ROW()-1)*4+COLUMN()-1,0)</f>
        <v>尽量消去第一行的灯。</v>
      </c>
      <c r="D120" t="str">
        <f t="shared" ca="1" si="9"/>
        <v>00:06:29,120</v>
      </c>
      <c r="E120" t="str">
        <f t="shared" ca="1" si="10"/>
        <v>00:06:30,760</v>
      </c>
      <c r="F120" s="5" t="str">
        <f t="shared" ca="1" si="11"/>
        <v>00:06:29.120</v>
      </c>
      <c r="G120" s="1" t="str">
        <f t="shared" ca="1" si="12"/>
        <v>00:06:30.760</v>
      </c>
      <c r="H120" s="2">
        <f t="shared" ca="1" si="13"/>
        <v>1.89814814814818E-5</v>
      </c>
      <c r="I120">
        <f t="shared" ca="1" si="14"/>
        <v>10</v>
      </c>
      <c r="J120" s="2">
        <f t="shared" ca="1" si="15"/>
        <v>1.89814814814818E-6</v>
      </c>
      <c r="K120" t="e">
        <f ca="1">MATCH(ROW(),sub!D:D,0)</f>
        <v>#N/A</v>
      </c>
      <c r="L120" t="b">
        <f t="shared" ca="1" si="16"/>
        <v>0</v>
      </c>
      <c r="M120" s="2">
        <f t="shared" ca="1" si="17"/>
        <v>0</v>
      </c>
    </row>
    <row r="121" spans="1:13" x14ac:dyDescent="0.3">
      <c r="A121">
        <f ca="1">OFFSET(srt_raw!$A$1,(ROW()-1)*4+COLUMN()-1,0)</f>
        <v>121</v>
      </c>
      <c r="B121" t="str">
        <f ca="1">OFFSET(srt_raw!$A$1,(ROW()-1)*4+COLUMN()-1,0)</f>
        <v>00:06:32,320 --&gt; 00:06:35,640</v>
      </c>
      <c r="C121" t="str">
        <f ca="1">OFFSET(srt_raw!$A$1,(ROW()-1)*4+COLUMN()-1,0)</f>
        <v>接着按第三行按钮消去第二行的灯，</v>
      </c>
      <c r="D121" t="str">
        <f t="shared" ca="1" si="9"/>
        <v>00:06:32,320</v>
      </c>
      <c r="E121" t="str">
        <f t="shared" ca="1" si="10"/>
        <v>00:06:35,640</v>
      </c>
      <c r="F121" s="5" t="str">
        <f t="shared" ca="1" si="11"/>
        <v>00:06:32.320</v>
      </c>
      <c r="G121" s="1" t="str">
        <f t="shared" ca="1" si="12"/>
        <v>00:06:35.640</v>
      </c>
      <c r="H121" s="2">
        <f t="shared" ca="1" si="13"/>
        <v>3.842592592592526E-5</v>
      </c>
      <c r="I121">
        <f t="shared" ca="1" si="14"/>
        <v>16</v>
      </c>
      <c r="J121" s="2">
        <f t="shared" ca="1" si="15"/>
        <v>2.4016203703703287E-6</v>
      </c>
      <c r="K121">
        <f ca="1">MATCH(ROW(),sub!D:D,0)</f>
        <v>42</v>
      </c>
      <c r="L121" t="b">
        <f t="shared" ca="1" si="16"/>
        <v>1</v>
      </c>
      <c r="M121" s="2">
        <f t="shared" ca="1" si="17"/>
        <v>2.4016203703703287E-6</v>
      </c>
    </row>
    <row r="122" spans="1:13" x14ac:dyDescent="0.3">
      <c r="A122">
        <f ca="1">OFFSET(srt_raw!$A$1,(ROW()-1)*4+COLUMN()-1,0)</f>
        <v>122</v>
      </c>
      <c r="B122" t="str">
        <f ca="1">OFFSET(srt_raw!$A$1,(ROW()-1)*4+COLUMN()-1,0)</f>
        <v>00:06:35,640 --&gt; 00:06:37,760</v>
      </c>
      <c r="C122" t="str">
        <f ca="1">OFFSET(srt_raw!$A$1,(ROW()-1)*4+COLUMN()-1,0)</f>
        <v>不断递推直到最后一行。</v>
      </c>
      <c r="D122" t="str">
        <f t="shared" ca="1" si="9"/>
        <v>00:06:35,640</v>
      </c>
      <c r="E122" t="str">
        <f t="shared" ca="1" si="10"/>
        <v>00:06:37,760</v>
      </c>
      <c r="F122" s="5" t="str">
        <f t="shared" ca="1" si="11"/>
        <v>00:06:35.640</v>
      </c>
      <c r="G122" s="1" t="str">
        <f t="shared" ca="1" si="12"/>
        <v>00:06:37.760</v>
      </c>
      <c r="H122" s="2">
        <f t="shared" ca="1" si="13"/>
        <v>2.4537037037037322E-5</v>
      </c>
      <c r="I122">
        <f t="shared" ca="1" si="14"/>
        <v>11</v>
      </c>
      <c r="J122" s="2">
        <f t="shared" ca="1" si="15"/>
        <v>2.2306397306397566E-6</v>
      </c>
      <c r="K122" t="e">
        <f ca="1">MATCH(ROW(),sub!D:D,0)</f>
        <v>#N/A</v>
      </c>
      <c r="L122" t="b">
        <f t="shared" ca="1" si="16"/>
        <v>0</v>
      </c>
      <c r="M122" s="2">
        <f t="shared" ca="1" si="17"/>
        <v>0</v>
      </c>
    </row>
    <row r="123" spans="1:13" x14ac:dyDescent="0.3">
      <c r="A123">
        <f ca="1">OFFSET(srt_raw!$A$1,(ROW()-1)*4+COLUMN()-1,0)</f>
        <v>123</v>
      </c>
      <c r="B123" t="str">
        <f ca="1">OFFSET(srt_raw!$A$1,(ROW()-1)*4+COLUMN()-1,0)</f>
        <v>00:06:39,280 --&gt; 00:06:45,800</v>
      </c>
      <c r="C123" t="str">
        <f ca="1">OFFSET(srt_raw!$A$1,(ROW()-1)*4+COLUMN()-1,0)</f>
        <v>最终最后一行按钮和灯的状态和前面推得的矩阵是一样的。</v>
      </c>
      <c r="D123" t="str">
        <f t="shared" ca="1" si="9"/>
        <v>00:06:39,280</v>
      </c>
      <c r="E123" t="str">
        <f t="shared" ca="1" si="10"/>
        <v>00:06:45,800</v>
      </c>
      <c r="F123" s="5" t="str">
        <f t="shared" ca="1" si="11"/>
        <v>00:06:39.280</v>
      </c>
      <c r="G123" s="1" t="str">
        <f t="shared" ca="1" si="12"/>
        <v>00:06:45.800</v>
      </c>
      <c r="H123" s="2">
        <f t="shared" ca="1" si="13"/>
        <v>7.546296296296294E-5</v>
      </c>
      <c r="I123">
        <f t="shared" ca="1" si="14"/>
        <v>26</v>
      </c>
      <c r="J123" s="2">
        <f t="shared" ca="1" si="15"/>
        <v>2.9024216524216514E-6</v>
      </c>
      <c r="K123">
        <f ca="1">MATCH(ROW(),sub!D:D,0)</f>
        <v>43</v>
      </c>
      <c r="L123" t="b">
        <f t="shared" ca="1" si="16"/>
        <v>0</v>
      </c>
      <c r="M123" s="2">
        <f t="shared" ca="1" si="17"/>
        <v>0</v>
      </c>
    </row>
    <row r="124" spans="1:13" x14ac:dyDescent="0.3">
      <c r="A124">
        <f ca="1">OFFSET(srt_raw!$A$1,(ROW()-1)*4+COLUMN()-1,0)</f>
        <v>124</v>
      </c>
      <c r="B124" t="str">
        <f ca="1">OFFSET(srt_raw!$A$1,(ROW()-1)*4+COLUMN()-1,0)</f>
        <v>00:06:45,800 --&gt; 00:06:49,400</v>
      </c>
      <c r="C124" t="str">
        <f ca="1">OFFSET(srt_raw!$A$1,(ROW()-1)*4+COLUMN()-1,0)</f>
        <v>同样在第二个矩阵点击第一行第二个按钮，</v>
      </c>
      <c r="D124" t="str">
        <f t="shared" ca="1" si="9"/>
        <v>00:06:45,800</v>
      </c>
      <c r="E124" t="str">
        <f t="shared" ca="1" si="10"/>
        <v>00:06:49,400</v>
      </c>
      <c r="F124" s="5" t="str">
        <f t="shared" ca="1" si="11"/>
        <v>00:06:45.800</v>
      </c>
      <c r="G124" s="1" t="str">
        <f t="shared" ca="1" si="12"/>
        <v>00:06:49.400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3">
      <c r="A125">
        <f ca="1">OFFSET(srt_raw!$A$1,(ROW()-1)*4+COLUMN()-1,0)</f>
        <v>125</v>
      </c>
      <c r="B125" t="str">
        <f ca="1">OFFSET(srt_raw!$A$1,(ROW()-1)*4+COLUMN()-1,0)</f>
        <v>00:06:49,400 --&gt; 00:06:54,200</v>
      </c>
      <c r="C125" t="str">
        <f ca="1">OFFSET(srt_raw!$A$1,(ROW()-1)*4+COLUMN()-1,0)</f>
        <v>然后递推也可以得到第二个矩阵最后一行按钮和灯的状态。</v>
      </c>
      <c r="D125" t="str">
        <f t="shared" ca="1" si="9"/>
        <v>00:06:49,400</v>
      </c>
      <c r="E125" t="str">
        <f t="shared" ca="1" si="10"/>
        <v>00:06:54,200</v>
      </c>
      <c r="F125" s="5" t="str">
        <f t="shared" ca="1" si="11"/>
        <v>00:06:49.400</v>
      </c>
      <c r="G125" s="1" t="str">
        <f t="shared" ca="1" si="12"/>
        <v>00:06:54.200</v>
      </c>
      <c r="H125" s="2">
        <f t="shared" ca="1" si="13"/>
        <v>5.5555555555556087E-5</v>
      </c>
      <c r="I125">
        <f t="shared" ca="1" si="14"/>
        <v>26</v>
      </c>
      <c r="J125" s="2">
        <f t="shared" ca="1" si="15"/>
        <v>2.1367521367521572E-6</v>
      </c>
      <c r="K125" t="e">
        <f ca="1">MATCH(ROW(),sub!D:D,0)</f>
        <v>#N/A</v>
      </c>
      <c r="L125" t="b">
        <f t="shared" ca="1" si="16"/>
        <v>0</v>
      </c>
      <c r="M125" s="2">
        <f t="shared" ca="1" si="17"/>
        <v>0</v>
      </c>
    </row>
    <row r="126" spans="1:13" x14ac:dyDescent="0.3">
      <c r="A126">
        <f ca="1">OFFSET(srt_raw!$A$1,(ROW()-1)*4+COLUMN()-1,0)</f>
        <v>126</v>
      </c>
      <c r="B126" t="str">
        <f ca="1">OFFSET(srt_raw!$A$1,(ROW()-1)*4+COLUMN()-1,0)</f>
        <v>00:06:55,680 --&gt; 00:06:56,880</v>
      </c>
      <c r="C126" t="str">
        <f ca="1">OFFSET(srt_raw!$A$1,(ROW()-1)*4+COLUMN()-1,0)</f>
        <v>通过这个方法，</v>
      </c>
      <c r="D126" t="str">
        <f t="shared" ca="1" si="9"/>
        <v>00:06:55,680</v>
      </c>
      <c r="E126" t="str">
        <f t="shared" ca="1" si="10"/>
        <v>00:06:56,880</v>
      </c>
      <c r="F126" s="5" t="str">
        <f t="shared" ca="1" si="11"/>
        <v>00:06:55.680</v>
      </c>
      <c r="G126" s="1" t="str">
        <f t="shared" ca="1" si="12"/>
        <v>00:06:56.880</v>
      </c>
      <c r="H126" s="2">
        <f t="shared" ca="1" si="13"/>
        <v>1.3888888888888805E-5</v>
      </c>
      <c r="I126">
        <f t="shared" ca="1" si="14"/>
        <v>7</v>
      </c>
      <c r="J126" s="2">
        <f t="shared" ca="1" si="15"/>
        <v>1.9841269841269722E-6</v>
      </c>
      <c r="K126">
        <f ca="1">MATCH(ROW(),sub!D:D,0)</f>
        <v>45</v>
      </c>
      <c r="L126" t="b">
        <f t="shared" ca="1" si="16"/>
        <v>1</v>
      </c>
      <c r="M126" s="2">
        <f t="shared" ca="1" si="17"/>
        <v>1.9841269841269722E-6</v>
      </c>
    </row>
    <row r="127" spans="1:13" x14ac:dyDescent="0.3">
      <c r="A127">
        <f ca="1">OFFSET(srt_raw!$A$1,(ROW()-1)*4+COLUMN()-1,0)</f>
        <v>127</v>
      </c>
      <c r="B127" t="str">
        <f ca="1">OFFSET(srt_raw!$A$1,(ROW()-1)*4+COLUMN()-1,0)</f>
        <v>00:06:56,880 --&gt; 00:06:59,880</v>
      </c>
      <c r="C127" t="str">
        <f ca="1">OFFSET(srt_raw!$A$1,(ROW()-1)*4+COLUMN()-1,0)</f>
        <v>我们可以得到所有矩阵最后一行的状态。</v>
      </c>
      <c r="D127" t="str">
        <f t="shared" ca="1" si="9"/>
        <v>00:06:56,880</v>
      </c>
      <c r="E127" t="str">
        <f t="shared" ca="1" si="10"/>
        <v>00:06:59,880</v>
      </c>
      <c r="F127" s="5" t="str">
        <f t="shared" ca="1" si="11"/>
        <v>00:06:56.880</v>
      </c>
      <c r="G127" s="1" t="str">
        <f t="shared" ca="1" si="12"/>
        <v>00:06:59.880</v>
      </c>
      <c r="H127" s="2">
        <f t="shared" ca="1" si="13"/>
        <v>3.4722222222221578E-5</v>
      </c>
      <c r="I127">
        <f t="shared" ca="1" si="14"/>
        <v>18</v>
      </c>
      <c r="J127" s="2">
        <f t="shared" ca="1" si="15"/>
        <v>1.9290123456789764E-6</v>
      </c>
      <c r="K127" t="e">
        <f ca="1">MATCH(ROW(),sub!D:D,0)</f>
        <v>#N/A</v>
      </c>
      <c r="L127" t="b">
        <f t="shared" ca="1" si="16"/>
        <v>0</v>
      </c>
      <c r="M127" s="2">
        <f t="shared" ca="1" si="17"/>
        <v>0</v>
      </c>
    </row>
    <row r="128" spans="1:13" x14ac:dyDescent="0.3">
      <c r="A128">
        <f ca="1">OFFSET(srt_raw!$A$1,(ROW()-1)*4+COLUMN()-1,0)</f>
        <v>128</v>
      </c>
      <c r="B128" t="str">
        <f ca="1">OFFSET(srt_raw!$A$1,(ROW()-1)*4+COLUMN()-1,0)</f>
        <v>00:07:01,440 --&gt; 00:07:01,920</v>
      </c>
      <c r="C128" t="str">
        <f ca="1">OFFSET(srt_raw!$A$1,(ROW()-1)*4+COLUMN()-1,0)</f>
        <v>另外，</v>
      </c>
      <c r="D128" t="str">
        <f t="shared" ca="1" si="9"/>
        <v>00:07:01,440</v>
      </c>
      <c r="E128" t="str">
        <f t="shared" ca="1" si="10"/>
        <v>00:07:01,920</v>
      </c>
      <c r="F128" s="5" t="str">
        <f t="shared" ca="1" si="11"/>
        <v>00:07:01.440</v>
      </c>
      <c r="G128" s="1" t="str">
        <f t="shared" ca="1" si="12"/>
        <v>00:07:01.920</v>
      </c>
      <c r="H128" s="2">
        <f t="shared" ca="1" si="13"/>
        <v>5.5555555555555219E-6</v>
      </c>
      <c r="I128">
        <f t="shared" ca="1" si="14"/>
        <v>3</v>
      </c>
      <c r="J128" s="2">
        <f t="shared" ca="1" si="15"/>
        <v>1.8518518518518406E-6</v>
      </c>
      <c r="K128">
        <f ca="1">MATCH(ROW(),sub!D:D,0)</f>
        <v>46</v>
      </c>
      <c r="L128" t="b">
        <f t="shared" ca="1" si="16"/>
        <v>1</v>
      </c>
      <c r="M128" s="2">
        <f t="shared" ca="1" si="17"/>
        <v>1.8518518518518406E-6</v>
      </c>
    </row>
    <row r="129" spans="1:13" x14ac:dyDescent="0.3">
      <c r="A129">
        <f ca="1">OFFSET(srt_raw!$A$1,(ROW()-1)*4+COLUMN()-1,0)</f>
        <v>129</v>
      </c>
      <c r="B129" t="str">
        <f ca="1">OFFSET(srt_raw!$A$1,(ROW()-1)*4+COLUMN()-1,0)</f>
        <v>00:07:01,920 --&gt; 00:07:04,640</v>
      </c>
      <c r="C129" t="str">
        <f ca="1">OFFSET(srt_raw!$A$1,(ROW()-1)*4+COLUMN()-1,0)</f>
        <v>翻转向量也可以用相似的方法推得。</v>
      </c>
      <c r="D129" t="str">
        <f t="shared" ref="D129:D192" ca="1" si="18">LEFT(B129,12)</f>
        <v>00:07:01,920</v>
      </c>
      <c r="E129" t="str">
        <f t="shared" ref="E129:E192" ca="1" si="19">RIGHT(B129,12)</f>
        <v>00:07:04,640</v>
      </c>
      <c r="F129" s="5" t="str">
        <f t="shared" ref="F129:F192" ca="1" si="20">SUBSTITUTE(D129,",",".")</f>
        <v>00:07:01.920</v>
      </c>
      <c r="G129" s="1" t="str">
        <f t="shared" ref="G129:G192" ca="1" si="21">SUBSTITUTE(E129,",",".")</f>
        <v>00:07:04.640</v>
      </c>
      <c r="H129" s="2">
        <f t="shared" ref="H129:H192" ca="1" si="22">G129-F129</f>
        <v>3.1481481481481291E-5</v>
      </c>
      <c r="I129">
        <f t="shared" ref="I129:I192" ca="1" si="23">LEN(C129)</f>
        <v>16</v>
      </c>
      <c r="J129" s="2">
        <f t="shared" ref="J129:J192" ca="1" si="24">H129/I129</f>
        <v>1.9675925925925807E-6</v>
      </c>
      <c r="K129" t="e">
        <f ca="1">MATCH(ROW(),sub!D:D,0)</f>
        <v>#N/A</v>
      </c>
      <c r="L129" t="b">
        <f t="shared" ref="L129:L192" ca="1" si="25">ISERROR(K130)</f>
        <v>0</v>
      </c>
      <c r="M129" s="2">
        <f t="shared" ref="M129:M192" ca="1" si="26">IF(L129,J129,0)</f>
        <v>0</v>
      </c>
    </row>
    <row r="130" spans="1:13" x14ac:dyDescent="0.3">
      <c r="A130">
        <f ca="1">OFFSET(srt_raw!$A$1,(ROW()-1)*4+COLUMN()-1,0)</f>
        <v>130</v>
      </c>
      <c r="B130" t="str">
        <f ca="1">OFFSET(srt_raw!$A$1,(ROW()-1)*4+COLUMN()-1,0)</f>
        <v>00:07:06,240 --&gt; 00:07:08,320</v>
      </c>
      <c r="C130" t="str">
        <f ca="1">OFFSET(srt_raw!$A$1,(ROW()-1)*4+COLUMN()-1,0)</f>
        <v>我们把所有灯全部点亮，</v>
      </c>
      <c r="D130" t="str">
        <f t="shared" ca="1" si="18"/>
        <v>00:07:06,240</v>
      </c>
      <c r="E130" t="str">
        <f t="shared" ca="1" si="19"/>
        <v>00:07:08,320</v>
      </c>
      <c r="F130" s="5" t="str">
        <f t="shared" ca="1" si="20"/>
        <v>00:07:06.240</v>
      </c>
      <c r="G130" s="1" t="str">
        <f t="shared" ca="1" si="21"/>
        <v>00:07:08.320</v>
      </c>
      <c r="H130" s="2">
        <f t="shared" ca="1" si="22"/>
        <v>2.4074074074073061E-5</v>
      </c>
      <c r="I130">
        <f t="shared" ca="1" si="23"/>
        <v>11</v>
      </c>
      <c r="J130" s="2">
        <f t="shared" ca="1" si="24"/>
        <v>2.1885521885520964E-6</v>
      </c>
      <c r="K130">
        <f ca="1">MATCH(ROW(),sub!D:D,0)</f>
        <v>47</v>
      </c>
      <c r="L130" t="b">
        <f t="shared" ca="1" si="25"/>
        <v>1</v>
      </c>
      <c r="M130" s="2">
        <f t="shared" ca="1" si="26"/>
        <v>2.1885521885520964E-6</v>
      </c>
    </row>
    <row r="131" spans="1:13" x14ac:dyDescent="0.3">
      <c r="A131">
        <f ca="1">OFFSET(srt_raw!$A$1,(ROW()-1)*4+COLUMN()-1,0)</f>
        <v>131</v>
      </c>
      <c r="B131" t="str">
        <f ca="1">OFFSET(srt_raw!$A$1,(ROW()-1)*4+COLUMN()-1,0)</f>
        <v>00:07:08,320 --&gt; 00:07:11,600</v>
      </c>
      <c r="C131" t="str">
        <f ca="1">OFFSET(srt_raw!$A$1,(ROW()-1)*4+COLUMN()-1,0)</f>
        <v>然后用刚才的方法尝试把所有灯消去，</v>
      </c>
      <c r="D131" t="str">
        <f t="shared" ca="1" si="18"/>
        <v>00:07:08,320</v>
      </c>
      <c r="E131" t="str">
        <f t="shared" ca="1" si="19"/>
        <v>00:07:11,600</v>
      </c>
      <c r="F131" s="5" t="str">
        <f t="shared" ca="1" si="20"/>
        <v>00:07:08.320</v>
      </c>
      <c r="G131" s="1" t="str">
        <f t="shared" ca="1" si="21"/>
        <v>00:07:11.600</v>
      </c>
      <c r="H131" s="2">
        <f t="shared" ca="1" si="22"/>
        <v>3.7962962962963601E-5</v>
      </c>
      <c r="I131">
        <f t="shared" ca="1" si="23"/>
        <v>17</v>
      </c>
      <c r="J131" s="2">
        <f t="shared" ca="1" si="24"/>
        <v>2.2331154684096235E-6</v>
      </c>
      <c r="K131" t="e">
        <f ca="1">MATCH(ROW(),sub!D:D,0)</f>
        <v>#N/A</v>
      </c>
      <c r="L131" t="b">
        <f t="shared" ca="1" si="25"/>
        <v>1</v>
      </c>
      <c r="M131" s="2">
        <f t="shared" ca="1" si="26"/>
        <v>2.2331154684096235E-6</v>
      </c>
    </row>
    <row r="132" spans="1:13" x14ac:dyDescent="0.3">
      <c r="A132">
        <f ca="1">OFFSET(srt_raw!$A$1,(ROW()-1)*4+COLUMN()-1,0)</f>
        <v>132</v>
      </c>
      <c r="B132" t="str">
        <f ca="1">OFFSET(srt_raw!$A$1,(ROW()-1)*4+COLUMN()-1,0)</f>
        <v>00:07:11,600 --&gt; 00:07:16,200</v>
      </c>
      <c r="C132" t="str">
        <f ca="1">OFFSET(srt_raw!$A$1,(ROW()-1)*4+COLUMN()-1,0)</f>
        <v>同样可以得到翻转向量最后一行的状态。</v>
      </c>
      <c r="D132" t="str">
        <f t="shared" ca="1" si="18"/>
        <v>00:07:11,600</v>
      </c>
      <c r="E132" t="str">
        <f t="shared" ca="1" si="19"/>
        <v>00:07:16,200</v>
      </c>
      <c r="F132" s="5" t="str">
        <f t="shared" ca="1" si="20"/>
        <v>00:07:11.600</v>
      </c>
      <c r="G132" s="1" t="str">
        <f t="shared" ca="1" si="21"/>
        <v>00:07:16.200</v>
      </c>
      <c r="H132" s="2">
        <f t="shared" ca="1" si="22"/>
        <v>5.3240740740740852E-5</v>
      </c>
      <c r="I132">
        <f t="shared" ca="1" si="23"/>
        <v>18</v>
      </c>
      <c r="J132" s="2">
        <f t="shared" ca="1" si="24"/>
        <v>2.9578189300411583E-6</v>
      </c>
      <c r="K132" t="e">
        <f ca="1">MATCH(ROW(),sub!D:D,0)</f>
        <v>#N/A</v>
      </c>
      <c r="L132" t="b">
        <f t="shared" ca="1" si="25"/>
        <v>0</v>
      </c>
      <c r="M132" s="2">
        <f t="shared" ca="1" si="26"/>
        <v>0</v>
      </c>
    </row>
    <row r="133" spans="1:13" x14ac:dyDescent="0.3">
      <c r="A133">
        <f ca="1">OFFSET(srt_raw!$A$1,(ROW()-1)*4+COLUMN()-1,0)</f>
        <v>133</v>
      </c>
      <c r="B133" t="str">
        <f ca="1">OFFSET(srt_raw!$A$1,(ROW()-1)*4+COLUMN()-1,0)</f>
        <v>00:07:16,200 --&gt; 00:07:22,000</v>
      </c>
      <c r="C133" t="str">
        <f ca="1">OFFSET(srt_raw!$A$1,(ROW()-1)*4+COLUMN()-1,0)</f>
        <v>我们把这种方法称作余数矩阵法和首行叠加法的原理本质上是相同的</v>
      </c>
      <c r="D133" t="str">
        <f t="shared" ca="1" si="18"/>
        <v>00:07:16,200</v>
      </c>
      <c r="E133" t="str">
        <f t="shared" ca="1" si="19"/>
        <v>00:07:22,000</v>
      </c>
      <c r="F133" s="5" t="str">
        <f t="shared" ca="1" si="20"/>
        <v>00:07:16.200</v>
      </c>
      <c r="G133" s="1" t="str">
        <f t="shared" ca="1" si="21"/>
        <v>00:07:22.000</v>
      </c>
      <c r="H133" s="2">
        <f t="shared" ca="1" si="22"/>
        <v>6.7129629629629657E-5</v>
      </c>
      <c r="I133">
        <f t="shared" ca="1" si="23"/>
        <v>30</v>
      </c>
      <c r="J133" s="2">
        <f t="shared" ca="1" si="24"/>
        <v>2.2376543209876553E-6</v>
      </c>
      <c r="K133">
        <f ca="1">MATCH(ROW(),sub!D:D,0)</f>
        <v>48</v>
      </c>
      <c r="L133" t="b">
        <f t="shared" ca="1" si="25"/>
        <v>1</v>
      </c>
      <c r="M133" s="2">
        <f t="shared" ca="1" si="26"/>
        <v>2.2376543209876553E-6</v>
      </c>
    </row>
    <row r="134" spans="1:13" x14ac:dyDescent="0.3">
      <c r="A134">
        <f ca="1">OFFSET(srt_raw!$A$1,(ROW()-1)*4+COLUMN()-1,0)</f>
        <v>134</v>
      </c>
      <c r="B134" t="str">
        <f ca="1">OFFSET(srt_raw!$A$1,(ROW()-1)*4+COLUMN()-1,0)</f>
        <v>00:07:22,000 --&gt; 00:07:22,040</v>
      </c>
      <c r="C134" t="str">
        <f ca="1">OFFSET(srt_raw!$A$1,(ROW()-1)*4+COLUMN()-1,0)</f>
        <v>，</v>
      </c>
      <c r="D134" t="str">
        <f t="shared" ca="1" si="18"/>
        <v>00:07:22,000</v>
      </c>
      <c r="E134" t="str">
        <f t="shared" ca="1" si="19"/>
        <v>00:07:22,040</v>
      </c>
      <c r="F134" s="5" t="str">
        <f t="shared" ca="1" si="20"/>
        <v>00:07:22.000</v>
      </c>
      <c r="G134" s="1" t="str">
        <f t="shared" ca="1" si="21"/>
        <v>00:07:22.040</v>
      </c>
      <c r="H134" s="2">
        <f t="shared" ca="1" si="22"/>
        <v>4.6296296296252648E-7</v>
      </c>
      <c r="I134">
        <f t="shared" ca="1" si="23"/>
        <v>1</v>
      </c>
      <c r="J134" s="2">
        <f t="shared" ca="1" si="24"/>
        <v>4.6296296296252648E-7</v>
      </c>
      <c r="K134" t="e">
        <f ca="1">MATCH(ROW(),sub!D:D,0)</f>
        <v>#N/A</v>
      </c>
      <c r="L134" t="b">
        <f t="shared" ca="1" si="25"/>
        <v>1</v>
      </c>
      <c r="M134" s="2">
        <f t="shared" ca="1" si="26"/>
        <v>4.6296296296252648E-7</v>
      </c>
    </row>
    <row r="135" spans="1:13" x14ac:dyDescent="0.3">
      <c r="A135">
        <f ca="1">OFFSET(srt_raw!$A$1,(ROW()-1)*4+COLUMN()-1,0)</f>
        <v>135</v>
      </c>
      <c r="B135" t="str">
        <f ca="1">OFFSET(srt_raw!$A$1,(ROW()-1)*4+COLUMN()-1,0)</f>
        <v>00:07:22,240 --&gt; 00:07:26,200</v>
      </c>
      <c r="C135" t="str">
        <f ca="1">OFFSET(srt_raw!$A$1,(ROW()-1)*4+COLUMN()-1,0)</f>
        <v>有兴趣的小伙伴可以自行证明。</v>
      </c>
      <c r="D135" t="str">
        <f t="shared" ca="1" si="18"/>
        <v>00:07:22,240</v>
      </c>
      <c r="E135" t="str">
        <f t="shared" ca="1" si="19"/>
        <v>00:07:26,200</v>
      </c>
      <c r="F135" s="5" t="str">
        <f t="shared" ca="1" si="20"/>
        <v>00:07:22.240</v>
      </c>
      <c r="G135" s="1" t="str">
        <f t="shared" ca="1" si="21"/>
        <v>00:07:26.200</v>
      </c>
      <c r="H135" s="2">
        <f t="shared" ca="1" si="22"/>
        <v>4.5833333333332622E-5</v>
      </c>
      <c r="I135">
        <f t="shared" ca="1" si="23"/>
        <v>14</v>
      </c>
      <c r="J135" s="2">
        <f t="shared" ca="1" si="24"/>
        <v>3.2738095238094732E-6</v>
      </c>
      <c r="K135" t="e">
        <f ca="1">MATCH(ROW(),sub!D:D,0)</f>
        <v>#N/A</v>
      </c>
      <c r="L135" t="b">
        <f t="shared" ca="1" si="25"/>
        <v>0</v>
      </c>
      <c r="M135" s="2">
        <f t="shared" ca="1" si="26"/>
        <v>0</v>
      </c>
    </row>
    <row r="136" spans="1:13" x14ac:dyDescent="0.3">
      <c r="A136">
        <f ca="1">OFFSET(srt_raw!$A$1,(ROW()-1)*4+COLUMN()-1,0)</f>
        <v>136</v>
      </c>
      <c r="B136" t="str">
        <f ca="1">OFFSET(srt_raw!$A$1,(ROW()-1)*4+COLUMN()-1,0)</f>
        <v>00:07:26,200 --&gt; 00:07:28,200</v>
      </c>
      <c r="C136" t="str">
        <f ca="1">OFFSET(srt_raw!$A$1,(ROW()-1)*4+COLUMN()-1,0)</f>
        <v>在生成优化矩阵章节中，</v>
      </c>
      <c r="D136" t="str">
        <f t="shared" ca="1" si="18"/>
        <v>00:07:26,200</v>
      </c>
      <c r="E136" t="str">
        <f t="shared" ca="1" si="19"/>
        <v>00:07:28,200</v>
      </c>
      <c r="F136" s="5" t="str">
        <f t="shared" ca="1" si="20"/>
        <v>00:07:26.200</v>
      </c>
      <c r="G136" s="1" t="str">
        <f t="shared" ca="1" si="21"/>
        <v>00:07:28.200</v>
      </c>
      <c r="H136" s="2">
        <f t="shared" ca="1" si="22"/>
        <v>2.3148148148148875E-5</v>
      </c>
      <c r="I136">
        <f t="shared" ca="1" si="23"/>
        <v>11</v>
      </c>
      <c r="J136" s="2">
        <f t="shared" ca="1" si="24"/>
        <v>2.1043771043771703E-6</v>
      </c>
      <c r="K136">
        <f ca="1">MATCH(ROW(),sub!D:D,0)</f>
        <v>49</v>
      </c>
      <c r="L136" t="b">
        <f t="shared" ca="1" si="25"/>
        <v>1</v>
      </c>
      <c r="M136" s="2">
        <f t="shared" ca="1" si="26"/>
        <v>2.1043771043771703E-6</v>
      </c>
    </row>
    <row r="137" spans="1:13" x14ac:dyDescent="0.3">
      <c r="A137">
        <f ca="1">OFFSET(srt_raw!$A$1,(ROW()-1)*4+COLUMN()-1,0)</f>
        <v>137</v>
      </c>
      <c r="B137" t="str">
        <f ca="1">OFFSET(srt_raw!$A$1,(ROW()-1)*4+COLUMN()-1,0)</f>
        <v>00:07:28,200 --&gt; 00:07:29,960</v>
      </c>
      <c r="C137" t="str">
        <f ca="1">OFFSET(srt_raw!$A$1,(ROW()-1)*4+COLUMN()-1,0)</f>
        <v>我们将矩阵的行重排。</v>
      </c>
      <c r="D137" t="str">
        <f t="shared" ca="1" si="18"/>
        <v>00:07:28,200</v>
      </c>
      <c r="E137" t="str">
        <f t="shared" ca="1" si="19"/>
        <v>00:07:29,960</v>
      </c>
      <c r="F137" s="5" t="str">
        <f t="shared" ca="1" si="20"/>
        <v>00:07:28.200</v>
      </c>
      <c r="G137" s="1" t="str">
        <f t="shared" ca="1" si="21"/>
        <v>00:07:29.960</v>
      </c>
      <c r="H137" s="2">
        <f t="shared" ca="1" si="22"/>
        <v>2.0370370370370247E-5</v>
      </c>
      <c r="I137">
        <f t="shared" ca="1" si="23"/>
        <v>10</v>
      </c>
      <c r="J137" s="2">
        <f t="shared" ca="1" si="24"/>
        <v>2.0370370370370248E-6</v>
      </c>
      <c r="K137" t="e">
        <f ca="1">MATCH(ROW(),sub!D:D,0)</f>
        <v>#N/A</v>
      </c>
      <c r="L137" t="b">
        <f t="shared" ca="1" si="25"/>
        <v>1</v>
      </c>
      <c r="M137" s="2">
        <f t="shared" ca="1" si="26"/>
        <v>2.0370370370370248E-6</v>
      </c>
    </row>
    <row r="138" spans="1:13" x14ac:dyDescent="0.3">
      <c r="A138">
        <f ca="1">OFFSET(srt_raw!$A$1,(ROW()-1)*4+COLUMN()-1,0)</f>
        <v>138</v>
      </c>
      <c r="B138" t="str">
        <f ca="1">OFFSET(srt_raw!$A$1,(ROW()-1)*4+COLUMN()-1,0)</f>
        <v>00:07:30,560 --&gt; 00:07:32,920</v>
      </c>
      <c r="C138" t="str">
        <f ca="1">OFFSET(srt_raw!$A$1,(ROW()-1)*4+COLUMN()-1,0)</f>
        <v>其实是调换了N和Y的位置，</v>
      </c>
      <c r="D138" t="str">
        <f t="shared" ca="1" si="18"/>
        <v>00:07:30,560</v>
      </c>
      <c r="E138" t="str">
        <f t="shared" ca="1" si="19"/>
        <v>00:07:32,920</v>
      </c>
      <c r="F138" s="5" t="str">
        <f t="shared" ca="1" si="20"/>
        <v>00:07:30.560</v>
      </c>
      <c r="G138" s="1" t="str">
        <f t="shared" ca="1" si="21"/>
        <v>00:07:32.920</v>
      </c>
      <c r="H138" s="2">
        <f t="shared" ca="1" si="22"/>
        <v>2.7314814814815083E-5</v>
      </c>
      <c r="I138">
        <f t="shared" ca="1" si="23"/>
        <v>13</v>
      </c>
      <c r="J138" s="2">
        <f t="shared" ca="1" si="24"/>
        <v>2.1011396011396216E-6</v>
      </c>
      <c r="K138" t="e">
        <f ca="1">MATCH(ROW(),sub!D:D,0)</f>
        <v>#N/A</v>
      </c>
      <c r="L138" t="b">
        <f t="shared" ca="1" si="25"/>
        <v>1</v>
      </c>
      <c r="M138" s="2">
        <f t="shared" ca="1" si="26"/>
        <v>2.1011396011396216E-6</v>
      </c>
    </row>
    <row r="139" spans="1:13" x14ac:dyDescent="0.3">
      <c r="A139">
        <f ca="1">OFFSET(srt_raw!$A$1,(ROW()-1)*4+COLUMN()-1,0)</f>
        <v>139</v>
      </c>
      <c r="B139" t="str">
        <f ca="1">OFFSET(srt_raw!$A$1,(ROW()-1)*4+COLUMN()-1,0)</f>
        <v>00:07:32,920 --&gt; 00:07:38,600</v>
      </c>
      <c r="C139" t="str">
        <f ca="1">OFFSET(srt_raw!$A$1,(ROW()-1)*4+COLUMN()-1,0)</f>
        <v>使原来从左到右的第Y个矩阵变为了第N个矩阵。</v>
      </c>
      <c r="D139" t="str">
        <f t="shared" ca="1" si="18"/>
        <v>00:07:32,920</v>
      </c>
      <c r="E139" t="str">
        <f t="shared" ca="1" si="19"/>
        <v>00:07:38,600</v>
      </c>
      <c r="F139" s="5" t="str">
        <f t="shared" ca="1" si="20"/>
        <v>00:07:32.920</v>
      </c>
      <c r="G139" s="1" t="str">
        <f t="shared" ca="1" si="21"/>
        <v>00:07:38.600</v>
      </c>
      <c r="H139" s="2">
        <f t="shared" ca="1" si="22"/>
        <v>6.574074074074121E-5</v>
      </c>
      <c r="I139">
        <f t="shared" ca="1" si="23"/>
        <v>22</v>
      </c>
      <c r="J139" s="2">
        <f t="shared" ca="1" si="24"/>
        <v>2.9882154882155096E-6</v>
      </c>
      <c r="K139" t="e">
        <f ca="1">MATCH(ROW(),sub!D:D,0)</f>
        <v>#N/A</v>
      </c>
      <c r="L139" t="b">
        <f t="shared" ca="1" si="25"/>
        <v>0</v>
      </c>
      <c r="M139" s="2">
        <f t="shared" ca="1" si="26"/>
        <v>0</v>
      </c>
    </row>
    <row r="140" spans="1:13" x14ac:dyDescent="0.3">
      <c r="A140">
        <f ca="1">OFFSET(srt_raw!$A$1,(ROW()-1)*4+COLUMN()-1,0)</f>
        <v>140</v>
      </c>
      <c r="B140" t="str">
        <f ca="1">OFFSET(srt_raw!$A$1,(ROW()-1)*4+COLUMN()-1,0)</f>
        <v>00:07:38,600 --&gt; 00:07:41,560</v>
      </c>
      <c r="C140" t="str">
        <f ca="1">OFFSET(srt_raw!$A$1,(ROW()-1)*4+COLUMN()-1,0)</f>
        <v>这N个矩阵都满足十字偶校验约束，</v>
      </c>
      <c r="D140" t="str">
        <f t="shared" ca="1" si="18"/>
        <v>00:07:38,600</v>
      </c>
      <c r="E140" t="str">
        <f t="shared" ca="1" si="19"/>
        <v>00:07:41,560</v>
      </c>
      <c r="F140" s="5" t="str">
        <f t="shared" ca="1" si="20"/>
        <v>00:07:38.600</v>
      </c>
      <c r="G140" s="1" t="str">
        <f t="shared" ca="1" si="21"/>
        <v>00:07:41.560</v>
      </c>
      <c r="H140" s="2">
        <f t="shared" ca="1" si="22"/>
        <v>3.4259259259259052E-5</v>
      </c>
      <c r="I140">
        <f t="shared" ca="1" si="23"/>
        <v>16</v>
      </c>
      <c r="J140" s="2">
        <f t="shared" ca="1" si="24"/>
        <v>2.1412037037036907E-6</v>
      </c>
      <c r="K140">
        <f ca="1">MATCH(ROW(),sub!D:D,0)</f>
        <v>50</v>
      </c>
      <c r="L140" t="b">
        <f t="shared" ca="1" si="25"/>
        <v>1</v>
      </c>
      <c r="M140" s="2">
        <f t="shared" ca="1" si="26"/>
        <v>2.1412037037036907E-6</v>
      </c>
    </row>
    <row r="141" spans="1:13" x14ac:dyDescent="0.3">
      <c r="A141">
        <f ca="1">OFFSET(srt_raw!$A$1,(ROW()-1)*4+COLUMN()-1,0)</f>
        <v>141</v>
      </c>
      <c r="B141" t="str">
        <f ca="1">OFFSET(srt_raw!$A$1,(ROW()-1)*4+COLUMN()-1,0)</f>
        <v>00:07:41,560 --&gt; 00:07:44,000</v>
      </c>
      <c r="C141" t="str">
        <f ca="1">OFFSET(srt_raw!$A$1,(ROW()-1)*4+COLUMN()-1,0)</f>
        <v>及上下左右四个格子叠加为零，</v>
      </c>
      <c r="D141" t="str">
        <f t="shared" ca="1" si="18"/>
        <v>00:07:41,560</v>
      </c>
      <c r="E141" t="str">
        <f t="shared" ca="1" si="19"/>
        <v>00:07:44,000</v>
      </c>
      <c r="F141" s="5" t="str">
        <f t="shared" ca="1" si="20"/>
        <v>00:07:41.560</v>
      </c>
      <c r="G141" s="1" t="str">
        <f t="shared" ca="1" si="21"/>
        <v>00:07:44.000</v>
      </c>
      <c r="H141" s="2">
        <f t="shared" ca="1" si="22"/>
        <v>2.8240740740740136E-5</v>
      </c>
      <c r="I141">
        <f t="shared" ca="1" si="23"/>
        <v>14</v>
      </c>
      <c r="J141" s="2">
        <f t="shared" ca="1" si="24"/>
        <v>2.0171957671957238E-6</v>
      </c>
      <c r="K141" t="e">
        <f ca="1">MATCH(ROW(),sub!D:D,0)</f>
        <v>#N/A</v>
      </c>
      <c r="L141" t="b">
        <f t="shared" ca="1" si="25"/>
        <v>1</v>
      </c>
      <c r="M141" s="2">
        <f t="shared" ca="1" si="26"/>
        <v>2.0171957671957238E-6</v>
      </c>
    </row>
    <row r="142" spans="1:13" x14ac:dyDescent="0.3">
      <c r="A142">
        <f ca="1">OFFSET(srt_raw!$A$1,(ROW()-1)*4+COLUMN()-1,0)</f>
        <v>142</v>
      </c>
      <c r="B142" t="str">
        <f ca="1">OFFSET(srt_raw!$A$1,(ROW()-1)*4+COLUMN()-1,0)</f>
        <v>00:07:44,240 --&gt; 00:07:46,440</v>
      </c>
      <c r="C142" t="str">
        <f ca="1">OFFSET(srt_raw!$A$1,(ROW()-1)*4+COLUMN()-1,0)</f>
        <v>因此这里的公式省去了N。</v>
      </c>
      <c r="D142" t="str">
        <f t="shared" ca="1" si="18"/>
        <v>00:07:44,240</v>
      </c>
      <c r="E142" t="str">
        <f t="shared" ca="1" si="19"/>
        <v>00:07:46,440</v>
      </c>
      <c r="F142" s="5" t="str">
        <f t="shared" ca="1" si="20"/>
        <v>00:07:44.240</v>
      </c>
      <c r="G142" s="1" t="str">
        <f t="shared" ca="1" si="21"/>
        <v>00:07:46.440</v>
      </c>
      <c r="H142" s="2">
        <f t="shared" ca="1" si="22"/>
        <v>2.5462962962962375E-5</v>
      </c>
      <c r="I142">
        <f t="shared" ca="1" si="23"/>
        <v>12</v>
      </c>
      <c r="J142" s="2">
        <f t="shared" ca="1" si="24"/>
        <v>2.1219135802468645E-6</v>
      </c>
      <c r="K142" t="e">
        <f ca="1">MATCH(ROW(),sub!D:D,0)</f>
        <v>#N/A</v>
      </c>
      <c r="L142" t="b">
        <f t="shared" ca="1" si="25"/>
        <v>0</v>
      </c>
      <c r="M142" s="2">
        <f t="shared" ca="1" si="26"/>
        <v>0</v>
      </c>
    </row>
    <row r="143" spans="1:13" x14ac:dyDescent="0.3">
      <c r="A143">
        <f ca="1">OFFSET(srt_raw!$A$1,(ROW()-1)*4+COLUMN()-1,0)</f>
        <v>143</v>
      </c>
      <c r="B143" t="str">
        <f ca="1">OFFSET(srt_raw!$A$1,(ROW()-1)*4+COLUMN()-1,0)</f>
        <v>00:07:48,000 --&gt; 00:07:50,120</v>
      </c>
      <c r="C143" t="str">
        <f ca="1">OFFSET(srt_raw!$A$1,(ROW()-1)*4+COLUMN()-1,0)</f>
        <v>这里和之前的情况是一样的，</v>
      </c>
      <c r="D143" t="str">
        <f t="shared" ca="1" si="18"/>
        <v>00:07:48,000</v>
      </c>
      <c r="E143" t="str">
        <f t="shared" ca="1" si="19"/>
        <v>00:07:50,120</v>
      </c>
      <c r="F143" s="5" t="str">
        <f t="shared" ca="1" si="20"/>
        <v>00:07:48.000</v>
      </c>
      <c r="G143" s="1" t="str">
        <f t="shared" ca="1" si="21"/>
        <v>00:07:50.120</v>
      </c>
      <c r="H143" s="2">
        <f t="shared" ca="1" si="22"/>
        <v>2.4537037037037322E-5</v>
      </c>
      <c r="I143">
        <f t="shared" ca="1" si="23"/>
        <v>13</v>
      </c>
      <c r="J143" s="2">
        <f t="shared" ca="1" si="24"/>
        <v>1.8874643874644093E-6</v>
      </c>
      <c r="K143">
        <f ca="1">MATCH(ROW(),sub!D:D,0)</f>
        <v>51</v>
      </c>
      <c r="L143" t="b">
        <f t="shared" ca="1" si="25"/>
        <v>1</v>
      </c>
      <c r="M143" s="2">
        <f t="shared" ca="1" si="26"/>
        <v>1.8874643874644093E-6</v>
      </c>
    </row>
    <row r="144" spans="1:13" x14ac:dyDescent="0.3">
      <c r="A144">
        <f ca="1">OFFSET(srt_raw!$A$1,(ROW()-1)*4+COLUMN()-1,0)</f>
        <v>144</v>
      </c>
      <c r="B144" t="str">
        <f ca="1">OFFSET(srt_raw!$A$1,(ROW()-1)*4+COLUMN()-1,0)</f>
        <v>00:07:50,120 --&gt; 00:07:51,920</v>
      </c>
      <c r="C144" t="str">
        <f ca="1">OFFSET(srt_raw!$A$1,(ROW()-1)*4+COLUMN()-1,0)</f>
        <v>只不过N和Y调换了，</v>
      </c>
      <c r="D144" t="str">
        <f t="shared" ca="1" si="18"/>
        <v>00:07:50,120</v>
      </c>
      <c r="E144" t="str">
        <f t="shared" ca="1" si="19"/>
        <v>00:07:51,920</v>
      </c>
      <c r="F144" s="5" t="str">
        <f t="shared" ca="1" si="20"/>
        <v>00:07:50.120</v>
      </c>
      <c r="G144" s="1" t="str">
        <f t="shared" ca="1" si="21"/>
        <v>00:07:51.920</v>
      </c>
      <c r="H144" s="2">
        <f t="shared" ca="1" si="22"/>
        <v>2.0833333333332774E-5</v>
      </c>
      <c r="I144">
        <f t="shared" ca="1" si="23"/>
        <v>10</v>
      </c>
      <c r="J144" s="2">
        <f t="shared" ca="1" si="24"/>
        <v>2.0833333333332775E-6</v>
      </c>
      <c r="K144" t="e">
        <f ca="1">MATCH(ROW(),sub!D:D,0)</f>
        <v>#N/A</v>
      </c>
      <c r="L144" t="b">
        <f t="shared" ca="1" si="25"/>
        <v>1</v>
      </c>
      <c r="M144" s="2">
        <f t="shared" ca="1" si="26"/>
        <v>2.0833333333332775E-6</v>
      </c>
    </row>
    <row r="145" spans="1:13" x14ac:dyDescent="0.3">
      <c r="A145">
        <f ca="1">OFFSET(srt_raw!$A$1,(ROW()-1)*4+COLUMN()-1,0)</f>
        <v>145</v>
      </c>
      <c r="B145" t="str">
        <f ca="1">OFFSET(srt_raw!$A$1,(ROW()-1)*4+COLUMN()-1,0)</f>
        <v>00:07:51,920 --&gt; 00:07:53,840</v>
      </c>
      <c r="C145" t="str">
        <f ca="1">OFFSET(srt_raw!$A$1,(ROW()-1)*4+COLUMN()-1,0)</f>
        <v>因此位置发生了变化。</v>
      </c>
      <c r="D145" t="str">
        <f t="shared" ca="1" si="18"/>
        <v>00:07:51,920</v>
      </c>
      <c r="E145" t="str">
        <f t="shared" ca="1" si="19"/>
        <v>00:07:53,840</v>
      </c>
      <c r="F145" s="5" t="str">
        <f t="shared" ca="1" si="20"/>
        <v>00:07:51.920</v>
      </c>
      <c r="G145" s="1" t="str">
        <f t="shared" ca="1" si="21"/>
        <v>00:07:53.840</v>
      </c>
      <c r="H145" s="2">
        <f t="shared" ca="1" si="22"/>
        <v>2.2222222222222955E-5</v>
      </c>
      <c r="I145">
        <f t="shared" ca="1" si="23"/>
        <v>10</v>
      </c>
      <c r="J145" s="2">
        <f t="shared" ca="1" si="24"/>
        <v>2.2222222222222953E-6</v>
      </c>
      <c r="K145" t="e">
        <f ca="1">MATCH(ROW(),sub!D:D,0)</f>
        <v>#N/A</v>
      </c>
      <c r="L145" t="b">
        <f t="shared" ca="1" si="25"/>
        <v>0</v>
      </c>
      <c r="M145" s="2">
        <f t="shared" ca="1" si="26"/>
        <v>0</v>
      </c>
    </row>
    <row r="146" spans="1:13" x14ac:dyDescent="0.3">
      <c r="A146">
        <f ca="1">OFFSET(srt_raw!$A$1,(ROW()-1)*4+COLUMN()-1,0)</f>
        <v>146</v>
      </c>
      <c r="B146" t="str">
        <f ca="1">OFFSET(srt_raw!$A$1,(ROW()-1)*4+COLUMN()-1,0)</f>
        <v>00:07:55,280 --&gt; 00:07:57,200</v>
      </c>
      <c r="C146" t="str">
        <f ca="1">OFFSET(srt_raw!$A$1,(ROW()-1)*4+COLUMN()-1,0)</f>
        <v>这是一个十分重要的性质。</v>
      </c>
      <c r="D146" t="str">
        <f t="shared" ca="1" si="18"/>
        <v>00:07:55,280</v>
      </c>
      <c r="E146" t="str">
        <f t="shared" ca="1" si="19"/>
        <v>00:07:57,200</v>
      </c>
      <c r="F146" s="5" t="str">
        <f t="shared" ca="1" si="20"/>
        <v>00:07:55.280</v>
      </c>
      <c r="G146" s="1" t="str">
        <f t="shared" ca="1" si="21"/>
        <v>00:07:57.200</v>
      </c>
      <c r="H146" s="2">
        <f t="shared" ca="1" si="22"/>
        <v>2.2222222222222088E-5</v>
      </c>
      <c r="I146">
        <f t="shared" ca="1" si="23"/>
        <v>12</v>
      </c>
      <c r="J146" s="2">
        <f t="shared" ca="1" si="24"/>
        <v>1.8518518518518406E-6</v>
      </c>
      <c r="K146">
        <f ca="1">MATCH(ROW(),sub!D:D,0)</f>
        <v>52</v>
      </c>
      <c r="L146" t="b">
        <f t="shared" ca="1" si="25"/>
        <v>1</v>
      </c>
      <c r="M146" s="2">
        <f t="shared" ca="1" si="26"/>
        <v>1.8518518518518406E-6</v>
      </c>
    </row>
    <row r="147" spans="1:13" x14ac:dyDescent="0.3">
      <c r="A147">
        <f ca="1">OFFSET(srt_raw!$A$1,(ROW()-1)*4+COLUMN()-1,0)</f>
        <v>147</v>
      </c>
      <c r="B147" t="str">
        <f ca="1">OFFSET(srt_raw!$A$1,(ROW()-1)*4+COLUMN()-1,0)</f>
        <v>00:07:57,760 --&gt; 00:08:02,800</v>
      </c>
      <c r="C147" t="str">
        <f ca="1">OFFSET(srt_raw!$A$1,(ROW()-1)*4+COLUMN()-1,0)</f>
        <v>使用这个性质可以由第一个灯直接推到后面的灯，</v>
      </c>
      <c r="D147" t="str">
        <f t="shared" ca="1" si="18"/>
        <v>00:07:57,760</v>
      </c>
      <c r="E147" t="str">
        <f t="shared" ca="1" si="19"/>
        <v>00:08:02,800</v>
      </c>
      <c r="F147" s="5" t="str">
        <f t="shared" ca="1" si="20"/>
        <v>00:07:57.760</v>
      </c>
      <c r="G147" s="1" t="str">
        <f t="shared" ca="1" si="21"/>
        <v>00:08:02.800</v>
      </c>
      <c r="H147" s="2">
        <f t="shared" ca="1" si="22"/>
        <v>5.8333333333333848E-5</v>
      </c>
      <c r="I147">
        <f t="shared" ca="1" si="23"/>
        <v>22</v>
      </c>
      <c r="J147" s="2">
        <f t="shared" ca="1" si="24"/>
        <v>2.6515151515151747E-6</v>
      </c>
      <c r="K147" t="e">
        <f ca="1">MATCH(ROW(),sub!D:D,0)</f>
        <v>#N/A</v>
      </c>
      <c r="L147" t="b">
        <f t="shared" ca="1" si="25"/>
        <v>0</v>
      </c>
      <c r="M147" s="2">
        <f t="shared" ca="1" si="26"/>
        <v>0</v>
      </c>
    </row>
    <row r="148" spans="1:13" x14ac:dyDescent="0.3">
      <c r="A148">
        <f ca="1">OFFSET(srt_raw!$A$1,(ROW()-1)*4+COLUMN()-1,0)</f>
        <v>148</v>
      </c>
      <c r="B148" t="str">
        <f ca="1">OFFSET(srt_raw!$A$1,(ROW()-1)*4+COLUMN()-1,0)</f>
        <v>00:08:02,800 --&gt; 00:08:05,360</v>
      </c>
      <c r="C148" t="str">
        <f ca="1">OFFSET(srt_raw!$A$1,(ROW()-1)*4+COLUMN()-1,0)</f>
        <v>在之后的ON的二次方算法中，</v>
      </c>
      <c r="D148" t="str">
        <f t="shared" ca="1" si="18"/>
        <v>00:08:02,800</v>
      </c>
      <c r="E148" t="str">
        <f t="shared" ca="1" si="19"/>
        <v>00:08:05,360</v>
      </c>
      <c r="F148" s="5" t="str">
        <f t="shared" ca="1" si="20"/>
        <v>00:08:02.800</v>
      </c>
      <c r="G148" s="1" t="str">
        <f t="shared" ca="1" si="21"/>
        <v>00:08:05.360</v>
      </c>
      <c r="H148" s="2">
        <f t="shared" ca="1" si="22"/>
        <v>2.962962962962945E-5</v>
      </c>
      <c r="I148">
        <f t="shared" ca="1" si="23"/>
        <v>14</v>
      </c>
      <c r="J148" s="2">
        <f t="shared" ca="1" si="24"/>
        <v>2.1164021164021037E-6</v>
      </c>
      <c r="K148">
        <f ca="1">MATCH(ROW(),sub!D:D,0)</f>
        <v>53</v>
      </c>
      <c r="L148" t="b">
        <f t="shared" ca="1" si="25"/>
        <v>1</v>
      </c>
      <c r="M148" s="2">
        <f t="shared" ca="1" si="26"/>
        <v>2.1164021164021037E-6</v>
      </c>
    </row>
    <row r="149" spans="1:13" x14ac:dyDescent="0.3">
      <c r="A149">
        <f ca="1">OFFSET(srt_raw!$A$1,(ROW()-1)*4+COLUMN()-1,0)</f>
        <v>149</v>
      </c>
      <c r="B149" t="str">
        <f ca="1">OFFSET(srt_raw!$A$1,(ROW()-1)*4+COLUMN()-1,0)</f>
        <v>00:08:05,360 --&gt; 00:08:08,080</v>
      </c>
      <c r="C149" t="str">
        <f ca="1">OFFSET(srt_raw!$A$1,(ROW()-1)*4+COLUMN()-1,0)</f>
        <v>其本质也是用这个性质进行的优化。</v>
      </c>
      <c r="D149" t="str">
        <f t="shared" ca="1" si="18"/>
        <v>00:08:05,360</v>
      </c>
      <c r="E149" t="str">
        <f t="shared" ca="1" si="19"/>
        <v>00:08:08,080</v>
      </c>
      <c r="F149" s="5" t="str">
        <f t="shared" ca="1" si="20"/>
        <v>00:08:05.360</v>
      </c>
      <c r="G149" s="1" t="str">
        <f t="shared" ca="1" si="21"/>
        <v>00:08:08.080</v>
      </c>
      <c r="H149" s="2">
        <f t="shared" ca="1" si="22"/>
        <v>3.1481481481481291E-5</v>
      </c>
      <c r="I149">
        <f t="shared" ca="1" si="23"/>
        <v>16</v>
      </c>
      <c r="J149" s="2">
        <f t="shared" ca="1" si="24"/>
        <v>1.9675925925925807E-6</v>
      </c>
      <c r="K149" t="e">
        <f ca="1">MATCH(ROW(),sub!D:D,0)</f>
        <v>#N/A</v>
      </c>
      <c r="L149" t="b">
        <f t="shared" ca="1" si="25"/>
        <v>0</v>
      </c>
      <c r="M149" s="2">
        <f t="shared" ca="1" si="26"/>
        <v>0</v>
      </c>
    </row>
    <row r="150" spans="1:13" x14ac:dyDescent="0.3">
      <c r="A150">
        <f ca="1">OFFSET(srt_raw!$A$1,(ROW()-1)*4+COLUMN()-1,0)</f>
        <v>150</v>
      </c>
      <c r="B150" t="str">
        <f ca="1">OFFSET(srt_raw!$A$1,(ROW()-1)*4+COLUMN()-1,0)</f>
        <v>00:08:09,600 --&gt; 00:08:14,480</v>
      </c>
      <c r="C150" t="str">
        <f ca="1">OFFSET(srt_raw!$A$1,(ROW()-1)*4+COLUMN()-1,0)</f>
        <v>下面让我们用数学归纳法证明这个性质，</v>
      </c>
      <c r="D150" t="str">
        <f t="shared" ca="1" si="18"/>
        <v>00:08:09,600</v>
      </c>
      <c r="E150" t="str">
        <f t="shared" ca="1" si="19"/>
        <v>00:08:14,480</v>
      </c>
      <c r="F150" s="5" t="str">
        <f t="shared" ca="1" si="20"/>
        <v>00:08:09.600</v>
      </c>
      <c r="G150" s="1" t="str">
        <f t="shared" ca="1" si="21"/>
        <v>00:08:14.480</v>
      </c>
      <c r="H150" s="2">
        <f t="shared" ca="1" si="22"/>
        <v>5.648148148148114E-5</v>
      </c>
      <c r="I150">
        <f t="shared" ca="1" si="23"/>
        <v>18</v>
      </c>
      <c r="J150" s="2">
        <f t="shared" ca="1" si="24"/>
        <v>3.1378600823045078E-6</v>
      </c>
      <c r="K150">
        <f ca="1">MATCH(ROW(),sub!D:D,0)</f>
        <v>54</v>
      </c>
      <c r="L150" t="b">
        <f t="shared" ca="1" si="25"/>
        <v>0</v>
      </c>
      <c r="M150" s="2">
        <f t="shared" ca="1" si="26"/>
        <v>0</v>
      </c>
    </row>
    <row r="151" spans="1:13" x14ac:dyDescent="0.3">
      <c r="A151">
        <f ca="1">OFFSET(srt_raw!$A$1,(ROW()-1)*4+COLUMN()-1,0)</f>
        <v>151</v>
      </c>
      <c r="B151" t="str">
        <f ca="1">OFFSET(srt_raw!$A$1,(ROW()-1)*4+COLUMN()-1,0)</f>
        <v>00:08:14,480 --&gt; 00:08:18,120</v>
      </c>
      <c r="C151" t="str">
        <f ca="1">OFFSET(srt_raw!$A$1,(ROW()-1)*4+COLUMN()-1,0)</f>
        <v>由于右边的按钮矩阵就是左边的灯矩阵，</v>
      </c>
      <c r="D151" t="str">
        <f t="shared" ca="1" si="18"/>
        <v>00:08:14,480</v>
      </c>
      <c r="E151" t="str">
        <f t="shared" ca="1" si="19"/>
        <v>00:08:18,120</v>
      </c>
      <c r="F151" s="5" t="str">
        <f t="shared" ca="1" si="20"/>
        <v>00:08:14.480</v>
      </c>
      <c r="G151" s="1" t="str">
        <f t="shared" ca="1" si="21"/>
        <v>00:08:18.120</v>
      </c>
      <c r="H151" s="2">
        <f t="shared" ca="1" si="22"/>
        <v>4.2129629629629808E-5</v>
      </c>
      <c r="I151">
        <f t="shared" ca="1" si="23"/>
        <v>18</v>
      </c>
      <c r="J151" s="2">
        <f t="shared" ca="1" si="24"/>
        <v>2.3405349794238784E-6</v>
      </c>
      <c r="K151">
        <f ca="1">MATCH(ROW(),sub!D:D,0)</f>
        <v>55</v>
      </c>
      <c r="L151" t="b">
        <f t="shared" ca="1" si="25"/>
        <v>1</v>
      </c>
      <c r="M151" s="2">
        <f t="shared" ca="1" si="26"/>
        <v>2.3405349794238784E-6</v>
      </c>
    </row>
    <row r="152" spans="1:13" x14ac:dyDescent="0.3">
      <c r="A152">
        <f ca="1">OFFSET(srt_raw!$A$1,(ROW()-1)*4+COLUMN()-1,0)</f>
        <v>152</v>
      </c>
      <c r="B152" t="str">
        <f ca="1">OFFSET(srt_raw!$A$1,(ROW()-1)*4+COLUMN()-1,0)</f>
        <v>00:08:18,120 --&gt; 00:08:20,760</v>
      </c>
      <c r="C152" t="str">
        <f ca="1">OFFSET(srt_raw!$A$1,(ROW()-1)*4+COLUMN()-1,0)</f>
        <v>为了方便我们就只看按钮矩阵。</v>
      </c>
      <c r="D152" t="str">
        <f t="shared" ca="1" si="18"/>
        <v>00:08:18,120</v>
      </c>
      <c r="E152" t="str">
        <f t="shared" ca="1" si="19"/>
        <v>00:08:20,760</v>
      </c>
      <c r="F152" s="5" t="str">
        <f t="shared" ca="1" si="20"/>
        <v>00:08:18.120</v>
      </c>
      <c r="G152" s="1" t="str">
        <f t="shared" ca="1" si="21"/>
        <v>00:08:20.760</v>
      </c>
      <c r="H152" s="2">
        <f t="shared" ca="1" si="22"/>
        <v>3.0555555555555371E-5</v>
      </c>
      <c r="I152">
        <f t="shared" ca="1" si="23"/>
        <v>14</v>
      </c>
      <c r="J152" s="2">
        <f t="shared" ca="1" si="24"/>
        <v>2.1825396825396693E-6</v>
      </c>
      <c r="K152" t="e">
        <f ca="1">MATCH(ROW(),sub!D:D,0)</f>
        <v>#N/A</v>
      </c>
      <c r="L152" t="b">
        <f t="shared" ca="1" si="25"/>
        <v>0</v>
      </c>
      <c r="M152" s="2">
        <f t="shared" ca="1" si="26"/>
        <v>0</v>
      </c>
    </row>
    <row r="153" spans="1:13" x14ac:dyDescent="0.3">
      <c r="A153">
        <f ca="1">OFFSET(srt_raw!$A$1,(ROW()-1)*4+COLUMN()-1,0)</f>
        <v>153</v>
      </c>
      <c r="B153" t="str">
        <f ca="1">OFFSET(srt_raw!$A$1,(ROW()-1)*4+COLUMN()-1,0)</f>
        <v>00:08:22,320 --&gt; 00:08:22,840</v>
      </c>
      <c r="C153" t="str">
        <f ca="1">OFFSET(srt_raw!$A$1,(ROW()-1)*4+COLUMN()-1,0)</f>
        <v>首先，</v>
      </c>
      <c r="D153" t="str">
        <f t="shared" ca="1" si="18"/>
        <v>00:08:22,320</v>
      </c>
      <c r="E153" t="str">
        <f t="shared" ca="1" si="19"/>
        <v>00:08:22,840</v>
      </c>
      <c r="F153" s="5" t="str">
        <f t="shared" ca="1" si="20"/>
        <v>00:08:22.320</v>
      </c>
      <c r="G153" s="1" t="str">
        <f t="shared" ca="1" si="21"/>
        <v>00:08:22.840</v>
      </c>
      <c r="H153" s="2">
        <f t="shared" ca="1" si="22"/>
        <v>6.0185185185189158E-6</v>
      </c>
      <c r="I153">
        <f t="shared" ca="1" si="23"/>
        <v>3</v>
      </c>
      <c r="J153" s="2">
        <f t="shared" ca="1" si="24"/>
        <v>2.0061728395063053E-6</v>
      </c>
      <c r="K153">
        <f ca="1">MATCH(ROW(),sub!D:D,0)</f>
        <v>56</v>
      </c>
      <c r="L153" t="b">
        <f t="shared" ca="1" si="25"/>
        <v>1</v>
      </c>
      <c r="M153" s="2">
        <f t="shared" ca="1" si="26"/>
        <v>2.0061728395063053E-6</v>
      </c>
    </row>
    <row r="154" spans="1:13" x14ac:dyDescent="0.3">
      <c r="A154">
        <f ca="1">OFFSET(srt_raw!$A$1,(ROW()-1)*4+COLUMN()-1,0)</f>
        <v>154</v>
      </c>
      <c r="B154" t="str">
        <f ca="1">OFFSET(srt_raw!$A$1,(ROW()-1)*4+COLUMN()-1,0)</f>
        <v>00:08:22,840 --&gt; 00:08:27,960</v>
      </c>
      <c r="C154" t="str">
        <f ca="1">OFFSET(srt_raw!$A$1,(ROW()-1)*4+COLUMN()-1,0)</f>
        <v>我们假定前两个矩阵bn减1和bn减2满足这个性质，</v>
      </c>
      <c r="D154" t="str">
        <f t="shared" ca="1" si="18"/>
        <v>00:08:22,840</v>
      </c>
      <c r="E154" t="str">
        <f t="shared" ca="1" si="19"/>
        <v>00:08:27,960</v>
      </c>
      <c r="F154" s="5" t="str">
        <f t="shared" ca="1" si="20"/>
        <v>00:08:22.840</v>
      </c>
      <c r="G154" s="1" t="str">
        <f t="shared" ca="1" si="21"/>
        <v>00:08:27.960</v>
      </c>
      <c r="H154" s="2">
        <f t="shared" ca="1" si="22"/>
        <v>5.9259259259258901E-5</v>
      </c>
      <c r="I154">
        <f t="shared" ca="1" si="23"/>
        <v>25</v>
      </c>
      <c r="J154" s="2">
        <f t="shared" ca="1" si="24"/>
        <v>2.3703703703703559E-6</v>
      </c>
      <c r="K154" t="e">
        <f ca="1">MATCH(ROW(),sub!D:D,0)</f>
        <v>#N/A</v>
      </c>
      <c r="L154" t="b">
        <f t="shared" ca="1" si="25"/>
        <v>1</v>
      </c>
      <c r="M154" s="2">
        <f t="shared" ca="1" si="26"/>
        <v>2.3703703703703559E-6</v>
      </c>
    </row>
    <row r="155" spans="1:13" x14ac:dyDescent="0.3">
      <c r="A155">
        <f ca="1">OFFSET(srt_raw!$A$1,(ROW()-1)*4+COLUMN()-1,0)</f>
        <v>155</v>
      </c>
      <c r="B155" t="str">
        <f ca="1">OFFSET(srt_raw!$A$1,(ROW()-1)*4+COLUMN()-1,0)</f>
        <v>00:08:28,160 --&gt; 00:08:32,520</v>
      </c>
      <c r="C155" t="str">
        <f ca="1">OFFSET(srt_raw!$A$1,(ROW()-1)*4+COLUMN()-1,0)</f>
        <v>现在来证明bn也满足这个性质。</v>
      </c>
      <c r="D155" t="str">
        <f t="shared" ca="1" si="18"/>
        <v>00:08:28,160</v>
      </c>
      <c r="E155" t="str">
        <f t="shared" ca="1" si="19"/>
        <v>00:08:32,520</v>
      </c>
      <c r="F155" s="5" t="str">
        <f t="shared" ca="1" si="20"/>
        <v>00:08:28.160</v>
      </c>
      <c r="G155" s="1" t="str">
        <f t="shared" ca="1" si="21"/>
        <v>00:08:32.520</v>
      </c>
      <c r="H155" s="2">
        <f t="shared" ca="1" si="22"/>
        <v>5.0462962962963091E-5</v>
      </c>
      <c r="I155">
        <f t="shared" ca="1" si="23"/>
        <v>15</v>
      </c>
      <c r="J155" s="2">
        <f t="shared" ca="1" si="24"/>
        <v>3.3641975308642062E-6</v>
      </c>
      <c r="K155" t="e">
        <f ca="1">MATCH(ROW(),sub!D:D,0)</f>
        <v>#N/A</v>
      </c>
      <c r="L155" t="b">
        <f t="shared" ca="1" si="25"/>
        <v>0</v>
      </c>
      <c r="M155" s="2">
        <f t="shared" ca="1" si="26"/>
        <v>0</v>
      </c>
    </row>
    <row r="156" spans="1:13" x14ac:dyDescent="0.3">
      <c r="A156">
        <f ca="1">OFFSET(srt_raw!$A$1,(ROW()-1)*4+COLUMN()-1,0)</f>
        <v>156</v>
      </c>
      <c r="B156" t="str">
        <f ca="1">OFFSET(srt_raw!$A$1,(ROW()-1)*4+COLUMN()-1,0)</f>
        <v>00:08:32,520 --&gt; 00:08:37,720</v>
      </c>
      <c r="C156" t="str">
        <f ca="1">OFFSET(srt_raw!$A$1,(ROW()-1)*4+COLUMN()-1,0)</f>
        <v>将刚才的矩阵递推关系加上参数y并重写。</v>
      </c>
      <c r="D156" t="str">
        <f t="shared" ca="1" si="18"/>
        <v>00:08:32,520</v>
      </c>
      <c r="E156" t="str">
        <f t="shared" ca="1" si="19"/>
        <v>00:08:37,720</v>
      </c>
      <c r="F156" s="5" t="str">
        <f t="shared" ca="1" si="20"/>
        <v>00:08:32.520</v>
      </c>
      <c r="G156" s="1" t="str">
        <f t="shared" ca="1" si="21"/>
        <v>00:08:37.720</v>
      </c>
      <c r="H156" s="2">
        <f t="shared" ca="1" si="22"/>
        <v>6.0185185185185688E-5</v>
      </c>
      <c r="I156">
        <f t="shared" ca="1" si="23"/>
        <v>19</v>
      </c>
      <c r="J156" s="2">
        <f t="shared" ca="1" si="24"/>
        <v>3.1676413255360887E-6</v>
      </c>
      <c r="K156">
        <f ca="1">MATCH(ROW(),sub!D:D,0)</f>
        <v>57</v>
      </c>
      <c r="L156" t="b">
        <f t="shared" ca="1" si="25"/>
        <v>0</v>
      </c>
      <c r="M156" s="2">
        <f t="shared" ca="1" si="26"/>
        <v>0</v>
      </c>
    </row>
    <row r="157" spans="1:13" x14ac:dyDescent="0.3">
      <c r="A157">
        <f ca="1">OFFSET(srt_raw!$A$1,(ROW()-1)*4+COLUMN()-1,0)</f>
        <v>157</v>
      </c>
      <c r="B157" t="str">
        <f ca="1">OFFSET(srt_raw!$A$1,(ROW()-1)*4+COLUMN()-1,0)</f>
        <v>00:08:37,720 --&gt; 00:08:38,560</v>
      </c>
      <c r="C157" t="str">
        <f ca="1">OFFSET(srt_raw!$A$1,(ROW()-1)*4+COLUMN()-1,0)</f>
        <v>对于bn，</v>
      </c>
      <c r="D157" t="str">
        <f t="shared" ca="1" si="18"/>
        <v>00:08:37,720</v>
      </c>
      <c r="E157" t="str">
        <f t="shared" ca="1" si="19"/>
        <v>00:08:38,560</v>
      </c>
      <c r="F157" s="5" t="str">
        <f t="shared" ca="1" si="20"/>
        <v>00:08:37.720</v>
      </c>
      <c r="G157" s="1" t="str">
        <f t="shared" ca="1" si="21"/>
        <v>00:08:38.560</v>
      </c>
      <c r="H157" s="2">
        <f t="shared" ca="1" si="22"/>
        <v>9.7222222222208624E-6</v>
      </c>
      <c r="I157">
        <f t="shared" ca="1" si="23"/>
        <v>5</v>
      </c>
      <c r="J157" s="2">
        <f t="shared" ca="1" si="24"/>
        <v>1.9444444444441725E-6</v>
      </c>
      <c r="K157">
        <f ca="1">MATCH(ROW(),sub!D:D,0)</f>
        <v>58</v>
      </c>
      <c r="L157" t="b">
        <f t="shared" ca="1" si="25"/>
        <v>1</v>
      </c>
      <c r="M157" s="2">
        <f t="shared" ca="1" si="26"/>
        <v>1.9444444444441725E-6</v>
      </c>
    </row>
    <row r="158" spans="1:13" x14ac:dyDescent="0.3">
      <c r="A158">
        <f ca="1">OFFSET(srt_raw!$A$1,(ROW()-1)*4+COLUMN()-1,0)</f>
        <v>158</v>
      </c>
      <c r="B158" t="str">
        <f ca="1">OFFSET(srt_raw!$A$1,(ROW()-1)*4+COLUMN()-1,0)</f>
        <v>00:08:38,560 --&gt; 00:08:40,920</v>
      </c>
      <c r="C158" t="str">
        <f ca="1">OFFSET(srt_raw!$A$1,(ROW()-1)*4+COLUMN()-1,0)</f>
        <v>我们将式子竖着写成四项，</v>
      </c>
      <c r="D158" t="str">
        <f t="shared" ca="1" si="18"/>
        <v>00:08:38,560</v>
      </c>
      <c r="E158" t="str">
        <f t="shared" ca="1" si="19"/>
        <v>00:08:40,920</v>
      </c>
      <c r="F158" s="5" t="str">
        <f t="shared" ca="1" si="20"/>
        <v>00:08:38.560</v>
      </c>
      <c r="G158" s="1" t="str">
        <f t="shared" ca="1" si="21"/>
        <v>00:08:40.920</v>
      </c>
      <c r="H158" s="2">
        <f t="shared" ca="1" si="22"/>
        <v>2.7314814814815083E-5</v>
      </c>
      <c r="I158">
        <f t="shared" ca="1" si="23"/>
        <v>12</v>
      </c>
      <c r="J158" s="2">
        <f t="shared" ca="1" si="24"/>
        <v>2.2762345679012571E-6</v>
      </c>
      <c r="K158" t="e">
        <f ca="1">MATCH(ROW(),sub!D:D,0)</f>
        <v>#N/A</v>
      </c>
      <c r="L158" t="b">
        <f t="shared" ca="1" si="25"/>
        <v>1</v>
      </c>
      <c r="M158" s="2">
        <f t="shared" ca="1" si="26"/>
        <v>2.2762345679012571E-6</v>
      </c>
    </row>
    <row r="159" spans="1:13" x14ac:dyDescent="0.3">
      <c r="A159">
        <f ca="1">OFFSET(srt_raw!$A$1,(ROW()-1)*4+COLUMN()-1,0)</f>
        <v>159</v>
      </c>
      <c r="B159" t="str">
        <f ca="1">OFFSET(srt_raw!$A$1,(ROW()-1)*4+COLUMN()-1,0)</f>
        <v>00:08:40,920 --&gt; 00:08:44,960</v>
      </c>
      <c r="C159" t="str">
        <f ca="1">OFFSET(srt_raw!$A$1,(ROW()-1)*4+COLUMN()-1,0)</f>
        <v>然后将递推关系代入这个式子。</v>
      </c>
      <c r="D159" t="str">
        <f t="shared" ca="1" si="18"/>
        <v>00:08:40,920</v>
      </c>
      <c r="E159" t="str">
        <f t="shared" ca="1" si="19"/>
        <v>00:08:44,960</v>
      </c>
      <c r="F159" s="5" t="str">
        <f t="shared" ca="1" si="20"/>
        <v>00:08:40.920</v>
      </c>
      <c r="G159" s="1" t="str">
        <f t="shared" ca="1" si="21"/>
        <v>00:08:44.960</v>
      </c>
      <c r="H159" s="2">
        <f t="shared" ca="1" si="22"/>
        <v>4.6759259259260277E-5</v>
      </c>
      <c r="I159">
        <f t="shared" ca="1" si="23"/>
        <v>14</v>
      </c>
      <c r="J159" s="2">
        <f t="shared" ca="1" si="24"/>
        <v>3.3399470899471629E-6</v>
      </c>
      <c r="K159" t="e">
        <f ca="1">MATCH(ROW(),sub!D:D,0)</f>
        <v>#N/A</v>
      </c>
      <c r="L159" t="b">
        <f t="shared" ca="1" si="25"/>
        <v>0</v>
      </c>
      <c r="M159" s="2">
        <f t="shared" ca="1" si="26"/>
        <v>0</v>
      </c>
    </row>
    <row r="160" spans="1:13" x14ac:dyDescent="0.3">
      <c r="A160">
        <f ca="1">OFFSET(srt_raw!$A$1,(ROW()-1)*4+COLUMN()-1,0)</f>
        <v>160</v>
      </c>
      <c r="B160" t="str">
        <f ca="1">OFFSET(srt_raw!$A$1,(ROW()-1)*4+COLUMN()-1,0)</f>
        <v>00:08:44,960 --&gt; 00:08:47,640</v>
      </c>
      <c r="C160" t="str">
        <f ca="1">OFFSET(srt_raw!$A$1,(ROW()-1)*4+COLUMN()-1,0)</f>
        <v>代入后的式子包含16项，</v>
      </c>
      <c r="D160" t="str">
        <f t="shared" ca="1" si="18"/>
        <v>00:08:44,960</v>
      </c>
      <c r="E160" t="str">
        <f t="shared" ca="1" si="19"/>
        <v>00:08:47,640</v>
      </c>
      <c r="F160" s="5" t="str">
        <f t="shared" ca="1" si="20"/>
        <v>00:08:44.960</v>
      </c>
      <c r="G160" s="1" t="str">
        <f t="shared" ca="1" si="21"/>
        <v>00:08:47.640</v>
      </c>
      <c r="H160" s="2">
        <f t="shared" ca="1" si="22"/>
        <v>3.1018518518517897E-5</v>
      </c>
      <c r="I160">
        <f t="shared" ca="1" si="23"/>
        <v>12</v>
      </c>
      <c r="J160" s="2">
        <f t="shared" ca="1" si="24"/>
        <v>2.5848765432098246E-6</v>
      </c>
      <c r="K160">
        <f ca="1">MATCH(ROW(),sub!D:D,0)</f>
        <v>59</v>
      </c>
      <c r="L160" t="b">
        <f t="shared" ca="1" si="25"/>
        <v>1</v>
      </c>
      <c r="M160" s="2">
        <f t="shared" ca="1" si="26"/>
        <v>2.5848765432098246E-6</v>
      </c>
    </row>
    <row r="161" spans="1:13" x14ac:dyDescent="0.3">
      <c r="A161">
        <f ca="1">OFFSET(srt_raw!$A$1,(ROW()-1)*4+COLUMN()-1,0)</f>
        <v>161</v>
      </c>
      <c r="B161" t="str">
        <f ca="1">OFFSET(srt_raw!$A$1,(ROW()-1)*4+COLUMN()-1,0)</f>
        <v>00:08:47,640 --&gt; 00:08:51,120</v>
      </c>
      <c r="C161" t="str">
        <f ca="1">OFFSET(srt_raw!$A$1,(ROW()-1)*4+COLUMN()-1,0)</f>
        <v>现在重新排列项目顺序将y和n调换。</v>
      </c>
      <c r="D161" t="str">
        <f t="shared" ca="1" si="18"/>
        <v>00:08:47,640</v>
      </c>
      <c r="E161" t="str">
        <f t="shared" ca="1" si="19"/>
        <v>00:08:51,120</v>
      </c>
      <c r="F161" s="5" t="str">
        <f t="shared" ca="1" si="20"/>
        <v>00:08:47.640</v>
      </c>
      <c r="G161" s="1" t="str">
        <f t="shared" ca="1" si="21"/>
        <v>00:08:51.120</v>
      </c>
      <c r="H161" s="2">
        <f t="shared" ca="1" si="22"/>
        <v>4.0277777777777968E-5</v>
      </c>
      <c r="I161">
        <f t="shared" ca="1" si="23"/>
        <v>17</v>
      </c>
      <c r="J161" s="2">
        <f t="shared" ca="1" si="24"/>
        <v>2.3692810457516453E-6</v>
      </c>
      <c r="K161" t="e">
        <f ca="1">MATCH(ROW(),sub!D:D,0)</f>
        <v>#N/A</v>
      </c>
      <c r="L161" t="b">
        <f t="shared" ca="1" si="25"/>
        <v>1</v>
      </c>
      <c r="M161" s="2">
        <f t="shared" ca="1" si="26"/>
        <v>2.3692810457516453E-6</v>
      </c>
    </row>
    <row r="162" spans="1:13" x14ac:dyDescent="0.3">
      <c r="A162">
        <f ca="1">OFFSET(srt_raw!$A$1,(ROW()-1)*4+COLUMN()-1,0)</f>
        <v>162</v>
      </c>
      <c r="B162" t="str">
        <f ca="1">OFFSET(srt_raw!$A$1,(ROW()-1)*4+COLUMN()-1,0)</f>
        <v>00:08:51,360 --&gt; 00:08:54,560</v>
      </c>
      <c r="C162" t="str">
        <f ca="1">OFFSET(srt_raw!$A$1,(ROW()-1)*4+COLUMN()-1,0)</f>
        <v>类似优化生成矩阵章节中的调换操作，</v>
      </c>
      <c r="D162" t="str">
        <f t="shared" ca="1" si="18"/>
        <v>00:08:51,360</v>
      </c>
      <c r="E162" t="str">
        <f t="shared" ca="1" si="19"/>
        <v>00:08:54,560</v>
      </c>
      <c r="F162" s="5" t="str">
        <f t="shared" ca="1" si="20"/>
        <v>00:08:51.360</v>
      </c>
      <c r="G162" s="1" t="str">
        <f t="shared" ca="1" si="21"/>
        <v>00:08:54.560</v>
      </c>
      <c r="H162" s="2">
        <f t="shared" ca="1" si="22"/>
        <v>3.7037037037035946E-5</v>
      </c>
      <c r="I162">
        <f t="shared" ca="1" si="23"/>
        <v>17</v>
      </c>
      <c r="J162" s="2">
        <f t="shared" ca="1" si="24"/>
        <v>2.1786492374727028E-6</v>
      </c>
      <c r="K162" t="e">
        <f ca="1">MATCH(ROW(),sub!D:D,0)</f>
        <v>#N/A</v>
      </c>
      <c r="L162" t="b">
        <f t="shared" ca="1" si="25"/>
        <v>0</v>
      </c>
      <c r="M162" s="2">
        <f t="shared" ca="1" si="26"/>
        <v>0</v>
      </c>
    </row>
    <row r="163" spans="1:13" x14ac:dyDescent="0.3">
      <c r="A163">
        <f ca="1">OFFSET(srt_raw!$A$1,(ROW()-1)*4+COLUMN()-1,0)</f>
        <v>163</v>
      </c>
      <c r="B163" t="str">
        <f ca="1">OFFSET(srt_raw!$A$1,(ROW()-1)*4+COLUMN()-1,0)</f>
        <v>00:08:56,080 --&gt; 00:08:58,600</v>
      </c>
      <c r="C163" t="str">
        <f ca="1">OFFSET(srt_raw!$A$1,(ROW()-1)*4+COLUMN()-1,0)</f>
        <v>不难发现这四项属于B、</v>
      </c>
      <c r="D163" t="str">
        <f t="shared" ca="1" si="18"/>
        <v>00:08:56,080</v>
      </c>
      <c r="E163" t="str">
        <f t="shared" ca="1" si="19"/>
        <v>00:08:58,600</v>
      </c>
      <c r="F163" s="5" t="str">
        <f t="shared" ca="1" si="20"/>
        <v>00:08:56.080</v>
      </c>
      <c r="G163" s="1" t="str">
        <f t="shared" ca="1" si="21"/>
        <v>00:08:58.600</v>
      </c>
      <c r="H163" s="2">
        <f t="shared" ca="1" si="22"/>
        <v>2.9166666666666057E-5</v>
      </c>
      <c r="I163">
        <f t="shared" ca="1" si="23"/>
        <v>11</v>
      </c>
      <c r="J163" s="2">
        <f t="shared" ca="1" si="24"/>
        <v>2.6515151515150959E-6</v>
      </c>
      <c r="K163">
        <f ca="1">MATCH(ROW(),sub!D:D,0)</f>
        <v>60</v>
      </c>
      <c r="L163" t="b">
        <f t="shared" ca="1" si="25"/>
        <v>1</v>
      </c>
      <c r="M163" s="2">
        <f t="shared" ca="1" si="26"/>
        <v>2.6515151515150959E-6</v>
      </c>
    </row>
    <row r="164" spans="1:13" x14ac:dyDescent="0.3">
      <c r="A164">
        <f ca="1">OFFSET(srt_raw!$A$1,(ROW()-1)*4+COLUMN()-1,0)</f>
        <v>164</v>
      </c>
      <c r="B164" t="str">
        <f ca="1">OFFSET(srt_raw!$A$1,(ROW()-1)*4+COLUMN()-1,0)</f>
        <v>00:08:58,600 --&gt; 00:09:00,360</v>
      </c>
      <c r="C164" t="str">
        <f ca="1">OFFSET(srt_raw!$A$1,(ROW()-1)*4+COLUMN()-1,0)</f>
        <v>N减1或B、</v>
      </c>
      <c r="D164" t="str">
        <f t="shared" ca="1" si="18"/>
        <v>00:08:58,600</v>
      </c>
      <c r="E164" t="str">
        <f t="shared" ca="1" si="19"/>
        <v>00:09:00,360</v>
      </c>
      <c r="F164" s="5" t="str">
        <f t="shared" ca="1" si="20"/>
        <v>00:08:58.600</v>
      </c>
      <c r="G164" s="1" t="str">
        <f t="shared" ca="1" si="21"/>
        <v>00:09:00.360</v>
      </c>
      <c r="H164" s="2">
        <f t="shared" ca="1" si="22"/>
        <v>2.0370370370370247E-5</v>
      </c>
      <c r="I164">
        <f t="shared" ca="1" si="23"/>
        <v>6</v>
      </c>
      <c r="J164" s="2">
        <f t="shared" ca="1" si="24"/>
        <v>3.3950617283950413E-6</v>
      </c>
      <c r="K164" t="e">
        <f ca="1">MATCH(ROW(),sub!D:D,0)</f>
        <v>#N/A</v>
      </c>
      <c r="L164" t="b">
        <f t="shared" ca="1" si="25"/>
        <v>1</v>
      </c>
      <c r="M164" s="2">
        <f t="shared" ca="1" si="26"/>
        <v>3.3950617283950413E-6</v>
      </c>
    </row>
    <row r="165" spans="1:13" x14ac:dyDescent="0.3">
      <c r="A165">
        <f ca="1">OFFSET(srt_raw!$A$1,(ROW()-1)*4+COLUMN()-1,0)</f>
        <v>165</v>
      </c>
      <c r="B165" t="str">
        <f ca="1">OFFSET(srt_raw!$A$1,(ROW()-1)*4+COLUMN()-1,0)</f>
        <v>00:09:00,480 --&gt; 00:09:01,080</v>
      </c>
      <c r="C165" t="str">
        <f ca="1">OFFSET(srt_raw!$A$1,(ROW()-1)*4+COLUMN()-1,0)</f>
        <v>N减2，</v>
      </c>
      <c r="D165" t="str">
        <f t="shared" ca="1" si="18"/>
        <v>00:09:00,480</v>
      </c>
      <c r="E165" t="str">
        <f t="shared" ca="1" si="19"/>
        <v>00:09:01,080</v>
      </c>
      <c r="F165" s="5" t="str">
        <f t="shared" ca="1" si="20"/>
        <v>00:09:00.480</v>
      </c>
      <c r="G165" s="1" t="str">
        <f t="shared" ca="1" si="21"/>
        <v>00:09:01.080</v>
      </c>
      <c r="H165" s="2">
        <f t="shared" ca="1" si="22"/>
        <v>6.9444444444448361E-6</v>
      </c>
      <c r="I165">
        <f t="shared" ca="1" si="23"/>
        <v>4</v>
      </c>
      <c r="J165" s="2">
        <f t="shared" ca="1" si="24"/>
        <v>1.736111111111209E-6</v>
      </c>
      <c r="K165" t="e">
        <f ca="1">MATCH(ROW(),sub!D:D,0)</f>
        <v>#N/A</v>
      </c>
      <c r="L165" t="b">
        <f t="shared" ca="1" si="25"/>
        <v>1</v>
      </c>
      <c r="M165" s="2">
        <f t="shared" ca="1" si="26"/>
        <v>1.736111111111209E-6</v>
      </c>
    </row>
    <row r="166" spans="1:13" x14ac:dyDescent="0.3">
      <c r="A166">
        <f ca="1">OFFSET(srt_raw!$A$1,(ROW()-1)*4+COLUMN()-1,0)</f>
        <v>166</v>
      </c>
      <c r="B166" t="str">
        <f ca="1">OFFSET(srt_raw!$A$1,(ROW()-1)*4+COLUMN()-1,0)</f>
        <v>00:09:01,080 --&gt; 00:09:04,520</v>
      </c>
      <c r="C166" t="str">
        <f ca="1">OFFSET(srt_raw!$A$1,(ROW()-1)*4+COLUMN()-1,0)</f>
        <v>并且元素之间的关系满足十字偶校验约束，</v>
      </c>
      <c r="D166" t="str">
        <f t="shared" ca="1" si="18"/>
        <v>00:09:01,080</v>
      </c>
      <c r="E166" t="str">
        <f t="shared" ca="1" si="19"/>
        <v>00:09:04,520</v>
      </c>
      <c r="F166" s="5" t="str">
        <f t="shared" ca="1" si="20"/>
        <v>00:09:01.080</v>
      </c>
      <c r="G166" s="1" t="str">
        <f t="shared" ca="1" si="21"/>
        <v>00:09:04.520</v>
      </c>
      <c r="H166" s="2">
        <f t="shared" ca="1" si="22"/>
        <v>3.9814814814813707E-5</v>
      </c>
      <c r="I166">
        <f t="shared" ca="1" si="23"/>
        <v>19</v>
      </c>
      <c r="J166" s="2">
        <f t="shared" ca="1" si="24"/>
        <v>2.0955165692007214E-6</v>
      </c>
      <c r="K166" t="e">
        <f ca="1">MATCH(ROW(),sub!D:D,0)</f>
        <v>#N/A</v>
      </c>
      <c r="L166" t="b">
        <f t="shared" ca="1" si="25"/>
        <v>1</v>
      </c>
      <c r="M166" s="2">
        <f t="shared" ca="1" si="26"/>
        <v>2.0955165692007214E-6</v>
      </c>
    </row>
    <row r="167" spans="1:13" x14ac:dyDescent="0.3">
      <c r="A167">
        <f ca="1">OFFSET(srt_raw!$A$1,(ROW()-1)*4+COLUMN()-1,0)</f>
        <v>167</v>
      </c>
      <c r="B167" t="str">
        <f ca="1">OFFSET(srt_raw!$A$1,(ROW()-1)*4+COLUMN()-1,0)</f>
        <v>00:09:04,520 --&gt; 00:09:06,880</v>
      </c>
      <c r="C167" t="str">
        <f ca="1">OFFSET(srt_raw!$A$1,(ROW()-1)*4+COLUMN()-1,0)</f>
        <v>因此整个式子化为了零。</v>
      </c>
      <c r="D167" t="str">
        <f t="shared" ca="1" si="18"/>
        <v>00:09:04,520</v>
      </c>
      <c r="E167" t="str">
        <f t="shared" ca="1" si="19"/>
        <v>00:09:06,880</v>
      </c>
      <c r="F167" s="5" t="str">
        <f t="shared" ca="1" si="20"/>
        <v>00:09:04.520</v>
      </c>
      <c r="G167" s="1" t="str">
        <f t="shared" ca="1" si="21"/>
        <v>00:09:06.880</v>
      </c>
      <c r="H167" s="2">
        <f t="shared" ca="1" si="22"/>
        <v>2.7314814814815083E-5</v>
      </c>
      <c r="I167">
        <f t="shared" ca="1" si="23"/>
        <v>11</v>
      </c>
      <c r="J167" s="2">
        <f t="shared" ca="1" si="24"/>
        <v>2.4831649831650075E-6</v>
      </c>
      <c r="K167" t="e">
        <f ca="1">MATCH(ROW(),sub!D:D,0)</f>
        <v>#N/A</v>
      </c>
      <c r="L167" t="b">
        <f t="shared" ca="1" si="25"/>
        <v>0</v>
      </c>
      <c r="M167" s="2">
        <f t="shared" ca="1" si="26"/>
        <v>0</v>
      </c>
    </row>
    <row r="168" spans="1:13" x14ac:dyDescent="0.3">
      <c r="A168">
        <f ca="1">OFFSET(srt_raw!$A$1,(ROW()-1)*4+COLUMN()-1,0)</f>
        <v>168</v>
      </c>
      <c r="B168" t="str">
        <f ca="1">OFFSET(srt_raw!$A$1,(ROW()-1)*4+COLUMN()-1,0)</f>
        <v>00:09:08,320 --&gt; 00:09:13,280</v>
      </c>
      <c r="C168" t="str">
        <f ca="1">OFFSET(srt_raw!$A$1,(ROW()-1)*4+COLUMN()-1,0)</f>
        <v>现在我们只需要证明最左边的两个矩阵也满足这个性质即可。</v>
      </c>
      <c r="D168" t="str">
        <f t="shared" ca="1" si="18"/>
        <v>00:09:08,320</v>
      </c>
      <c r="E168" t="str">
        <f t="shared" ca="1" si="19"/>
        <v>00:09:13,280</v>
      </c>
      <c r="F168" s="5" t="str">
        <f t="shared" ca="1" si="20"/>
        <v>00:09:08.320</v>
      </c>
      <c r="G168" s="1" t="str">
        <f t="shared" ca="1" si="21"/>
        <v>00:09:13.280</v>
      </c>
      <c r="H168" s="2">
        <f t="shared" ca="1" si="22"/>
        <v>5.7407407407406193E-5</v>
      </c>
      <c r="I168">
        <f t="shared" ca="1" si="23"/>
        <v>27</v>
      </c>
      <c r="J168" s="2">
        <f t="shared" ca="1" si="24"/>
        <v>2.1262002743483775E-6</v>
      </c>
      <c r="K168">
        <f ca="1">MATCH(ROW(),sub!D:D,0)</f>
        <v>61</v>
      </c>
      <c r="L168" t="b">
        <f t="shared" ca="1" si="25"/>
        <v>1</v>
      </c>
      <c r="M168" s="2">
        <f t="shared" ca="1" si="26"/>
        <v>2.1262002743483775E-6</v>
      </c>
    </row>
    <row r="169" spans="1:13" x14ac:dyDescent="0.3">
      <c r="A169">
        <f ca="1">OFFSET(srt_raw!$A$1,(ROW()-1)*4+COLUMN()-1,0)</f>
        <v>169</v>
      </c>
      <c r="B169" t="str">
        <f ca="1">OFFSET(srt_raw!$A$1,(ROW()-1)*4+COLUMN()-1,0)</f>
        <v>00:09:13,760 --&gt; 00:09:15,520</v>
      </c>
      <c r="C169" t="str">
        <f ca="1">OFFSET(srt_raw!$A$1,(ROW()-1)*4+COLUMN()-1,0)</f>
        <v>第一个矩阵是单位矩阵，</v>
      </c>
      <c r="D169" t="str">
        <f t="shared" ca="1" si="18"/>
        <v>00:09:13,760</v>
      </c>
      <c r="E169" t="str">
        <f t="shared" ca="1" si="19"/>
        <v>00:09:15,520</v>
      </c>
      <c r="F169" s="5" t="str">
        <f t="shared" ca="1" si="20"/>
        <v>00:09:13.760</v>
      </c>
      <c r="G169" s="1" t="str">
        <f t="shared" ca="1" si="21"/>
        <v>00:09:15.520</v>
      </c>
      <c r="H169" s="2">
        <f t="shared" ca="1" si="22"/>
        <v>2.0370370370370247E-5</v>
      </c>
      <c r="I169">
        <f t="shared" ca="1" si="23"/>
        <v>11</v>
      </c>
      <c r="J169" s="2">
        <f t="shared" ca="1" si="24"/>
        <v>1.8518518518518406E-6</v>
      </c>
      <c r="K169" t="e">
        <f ca="1">MATCH(ROW(),sub!D:D,0)</f>
        <v>#N/A</v>
      </c>
      <c r="L169" t="b">
        <f t="shared" ca="1" si="25"/>
        <v>1</v>
      </c>
      <c r="M169" s="2">
        <f t="shared" ca="1" si="26"/>
        <v>1.8518518518518406E-6</v>
      </c>
    </row>
    <row r="170" spans="1:13" x14ac:dyDescent="0.3">
      <c r="A170">
        <f ca="1">OFFSET(srt_raw!$A$1,(ROW()-1)*4+COLUMN()-1,0)</f>
        <v>170</v>
      </c>
      <c r="B170" t="str">
        <f ca="1">OFFSET(srt_raw!$A$1,(ROW()-1)*4+COLUMN()-1,0)</f>
        <v>00:09:15,520 --&gt; 00:09:17,040</v>
      </c>
      <c r="C170" t="str">
        <f ca="1">OFFSET(srt_raw!$A$1,(ROW()-1)*4+COLUMN()-1,0)</f>
        <v>显然满足这个性质。</v>
      </c>
      <c r="D170" t="str">
        <f t="shared" ca="1" si="18"/>
        <v>00:09:15,520</v>
      </c>
      <c r="E170" t="str">
        <f t="shared" ca="1" si="19"/>
        <v>00:09:17,040</v>
      </c>
      <c r="F170" s="5" t="str">
        <f t="shared" ca="1" si="20"/>
        <v>00:09:15.520</v>
      </c>
      <c r="G170" s="1" t="str">
        <f t="shared" ca="1" si="21"/>
        <v>00:09:17.040</v>
      </c>
      <c r="H170" s="2">
        <f t="shared" ca="1" si="22"/>
        <v>1.7592592592591619E-5</v>
      </c>
      <c r="I170">
        <f t="shared" ca="1" si="23"/>
        <v>9</v>
      </c>
      <c r="J170" s="2">
        <f t="shared" ca="1" si="24"/>
        <v>1.9547325102879578E-6</v>
      </c>
      <c r="K170" t="e">
        <f ca="1">MATCH(ROW(),sub!D:D,0)</f>
        <v>#N/A</v>
      </c>
      <c r="L170" t="b">
        <f t="shared" ca="1" si="25"/>
        <v>0</v>
      </c>
      <c r="M170" s="2">
        <f t="shared" ca="1" si="26"/>
        <v>0</v>
      </c>
    </row>
    <row r="171" spans="1:13" x14ac:dyDescent="0.3">
      <c r="A171">
        <f ca="1">OFFSET(srt_raw!$A$1,(ROW()-1)*4+COLUMN()-1,0)</f>
        <v>171</v>
      </c>
      <c r="B171" t="str">
        <f ca="1">OFFSET(srt_raw!$A$1,(ROW()-1)*4+COLUMN()-1,0)</f>
        <v>00:09:18,520 --&gt; 00:09:22,360</v>
      </c>
      <c r="C171" t="str">
        <f ca="1">OFFSET(srt_raw!$A$1,(ROW()-1)*4+COLUMN()-1,0)</f>
        <v>第二个矩阵可以表示为左边两个矩阵的叠加，</v>
      </c>
      <c r="D171" t="str">
        <f t="shared" ca="1" si="18"/>
        <v>00:09:18,520</v>
      </c>
      <c r="E171" t="str">
        <f t="shared" ca="1" si="19"/>
        <v>00:09:22,360</v>
      </c>
      <c r="F171" s="5" t="str">
        <f t="shared" ca="1" si="20"/>
        <v>00:09:18.520</v>
      </c>
      <c r="G171" s="1" t="str">
        <f t="shared" ca="1" si="21"/>
        <v>00:09:22.360</v>
      </c>
      <c r="H171" s="2">
        <f t="shared" ca="1" si="22"/>
        <v>4.4444444444445043E-5</v>
      </c>
      <c r="I171">
        <f t="shared" ca="1" si="23"/>
        <v>20</v>
      </c>
      <c r="J171" s="2">
        <f t="shared" ca="1" si="24"/>
        <v>2.2222222222222521E-6</v>
      </c>
      <c r="K171">
        <f ca="1">MATCH(ROW(),sub!D:D,0)</f>
        <v>62</v>
      </c>
      <c r="L171" t="b">
        <f t="shared" ca="1" si="25"/>
        <v>1</v>
      </c>
      <c r="M171" s="2">
        <f t="shared" ca="1" si="26"/>
        <v>2.2222222222222521E-6</v>
      </c>
    </row>
    <row r="172" spans="1:13" x14ac:dyDescent="0.3">
      <c r="A172">
        <f ca="1">OFFSET(srt_raw!$A$1,(ROW()-1)*4+COLUMN()-1,0)</f>
        <v>172</v>
      </c>
      <c r="B172" t="str">
        <f ca="1">OFFSET(srt_raw!$A$1,(ROW()-1)*4+COLUMN()-1,0)</f>
        <v>00:09:22,360 --&gt; 00:09:24,600</v>
      </c>
      <c r="C172" t="str">
        <f ca="1">OFFSET(srt_raw!$A$1,(ROW()-1)*4+COLUMN()-1,0)</f>
        <v>由于单位矩阵左边没有矩阵，</v>
      </c>
      <c r="D172" t="str">
        <f t="shared" ca="1" si="18"/>
        <v>00:09:22,360</v>
      </c>
      <c r="E172" t="str">
        <f t="shared" ca="1" si="19"/>
        <v>00:09:24,600</v>
      </c>
      <c r="F172" s="5" t="str">
        <f t="shared" ca="1" si="20"/>
        <v>00:09:22.360</v>
      </c>
      <c r="G172" s="1" t="str">
        <f t="shared" ca="1" si="21"/>
        <v>00:09:24.600</v>
      </c>
      <c r="H172" s="2">
        <f t="shared" ca="1" si="22"/>
        <v>2.5925925925925769E-5</v>
      </c>
      <c r="I172">
        <f t="shared" ca="1" si="23"/>
        <v>13</v>
      </c>
      <c r="J172" s="2">
        <f t="shared" ca="1" si="24"/>
        <v>1.9943019943019824E-6</v>
      </c>
      <c r="K172" t="e">
        <f ca="1">MATCH(ROW(),sub!D:D,0)</f>
        <v>#N/A</v>
      </c>
      <c r="L172" t="b">
        <f t="shared" ca="1" si="25"/>
        <v>1</v>
      </c>
      <c r="M172" s="2">
        <f t="shared" ca="1" si="26"/>
        <v>1.9943019943019824E-6</v>
      </c>
    </row>
    <row r="173" spans="1:13" x14ac:dyDescent="0.3">
      <c r="A173">
        <f ca="1">OFFSET(srt_raw!$A$1,(ROW()-1)*4+COLUMN()-1,0)</f>
        <v>173</v>
      </c>
      <c r="B173" t="str">
        <f ca="1">OFFSET(srt_raw!$A$1,(ROW()-1)*4+COLUMN()-1,0)</f>
        <v>00:09:24,600 --&gt; 00:09:28,600</v>
      </c>
      <c r="C173" t="str">
        <f ca="1">OFFSET(srt_raw!$A$1,(ROW()-1)*4+COLUMN()-1,0)</f>
        <v>因此相当于叠加了一个零矩阵。</v>
      </c>
      <c r="D173" t="str">
        <f t="shared" ca="1" si="18"/>
        <v>00:09:24,600</v>
      </c>
      <c r="E173" t="str">
        <f t="shared" ca="1" si="19"/>
        <v>00:09:28,600</v>
      </c>
      <c r="F173" s="5" t="str">
        <f t="shared" ca="1" si="20"/>
        <v>00:09:24.600</v>
      </c>
      <c r="G173" s="1" t="str">
        <f t="shared" ca="1" si="21"/>
        <v>00:09:28.600</v>
      </c>
      <c r="H173" s="2">
        <f t="shared" ca="1" si="22"/>
        <v>4.6296296296296884E-5</v>
      </c>
      <c r="I173">
        <f t="shared" ca="1" si="23"/>
        <v>14</v>
      </c>
      <c r="J173" s="2">
        <f t="shared" ca="1" si="24"/>
        <v>3.3068783068783489E-6</v>
      </c>
      <c r="K173" t="e">
        <f ca="1">MATCH(ROW(),sub!D:D,0)</f>
        <v>#N/A</v>
      </c>
      <c r="L173" t="b">
        <f t="shared" ca="1" si="25"/>
        <v>0</v>
      </c>
      <c r="M173" s="2">
        <f t="shared" ca="1" si="26"/>
        <v>0</v>
      </c>
    </row>
    <row r="174" spans="1:13" x14ac:dyDescent="0.3">
      <c r="A174">
        <f ca="1">OFFSET(srt_raw!$A$1,(ROW()-1)*4+COLUMN()-1,0)</f>
        <v>174</v>
      </c>
      <c r="B174" t="str">
        <f ca="1">OFFSET(srt_raw!$A$1,(ROW()-1)*4+COLUMN()-1,0)</f>
        <v>00:09:28,600 --&gt; 00:09:30,920</v>
      </c>
      <c r="C174" t="str">
        <f ca="1">OFFSET(srt_raw!$A$1,(ROW()-1)*4+COLUMN()-1,0)</f>
        <v>由于零矩阵显然满足这个性质，</v>
      </c>
      <c r="D174" t="str">
        <f t="shared" ca="1" si="18"/>
        <v>00:09:28,600</v>
      </c>
      <c r="E174" t="str">
        <f t="shared" ca="1" si="19"/>
        <v>00:09:30,920</v>
      </c>
      <c r="F174" s="5" t="str">
        <f t="shared" ca="1" si="20"/>
        <v>00:09:28.600</v>
      </c>
      <c r="G174" s="1" t="str">
        <f t="shared" ca="1" si="21"/>
        <v>00:09:30.920</v>
      </c>
      <c r="H174" s="2">
        <f t="shared" ca="1" si="22"/>
        <v>2.6851851851850822E-5</v>
      </c>
      <c r="I174">
        <f t="shared" ca="1" si="23"/>
        <v>14</v>
      </c>
      <c r="J174" s="2">
        <f t="shared" ca="1" si="24"/>
        <v>1.9179894179893444E-6</v>
      </c>
      <c r="K174">
        <f ca="1">MATCH(ROW(),sub!D:D,0)</f>
        <v>63</v>
      </c>
      <c r="L174" t="b">
        <f t="shared" ca="1" si="25"/>
        <v>1</v>
      </c>
      <c r="M174" s="2">
        <f t="shared" ca="1" si="26"/>
        <v>1.9179894179893444E-6</v>
      </c>
    </row>
    <row r="175" spans="1:13" x14ac:dyDescent="0.3">
      <c r="A175">
        <f ca="1">OFFSET(srt_raw!$A$1,(ROW()-1)*4+COLUMN()-1,0)</f>
        <v>175</v>
      </c>
      <c r="B175" t="str">
        <f ca="1">OFFSET(srt_raw!$A$1,(ROW()-1)*4+COLUMN()-1,0)</f>
        <v>00:09:31,120 --&gt; 00:09:33,840</v>
      </c>
      <c r="C175" t="str">
        <f ca="1">OFFSET(srt_raw!$A$1,(ROW()-1)*4+COLUMN()-1,0)</f>
        <v>因此第二个矩阵也满足这个性质，</v>
      </c>
      <c r="D175" t="str">
        <f t="shared" ca="1" si="18"/>
        <v>00:09:31,120</v>
      </c>
      <c r="E175" t="str">
        <f t="shared" ca="1" si="19"/>
        <v>00:09:33,840</v>
      </c>
      <c r="F175" s="5" t="str">
        <f t="shared" ca="1" si="20"/>
        <v>00:09:31.120</v>
      </c>
      <c r="G175" s="1" t="str">
        <f t="shared" ca="1" si="21"/>
        <v>00:09:33.840</v>
      </c>
      <c r="H175" s="2">
        <f t="shared" ca="1" si="22"/>
        <v>3.1481481481482158E-5</v>
      </c>
      <c r="I175">
        <f t="shared" ca="1" si="23"/>
        <v>15</v>
      </c>
      <c r="J175" s="2">
        <f t="shared" ca="1" si="24"/>
        <v>2.0987654320988107E-6</v>
      </c>
      <c r="K175" t="e">
        <f ca="1">MATCH(ROW(),sub!D:D,0)</f>
        <v>#N/A</v>
      </c>
      <c r="L175" t="b">
        <f t="shared" ca="1" si="25"/>
        <v>0</v>
      </c>
      <c r="M175" s="2">
        <f t="shared" ca="1" si="26"/>
        <v>0</v>
      </c>
    </row>
    <row r="176" spans="1:13" x14ac:dyDescent="0.3">
      <c r="A176">
        <f ca="1">OFFSET(srt_raw!$A$1,(ROW()-1)*4+COLUMN()-1,0)</f>
        <v>176</v>
      </c>
      <c r="B176" t="str">
        <f ca="1">OFFSET(srt_raw!$A$1,(ROW()-1)*4+COLUMN()-1,0)</f>
        <v>00:09:35,360 --&gt; 00:09:37,320</v>
      </c>
      <c r="C176" t="str">
        <f ca="1">OFFSET(srt_raw!$A$1,(ROW()-1)*4+COLUMN()-1,0)</f>
        <v>因为BN有了这个性质，</v>
      </c>
      <c r="D176" t="str">
        <f t="shared" ca="1" si="18"/>
        <v>00:09:35,360</v>
      </c>
      <c r="E176" t="str">
        <f t="shared" ca="1" si="19"/>
        <v>00:09:37,320</v>
      </c>
      <c r="F176" s="5" t="str">
        <f t="shared" ca="1" si="20"/>
        <v>00:09:35.360</v>
      </c>
      <c r="G176" s="1" t="str">
        <f t="shared" ca="1" si="21"/>
        <v>00:09:37.320</v>
      </c>
      <c r="H176" s="2">
        <f t="shared" ca="1" si="22"/>
        <v>2.2685185185185482E-5</v>
      </c>
      <c r="I176">
        <f t="shared" ca="1" si="23"/>
        <v>11</v>
      </c>
      <c r="J176" s="2">
        <f t="shared" ca="1" si="24"/>
        <v>2.0622895622895893E-6</v>
      </c>
      <c r="K176">
        <f ca="1">MATCH(ROW(),sub!D:D,0)</f>
        <v>64</v>
      </c>
      <c r="L176" t="b">
        <f t="shared" ca="1" si="25"/>
        <v>1</v>
      </c>
      <c r="M176" s="2">
        <f t="shared" ca="1" si="26"/>
        <v>2.0622895622895893E-6</v>
      </c>
    </row>
    <row r="177" spans="1:13" x14ac:dyDescent="0.3">
      <c r="A177">
        <f ca="1">OFFSET(srt_raw!$A$1,(ROW()-1)*4+COLUMN()-1,0)</f>
        <v>177</v>
      </c>
      <c r="B177" t="str">
        <f ca="1">OFFSET(srt_raw!$A$1,(ROW()-1)*4+COLUMN()-1,0)</f>
        <v>00:09:37,520 --&gt; 00:09:42,320</v>
      </c>
      <c r="C177" t="str">
        <f ca="1">OFFSET(srt_raw!$A$1,(ROW()-1)*4+COLUMN()-1,0)</f>
        <v>我们只需要知道BN的第一行就能通过公式推导出后续的行，</v>
      </c>
      <c r="D177" t="str">
        <f t="shared" ca="1" si="18"/>
        <v>00:09:37,520</v>
      </c>
      <c r="E177" t="str">
        <f t="shared" ca="1" si="19"/>
        <v>00:09:42,320</v>
      </c>
      <c r="F177" s="5" t="str">
        <f t="shared" ca="1" si="20"/>
        <v>00:09:37.520</v>
      </c>
      <c r="G177" s="1" t="str">
        <f t="shared" ca="1" si="21"/>
        <v>00:09:42.320</v>
      </c>
      <c r="H177" s="2">
        <f t="shared" ca="1" si="22"/>
        <v>5.5555555555556954E-5</v>
      </c>
      <c r="I177">
        <f t="shared" ca="1" si="23"/>
        <v>27</v>
      </c>
      <c r="J177" s="2">
        <f t="shared" ca="1" si="24"/>
        <v>2.0576131687243317E-6</v>
      </c>
      <c r="K177" t="e">
        <f ca="1">MATCH(ROW(),sub!D:D,0)</f>
        <v>#N/A</v>
      </c>
      <c r="L177" t="b">
        <f t="shared" ca="1" si="25"/>
        <v>1</v>
      </c>
      <c r="M177" s="2">
        <f t="shared" ca="1" si="26"/>
        <v>2.0576131687243317E-6</v>
      </c>
    </row>
    <row r="178" spans="1:13" x14ac:dyDescent="0.3">
      <c r="A178">
        <f ca="1">OFFSET(srt_raw!$A$1,(ROW()-1)*4+COLUMN()-1,0)</f>
        <v>178</v>
      </c>
      <c r="B178" t="str">
        <f ca="1">OFFSET(srt_raw!$A$1,(ROW()-1)*4+COLUMN()-1,0)</f>
        <v>00:09:42,480 --&gt; 00:09:44,320</v>
      </c>
      <c r="C178" t="str">
        <f ca="1">OFFSET(srt_raw!$A$1,(ROW()-1)*4+COLUMN()-1,0)</f>
        <v>求得完整的矩阵BN。</v>
      </c>
      <c r="D178" t="str">
        <f t="shared" ca="1" si="18"/>
        <v>00:09:42,480</v>
      </c>
      <c r="E178" t="str">
        <f t="shared" ca="1" si="19"/>
        <v>00:09:44,320</v>
      </c>
      <c r="F178" s="5" t="str">
        <f t="shared" ca="1" si="20"/>
        <v>00:09:42.480</v>
      </c>
      <c r="G178" s="1" t="str">
        <f t="shared" ca="1" si="21"/>
        <v>00:09:44.320</v>
      </c>
      <c r="H178" s="2">
        <f t="shared" ca="1" si="22"/>
        <v>2.1296296296297035E-5</v>
      </c>
      <c r="I178">
        <f t="shared" ca="1" si="23"/>
        <v>10</v>
      </c>
      <c r="J178" s="2">
        <f t="shared" ca="1" si="24"/>
        <v>2.1296296296297035E-6</v>
      </c>
      <c r="K178" t="e">
        <f ca="1">MATCH(ROW(),sub!D:D,0)</f>
        <v>#N/A</v>
      </c>
      <c r="L178" t="b">
        <f t="shared" ca="1" si="25"/>
        <v>0</v>
      </c>
      <c r="M178" s="2">
        <f t="shared" ca="1" si="26"/>
        <v>0</v>
      </c>
    </row>
    <row r="179" spans="1:13" x14ac:dyDescent="0.3">
      <c r="A179">
        <f ca="1">OFFSET(srt_raw!$A$1,(ROW()-1)*4+COLUMN()-1,0)</f>
        <v>179</v>
      </c>
      <c r="B179" t="str">
        <f ca="1">OFFSET(srt_raw!$A$1,(ROW()-1)*4+COLUMN()-1,0)</f>
        <v>00:09:46,000 --&gt; 00:09:48,600</v>
      </c>
      <c r="C179" t="str">
        <f ca="1">OFFSET(srt_raw!$A$1,(ROW()-1)*4+COLUMN()-1,0)</f>
        <v>为了实现ON的二次方次算法，</v>
      </c>
      <c r="D179" t="str">
        <f t="shared" ca="1" si="18"/>
        <v>00:09:46,000</v>
      </c>
      <c r="E179" t="str">
        <f t="shared" ca="1" si="19"/>
        <v>00:09:48,600</v>
      </c>
      <c r="F179" s="5" t="str">
        <f t="shared" ca="1" si="20"/>
        <v>00:09:46.000</v>
      </c>
      <c r="G179" s="1" t="str">
        <f t="shared" ca="1" si="21"/>
        <v>00:09:48.600</v>
      </c>
      <c r="H179" s="2">
        <f t="shared" ca="1" si="22"/>
        <v>3.0092592592592844E-5</v>
      </c>
      <c r="I179">
        <f t="shared" ca="1" si="23"/>
        <v>14</v>
      </c>
      <c r="J179" s="2">
        <f t="shared" ca="1" si="24"/>
        <v>2.1494708994709176E-6</v>
      </c>
      <c r="K179">
        <f ca="1">MATCH(ROW(),sub!D:D,0)</f>
        <v>65</v>
      </c>
      <c r="L179" t="b">
        <f t="shared" ca="1" si="25"/>
        <v>1</v>
      </c>
      <c r="M179" s="2">
        <f t="shared" ca="1" si="26"/>
        <v>2.1494708994709176E-6</v>
      </c>
    </row>
    <row r="180" spans="1:13" x14ac:dyDescent="0.3">
      <c r="A180">
        <f ca="1">OFFSET(srt_raw!$A$1,(ROW()-1)*4+COLUMN()-1,0)</f>
        <v>180</v>
      </c>
      <c r="B180" t="str">
        <f ca="1">OFFSET(srt_raw!$A$1,(ROW()-1)*4+COLUMN()-1,0)</f>
        <v>00:09:48,720 --&gt; 00:09:51,000</v>
      </c>
      <c r="C180" t="str">
        <f ca="1">OFFSET(srt_raw!$A$1,(ROW()-1)*4+COLUMN()-1,0)</f>
        <v>我们也需要用到类似的方法，</v>
      </c>
      <c r="D180" t="str">
        <f t="shared" ca="1" si="18"/>
        <v>00:09:48,720</v>
      </c>
      <c r="E180" t="str">
        <f t="shared" ca="1" si="19"/>
        <v>00:09:51,000</v>
      </c>
      <c r="F180" s="5" t="str">
        <f t="shared" ca="1" si="20"/>
        <v>00:09:48.720</v>
      </c>
      <c r="G180" s="1" t="str">
        <f t="shared" ca="1" si="21"/>
        <v>00:09:51.000</v>
      </c>
      <c r="H180" s="2">
        <f t="shared" ca="1" si="22"/>
        <v>2.6388888888888296E-5</v>
      </c>
      <c r="I180">
        <f t="shared" ca="1" si="23"/>
        <v>13</v>
      </c>
      <c r="J180" s="2">
        <f t="shared" ca="1" si="24"/>
        <v>2.0299145299144842E-6</v>
      </c>
      <c r="K180" t="e">
        <f ca="1">MATCH(ROW(),sub!D:D,0)</f>
        <v>#N/A</v>
      </c>
      <c r="L180" t="b">
        <f t="shared" ca="1" si="25"/>
        <v>1</v>
      </c>
      <c r="M180" s="2">
        <f t="shared" ca="1" si="26"/>
        <v>2.0299145299144842E-6</v>
      </c>
    </row>
    <row r="181" spans="1:13" x14ac:dyDescent="0.3">
      <c r="A181">
        <f ca="1">OFFSET(srt_raw!$A$1,(ROW()-1)*4+COLUMN()-1,0)</f>
        <v>181</v>
      </c>
      <c r="B181" t="str">
        <f ca="1">OFFSET(srt_raw!$A$1,(ROW()-1)*4+COLUMN()-1,0)</f>
        <v>00:09:51,000 --&gt; 00:09:53,360</v>
      </c>
      <c r="C181" t="str">
        <f ca="1">OFFSET(srt_raw!$A$1,(ROW()-1)*4+COLUMN()-1,0)</f>
        <v>尽量不去对整个矩阵进行操作，</v>
      </c>
      <c r="D181" t="str">
        <f t="shared" ca="1" si="18"/>
        <v>00:09:51,000</v>
      </c>
      <c r="E181" t="str">
        <f t="shared" ca="1" si="19"/>
        <v>00:09:53,360</v>
      </c>
      <c r="F181" s="5" t="str">
        <f t="shared" ca="1" si="20"/>
        <v>00:09:51.000</v>
      </c>
      <c r="G181" s="1" t="str">
        <f t="shared" ca="1" si="21"/>
        <v>00:09:53.360</v>
      </c>
      <c r="H181" s="2">
        <f t="shared" ca="1" si="22"/>
        <v>2.7314814814815083E-5</v>
      </c>
      <c r="I181">
        <f t="shared" ca="1" si="23"/>
        <v>14</v>
      </c>
      <c r="J181" s="2">
        <f t="shared" ca="1" si="24"/>
        <v>1.9510582010582201E-6</v>
      </c>
      <c r="K181" t="e">
        <f ca="1">MATCH(ROW(),sub!D:D,0)</f>
        <v>#N/A</v>
      </c>
      <c r="L181" t="b">
        <f t="shared" ca="1" si="25"/>
        <v>1</v>
      </c>
      <c r="M181" s="2">
        <f t="shared" ca="1" si="26"/>
        <v>1.9510582010582201E-6</v>
      </c>
    </row>
    <row r="182" spans="1:13" x14ac:dyDescent="0.3">
      <c r="A182">
        <f ca="1">OFFSET(srt_raw!$A$1,(ROW()-1)*4+COLUMN()-1,0)</f>
        <v>182</v>
      </c>
      <c r="B182" t="str">
        <f ca="1">OFFSET(srt_raw!$A$1,(ROW()-1)*4+COLUMN()-1,0)</f>
        <v>00:09:53,520 --&gt; 00:09:56,120</v>
      </c>
      <c r="C182" t="str">
        <f ca="1">OFFSET(srt_raw!$A$1,(ROW()-1)*4+COLUMN()-1,0)</f>
        <v>而是通过第一行来求逆或求解。</v>
      </c>
      <c r="D182" t="str">
        <f t="shared" ca="1" si="18"/>
        <v>00:09:53,520</v>
      </c>
      <c r="E182" t="str">
        <f t="shared" ca="1" si="19"/>
        <v>00:09:56,120</v>
      </c>
      <c r="F182" s="5" t="str">
        <f t="shared" ca="1" si="20"/>
        <v>00:09:53.520</v>
      </c>
      <c r="G182" s="1" t="str">
        <f t="shared" ca="1" si="21"/>
        <v>00:09:56.120</v>
      </c>
      <c r="H182" s="2">
        <f t="shared" ca="1" si="22"/>
        <v>3.0092592592592844E-5</v>
      </c>
      <c r="I182">
        <f t="shared" ca="1" si="23"/>
        <v>14</v>
      </c>
      <c r="J182" s="2">
        <f t="shared" ca="1" si="24"/>
        <v>2.1494708994709176E-6</v>
      </c>
      <c r="K182" t="e">
        <f ca="1">MATCH(ROW(),sub!D:D,0)</f>
        <v>#N/A</v>
      </c>
      <c r="L182" t="b">
        <f t="shared" ca="1" si="25"/>
        <v>0</v>
      </c>
      <c r="M182" s="2">
        <f t="shared" ca="1" si="26"/>
        <v>0</v>
      </c>
    </row>
    <row r="183" spans="1:13" x14ac:dyDescent="0.3">
      <c r="A183">
        <f ca="1">OFFSET(srt_raw!$A$1,(ROW()-1)*4+COLUMN()-1,0)</f>
        <v>183</v>
      </c>
      <c r="B183" t="str">
        <f ca="1">OFFSET(srt_raw!$A$1,(ROW()-1)*4+COLUMN()-1,0)</f>
        <v>00:09:57,760 --&gt; 00:09:59,960</v>
      </c>
      <c r="C183" t="str">
        <f ca="1">OFFSET(srt_raw!$A$1,(ROW()-1)*4+COLUMN()-1,0)</f>
        <v>我们以N等于7为例，</v>
      </c>
      <c r="D183" t="str">
        <f t="shared" ca="1" si="18"/>
        <v>00:09:57,760</v>
      </c>
      <c r="E183" t="str">
        <f t="shared" ca="1" si="19"/>
        <v>00:09:59,960</v>
      </c>
      <c r="F183" s="5" t="str">
        <f t="shared" ca="1" si="20"/>
        <v>00:09:57.760</v>
      </c>
      <c r="G183" s="1" t="str">
        <f t="shared" ca="1" si="21"/>
        <v>00:09:59.960</v>
      </c>
      <c r="H183" s="2">
        <f t="shared" ca="1" si="22"/>
        <v>2.5462962962963243E-5</v>
      </c>
      <c r="I183">
        <f t="shared" ca="1" si="23"/>
        <v>10</v>
      </c>
      <c r="J183" s="2">
        <f t="shared" ca="1" si="24"/>
        <v>2.5462962962963241E-6</v>
      </c>
      <c r="K183">
        <f ca="1">MATCH(ROW(),sub!D:D,0)</f>
        <v>66</v>
      </c>
      <c r="L183" t="b">
        <f t="shared" ca="1" si="25"/>
        <v>1</v>
      </c>
      <c r="M183" s="2">
        <f t="shared" ca="1" si="26"/>
        <v>2.5462962962963241E-6</v>
      </c>
    </row>
    <row r="184" spans="1:13" x14ac:dyDescent="0.3">
      <c r="A184">
        <f ca="1">OFFSET(srt_raw!$A$1,(ROW()-1)*4+COLUMN()-1,0)</f>
        <v>184</v>
      </c>
      <c r="B184" t="str">
        <f ca="1">OFFSET(srt_raw!$A$1,(ROW()-1)*4+COLUMN()-1,0)</f>
        <v>00:09:59,960 --&gt; 00:10:03,240</v>
      </c>
      <c r="C184" t="str">
        <f ca="1">OFFSET(srt_raw!$A$1,(ROW()-1)*4+COLUMN()-1,0)</f>
        <v>这里的B就是前面提到的按钮矩阵BN，</v>
      </c>
      <c r="D184" t="str">
        <f t="shared" ca="1" si="18"/>
        <v>00:09:59,960</v>
      </c>
      <c r="E184" t="str">
        <f t="shared" ca="1" si="19"/>
        <v>00:10:03,240</v>
      </c>
      <c r="F184" s="5" t="str">
        <f t="shared" ca="1" si="20"/>
        <v>00:09:59.960</v>
      </c>
      <c r="G184" s="1" t="str">
        <f t="shared" ca="1" si="21"/>
        <v>00:10:03.240</v>
      </c>
      <c r="H184" s="2">
        <f t="shared" ca="1" si="22"/>
        <v>3.7962962962962733E-5</v>
      </c>
      <c r="I184">
        <f t="shared" ca="1" si="23"/>
        <v>18</v>
      </c>
      <c r="J184" s="2">
        <f t="shared" ca="1" si="24"/>
        <v>2.1090534979423742E-6</v>
      </c>
      <c r="K184" t="e">
        <f ca="1">MATCH(ROW(),sub!D:D,0)</f>
        <v>#N/A</v>
      </c>
      <c r="L184" t="b">
        <f t="shared" ca="1" si="25"/>
        <v>1</v>
      </c>
      <c r="M184" s="2">
        <f t="shared" ca="1" si="26"/>
        <v>2.1090534979423742E-6</v>
      </c>
    </row>
    <row r="185" spans="1:13" x14ac:dyDescent="0.3">
      <c r="A185">
        <f ca="1">OFFSET(srt_raw!$A$1,(ROW()-1)*4+COLUMN()-1,0)</f>
        <v>185</v>
      </c>
      <c r="B185" t="str">
        <f ca="1">OFFSET(srt_raw!$A$1,(ROW()-1)*4+COLUMN()-1,0)</f>
        <v>00:10:03,520 --&gt; 00:10:06,000</v>
      </c>
      <c r="C185" t="str">
        <f ca="1">OFFSET(srt_raw!$A$1,(ROW()-1)*4+COLUMN()-1,0)</f>
        <v>而Y就是翻转向量的最后一行，</v>
      </c>
      <c r="D185" t="str">
        <f t="shared" ca="1" si="18"/>
        <v>00:10:03,520</v>
      </c>
      <c r="E185" t="str">
        <f t="shared" ca="1" si="19"/>
        <v>00:10:06,000</v>
      </c>
      <c r="F185" s="5" t="str">
        <f t="shared" ca="1" si="20"/>
        <v>00:10:03.520</v>
      </c>
      <c r="G185" s="1" t="str">
        <f t="shared" ca="1" si="21"/>
        <v>00:10:06.000</v>
      </c>
      <c r="H185" s="2">
        <f t="shared" ca="1" si="22"/>
        <v>2.8703703703704397E-5</v>
      </c>
      <c r="I185">
        <f t="shared" ca="1" si="23"/>
        <v>14</v>
      </c>
      <c r="J185" s="2">
        <f t="shared" ca="1" si="24"/>
        <v>2.0502645502646E-6</v>
      </c>
      <c r="K185" t="e">
        <f ca="1">MATCH(ROW(),sub!D:D,0)</f>
        <v>#N/A</v>
      </c>
      <c r="L185" t="b">
        <f t="shared" ca="1" si="25"/>
        <v>1</v>
      </c>
      <c r="M185" s="2">
        <f t="shared" ca="1" si="26"/>
        <v>2.0502645502646E-6</v>
      </c>
    </row>
    <row r="186" spans="1:13" x14ac:dyDescent="0.3">
      <c r="A186">
        <f ca="1">OFFSET(srt_raw!$A$1,(ROW()-1)*4+COLUMN()-1,0)</f>
        <v>186</v>
      </c>
      <c r="B186" t="str">
        <f ca="1">OFFSET(srt_raw!$A$1,(ROW()-1)*4+COLUMN()-1,0)</f>
        <v>00:10:06,160 --&gt; 00:10:08,080</v>
      </c>
      <c r="C186" t="str">
        <f ca="1">OFFSET(srt_raw!$A$1,(ROW()-1)*4+COLUMN()-1,0)</f>
        <v>即BN的增广向量。</v>
      </c>
      <c r="D186" t="str">
        <f t="shared" ca="1" si="18"/>
        <v>00:10:06,160</v>
      </c>
      <c r="E186" t="str">
        <f t="shared" ca="1" si="19"/>
        <v>00:10:08,080</v>
      </c>
      <c r="F186" s="5" t="str">
        <f t="shared" ca="1" si="20"/>
        <v>00:10:06.160</v>
      </c>
      <c r="G186" s="1" t="str">
        <f t="shared" ca="1" si="21"/>
        <v>00:10:08.080</v>
      </c>
      <c r="H186" s="2">
        <f t="shared" ca="1" si="22"/>
        <v>2.2222222222222955E-5</v>
      </c>
      <c r="I186">
        <f t="shared" ca="1" si="23"/>
        <v>9</v>
      </c>
      <c r="J186" s="2">
        <f t="shared" ca="1" si="24"/>
        <v>2.4691358024692171E-6</v>
      </c>
      <c r="K186" t="e">
        <f ca="1">MATCH(ROW(),sub!D:D,0)</f>
        <v>#N/A</v>
      </c>
      <c r="L186" t="b">
        <f t="shared" ca="1" si="25"/>
        <v>0</v>
      </c>
      <c r="M186" s="2">
        <f t="shared" ca="1" si="26"/>
        <v>0</v>
      </c>
    </row>
    <row r="187" spans="1:13" x14ac:dyDescent="0.3">
      <c r="A187">
        <f ca="1">OFFSET(srt_raw!$A$1,(ROW()-1)*4+COLUMN()-1,0)</f>
        <v>187</v>
      </c>
      <c r="B187" t="str">
        <f ca="1">OFFSET(srt_raw!$A$1,(ROW()-1)*4+COLUMN()-1,0)</f>
        <v>00:10:09,520 --&gt; 00:10:12,800</v>
      </c>
      <c r="C187" t="str">
        <f ca="1">OFFSET(srt_raw!$A$1,(ROW()-1)*4+COLUMN()-1,0)</f>
        <v>我们的目标是对于BX等于Y。</v>
      </c>
      <c r="D187" t="str">
        <f t="shared" ca="1" si="18"/>
        <v>00:10:09,520</v>
      </c>
      <c r="E187" t="str">
        <f t="shared" ca="1" si="19"/>
        <v>00:10:12,800</v>
      </c>
      <c r="F187" s="5" t="str">
        <f t="shared" ca="1" si="20"/>
        <v>00:10:09.520</v>
      </c>
      <c r="G187" s="1" t="str">
        <f t="shared" ca="1" si="21"/>
        <v>00:10:12.800</v>
      </c>
      <c r="H187" s="2">
        <f t="shared" ca="1" si="22"/>
        <v>3.7962962962962733E-5</v>
      </c>
      <c r="I187">
        <f t="shared" ca="1" si="23"/>
        <v>14</v>
      </c>
      <c r="J187" s="2">
        <f t="shared" ca="1" si="24"/>
        <v>2.7116402116401954E-6</v>
      </c>
      <c r="K187">
        <f ca="1">MATCH(ROW(),sub!D:D,0)</f>
        <v>67</v>
      </c>
      <c r="L187" t="b">
        <f t="shared" ca="1" si="25"/>
        <v>1</v>
      </c>
      <c r="M187" s="2">
        <f t="shared" ca="1" si="26"/>
        <v>2.7116402116401954E-6</v>
      </c>
    </row>
    <row r="188" spans="1:13" x14ac:dyDescent="0.3">
      <c r="A188">
        <f ca="1">OFFSET(srt_raw!$A$1,(ROW()-1)*4+COLUMN()-1,0)</f>
        <v>188</v>
      </c>
      <c r="B188" t="str">
        <f ca="1">OFFSET(srt_raw!$A$1,(ROW()-1)*4+COLUMN()-1,0)</f>
        <v>00:10:13,040 --&gt; 00:10:16,160</v>
      </c>
      <c r="C188" t="str">
        <f ca="1">OFFSET(srt_raw!$A$1,(ROW()-1)*4+COLUMN()-1,0)</f>
        <v>在已知B的第一行和Y的情况下求X，</v>
      </c>
      <c r="D188" t="str">
        <f t="shared" ca="1" si="18"/>
        <v>00:10:13,040</v>
      </c>
      <c r="E188" t="str">
        <f t="shared" ca="1" si="19"/>
        <v>00:10:16,160</v>
      </c>
      <c r="F188" s="5" t="str">
        <f t="shared" ca="1" si="20"/>
        <v>00:10:13.040</v>
      </c>
      <c r="G188" s="1" t="str">
        <f t="shared" ca="1" si="21"/>
        <v>00:10:16.160</v>
      </c>
      <c r="H188" s="2">
        <f t="shared" ca="1" si="22"/>
        <v>3.6111111111110893E-5</v>
      </c>
      <c r="I188">
        <f t="shared" ca="1" si="23"/>
        <v>17</v>
      </c>
      <c r="J188" s="2">
        <f t="shared" ca="1" si="24"/>
        <v>2.124183006535935E-6</v>
      </c>
      <c r="K188" t="e">
        <f ca="1">MATCH(ROW(),sub!D:D,0)</f>
        <v>#N/A</v>
      </c>
      <c r="L188" t="b">
        <f t="shared" ca="1" si="25"/>
        <v>0</v>
      </c>
      <c r="M188" s="2">
        <f t="shared" ca="1" si="26"/>
        <v>0</v>
      </c>
    </row>
    <row r="189" spans="1:13" x14ac:dyDescent="0.3">
      <c r="A189">
        <f ca="1">OFFSET(srt_raw!$A$1,(ROW()-1)*4+COLUMN()-1,0)</f>
        <v>189</v>
      </c>
      <c r="B189" t="str">
        <f ca="1">OFFSET(srt_raw!$A$1,(ROW()-1)*4+COLUMN()-1,0)</f>
        <v>00:10:17,680 --&gt; 00:10:21,360</v>
      </c>
      <c r="C189" t="str">
        <f ca="1">OFFSET(srt_raw!$A$1,(ROW()-1)*4+COLUMN()-1,0)</f>
        <v>如果将N在不同情况下的B的第一行写在一起，</v>
      </c>
      <c r="D189" t="str">
        <f t="shared" ca="1" si="18"/>
        <v>00:10:17,680</v>
      </c>
      <c r="E189" t="str">
        <f t="shared" ca="1" si="19"/>
        <v>00:10:21,360</v>
      </c>
      <c r="F189" s="5" t="str">
        <f t="shared" ca="1" si="20"/>
        <v>00:10:17.680</v>
      </c>
      <c r="G189" s="1" t="str">
        <f t="shared" ca="1" si="21"/>
        <v>00:10:21.360</v>
      </c>
      <c r="H189" s="2">
        <f t="shared" ca="1" si="22"/>
        <v>4.2592592592593202E-5</v>
      </c>
      <c r="I189">
        <f t="shared" ca="1" si="23"/>
        <v>21</v>
      </c>
      <c r="J189" s="2">
        <f t="shared" ca="1" si="24"/>
        <v>2.0282186948853906E-6</v>
      </c>
      <c r="K189">
        <f ca="1">MATCH(ROW(),sub!D:D,0)</f>
        <v>68</v>
      </c>
      <c r="L189" t="b">
        <f t="shared" ca="1" si="25"/>
        <v>1</v>
      </c>
      <c r="M189" s="2">
        <f t="shared" ca="1" si="26"/>
        <v>2.0282186948853906E-6</v>
      </c>
    </row>
    <row r="190" spans="1:13" x14ac:dyDescent="0.3">
      <c r="A190">
        <f ca="1">OFFSET(srt_raw!$A$1,(ROW()-1)*4+COLUMN()-1,0)</f>
        <v>190</v>
      </c>
      <c r="B190" t="str">
        <f ca="1">OFFSET(srt_raw!$A$1,(ROW()-1)*4+COLUMN()-1,0)</f>
        <v>00:10:21,360 --&gt; 00:10:23,360</v>
      </c>
      <c r="C190" t="str">
        <f ca="1">OFFSET(srt_raw!$A$1,(ROW()-1)*4+COLUMN()-1,0)</f>
        <v>矩阵长这样即为B撇。</v>
      </c>
      <c r="D190" t="str">
        <f t="shared" ca="1" si="18"/>
        <v>00:10:21,360</v>
      </c>
      <c r="E190" t="str">
        <f t="shared" ca="1" si="19"/>
        <v>00:10:23,360</v>
      </c>
      <c r="F190" s="5" t="str">
        <f t="shared" ca="1" si="20"/>
        <v>00:10:21.360</v>
      </c>
      <c r="G190" s="1" t="str">
        <f t="shared" ca="1" si="21"/>
        <v>00:10:23.360</v>
      </c>
      <c r="H190" s="2">
        <f t="shared" ca="1" si="22"/>
        <v>2.3148148148148875E-5</v>
      </c>
      <c r="I190">
        <f t="shared" ca="1" si="23"/>
        <v>10</v>
      </c>
      <c r="J190" s="2">
        <f t="shared" ca="1" si="24"/>
        <v>2.3148148148148876E-6</v>
      </c>
      <c r="K190" t="e">
        <f ca="1">MATCH(ROW(),sub!D:D,0)</f>
        <v>#N/A</v>
      </c>
      <c r="L190" t="b">
        <f t="shared" ca="1" si="25"/>
        <v>0</v>
      </c>
      <c r="M190" s="2">
        <f t="shared" ca="1" si="26"/>
        <v>0</v>
      </c>
    </row>
    <row r="191" spans="1:13" x14ac:dyDescent="0.3">
      <c r="A191">
        <f ca="1">OFFSET(srt_raw!$A$1,(ROW()-1)*4+COLUMN()-1,0)</f>
        <v>191</v>
      </c>
      <c r="B191" t="str">
        <f ca="1">OFFSET(srt_raw!$A$1,(ROW()-1)*4+COLUMN()-1,0)</f>
        <v>00:10:24,800 --&gt; 00:10:29,920</v>
      </c>
      <c r="C191" t="str">
        <f ca="1">OFFSET(srt_raw!$A$1,(ROW()-1)*4+COLUMN()-1,0)</f>
        <v>注意这里的B撇矩阵不是刚才说的当N确定时的完整的矩阵B，</v>
      </c>
      <c r="D191" t="str">
        <f t="shared" ca="1" si="18"/>
        <v>00:10:24,800</v>
      </c>
      <c r="E191" t="str">
        <f t="shared" ca="1" si="19"/>
        <v>00:10:29,920</v>
      </c>
      <c r="F191" s="5" t="str">
        <f t="shared" ca="1" si="20"/>
        <v>00:10:24.800</v>
      </c>
      <c r="G191" s="1" t="str">
        <f t="shared" ca="1" si="21"/>
        <v>00:10:29.920</v>
      </c>
      <c r="H191" s="2">
        <f t="shared" ca="1" si="22"/>
        <v>5.9259259259258901E-5</v>
      </c>
      <c r="I191">
        <f t="shared" ca="1" si="23"/>
        <v>28</v>
      </c>
      <c r="J191" s="2">
        <f t="shared" ca="1" si="24"/>
        <v>2.1164021164021037E-6</v>
      </c>
      <c r="K191">
        <f ca="1">MATCH(ROW(),sub!D:D,0)</f>
        <v>69</v>
      </c>
      <c r="L191" t="b">
        <f t="shared" ca="1" si="25"/>
        <v>1</v>
      </c>
      <c r="M191" s="2">
        <f t="shared" ca="1" si="26"/>
        <v>2.1164021164021037E-6</v>
      </c>
    </row>
    <row r="192" spans="1:13" x14ac:dyDescent="0.3">
      <c r="A192">
        <f ca="1">OFFSET(srt_raw!$A$1,(ROW()-1)*4+COLUMN()-1,0)</f>
        <v>192</v>
      </c>
      <c r="B192" t="str">
        <f ca="1">OFFSET(srt_raw!$A$1,(ROW()-1)*4+COLUMN()-1,0)</f>
        <v>00:10:30,160 --&gt; 00:10:34,360</v>
      </c>
      <c r="C192" t="str">
        <f ca="1">OFFSET(srt_raw!$A$1,(ROW()-1)*4+COLUMN()-1,0)</f>
        <v>而是BN的第一行拼接起来的结果。</v>
      </c>
      <c r="D192" t="str">
        <f t="shared" ca="1" si="18"/>
        <v>00:10:30,160</v>
      </c>
      <c r="E192" t="str">
        <f t="shared" ca="1" si="19"/>
        <v>00:10:34,360</v>
      </c>
      <c r="F192" s="5" t="str">
        <f t="shared" ca="1" si="20"/>
        <v>00:10:30.160</v>
      </c>
      <c r="G192" s="1" t="str">
        <f t="shared" ca="1" si="21"/>
        <v>00:10:34.360</v>
      </c>
      <c r="H192" s="2">
        <f t="shared" ca="1" si="22"/>
        <v>4.8611111111112118E-5</v>
      </c>
      <c r="I192">
        <f t="shared" ca="1" si="23"/>
        <v>16</v>
      </c>
      <c r="J192" s="2">
        <f t="shared" ca="1" si="24"/>
        <v>3.0381944444445074E-6</v>
      </c>
      <c r="K192" t="e">
        <f ca="1">MATCH(ROW(),sub!D:D,0)</f>
        <v>#N/A</v>
      </c>
      <c r="L192" t="b">
        <f t="shared" ca="1" si="25"/>
        <v>0</v>
      </c>
      <c r="M192" s="2">
        <f t="shared" ca="1" si="26"/>
        <v>0</v>
      </c>
    </row>
    <row r="193" spans="1:13" x14ac:dyDescent="0.3">
      <c r="A193">
        <f ca="1">OFFSET(srt_raw!$A$1,(ROW()-1)*4+COLUMN()-1,0)</f>
        <v>193</v>
      </c>
      <c r="B193" t="str">
        <f ca="1">OFFSET(srt_raw!$A$1,(ROW()-1)*4+COLUMN()-1,0)</f>
        <v>00:10:34,360 --&gt; 00:10:34,880</v>
      </c>
      <c r="C193" t="str">
        <f ca="1">OFFSET(srt_raw!$A$1,(ROW()-1)*4+COLUMN()-1,0)</f>
        <v>另外，</v>
      </c>
      <c r="D193" t="str">
        <f t="shared" ref="D193:D256" ca="1" si="27">LEFT(B193,12)</f>
        <v>00:10:34,360</v>
      </c>
      <c r="E193" t="str">
        <f t="shared" ref="E193:E256" ca="1" si="28">RIGHT(B193,12)</f>
        <v>00:10:34,880</v>
      </c>
      <c r="F193" s="5" t="str">
        <f t="shared" ref="F193:F256" ca="1" si="29">SUBSTITUTE(D193,",",".")</f>
        <v>00:10:34.360</v>
      </c>
      <c r="G193" s="1" t="str">
        <f t="shared" ref="G193:G256" ca="1" si="30">SUBSTITUTE(E193,",",".")</f>
        <v>00:10:34.880</v>
      </c>
      <c r="H193" s="2">
        <f t="shared" ref="H193:H256" ca="1" si="31">G193-F193</f>
        <v>6.0185185185180484E-6</v>
      </c>
      <c r="I193">
        <f t="shared" ref="I193:I256" ca="1" si="32">LEN(C193)</f>
        <v>3</v>
      </c>
      <c r="J193" s="2">
        <f t="shared" ref="J193:J256" ca="1" si="33">H193/I193</f>
        <v>2.006172839506016E-6</v>
      </c>
      <c r="K193">
        <f ca="1">MATCH(ROW(),sub!D:D,0)</f>
        <v>70</v>
      </c>
      <c r="L193" t="b">
        <f t="shared" ref="L193:L256" ca="1" si="34">ISERROR(K194)</f>
        <v>0</v>
      </c>
      <c r="M193" s="2">
        <f t="shared" ref="M193:M256" ca="1" si="35">IF(L193,J193,0)</f>
        <v>0</v>
      </c>
    </row>
    <row r="194" spans="1:13" x14ac:dyDescent="0.3">
      <c r="A194">
        <f ca="1">OFFSET(srt_raw!$A$1,(ROW()-1)*4+COLUMN()-1,0)</f>
        <v>194</v>
      </c>
      <c r="B194" t="str">
        <f ca="1">OFFSET(srt_raw!$A$1,(ROW()-1)*4+COLUMN()-1,0)</f>
        <v>00:10:34,880 --&gt; 00:10:36,560</v>
      </c>
      <c r="C194" t="str">
        <f ca="1">OFFSET(srt_raw!$A$1,(ROW()-1)*4+COLUMN()-1,0)</f>
        <v>这里从N等于0开始，</v>
      </c>
      <c r="D194" t="str">
        <f t="shared" ca="1" si="27"/>
        <v>00:10:34,880</v>
      </c>
      <c r="E194" t="str">
        <f t="shared" ca="1" si="28"/>
        <v>00:10:36,560</v>
      </c>
      <c r="F194" s="5" t="str">
        <f t="shared" ca="1" si="29"/>
        <v>00:10:34.880</v>
      </c>
      <c r="G194" s="1" t="str">
        <f t="shared" ca="1" si="30"/>
        <v>00:10:36.560</v>
      </c>
      <c r="H194" s="2">
        <f t="shared" ca="1" si="31"/>
        <v>1.9444444444444327E-5</v>
      </c>
      <c r="I194">
        <f t="shared" ca="1" si="32"/>
        <v>10</v>
      </c>
      <c r="J194" s="2">
        <f t="shared" ca="1" si="33"/>
        <v>1.9444444444444325E-6</v>
      </c>
      <c r="K194">
        <f ca="1">MATCH(ROW(),sub!D:D,0)</f>
        <v>71</v>
      </c>
      <c r="L194" t="b">
        <f t="shared" ca="1" si="34"/>
        <v>1</v>
      </c>
      <c r="M194" s="2">
        <f t="shared" ca="1" si="35"/>
        <v>1.9444444444444325E-6</v>
      </c>
    </row>
    <row r="195" spans="1:13" x14ac:dyDescent="0.3">
      <c r="A195">
        <f ca="1">OFFSET(srt_raw!$A$1,(ROW()-1)*4+COLUMN()-1,0)</f>
        <v>195</v>
      </c>
      <c r="B195" t="str">
        <f ca="1">OFFSET(srt_raw!$A$1,(ROW()-1)*4+COLUMN()-1,0)</f>
        <v>00:10:36,560 --&gt; 00:10:37,800</v>
      </c>
      <c r="C195" t="str">
        <f ca="1">OFFSET(srt_raw!$A$1,(ROW()-1)*4+COLUMN()-1,0)</f>
        <v>一共递推N次，</v>
      </c>
      <c r="D195" t="str">
        <f t="shared" ca="1" si="27"/>
        <v>00:10:36,560</v>
      </c>
      <c r="E195" t="str">
        <f t="shared" ca="1" si="28"/>
        <v>00:10:37,800</v>
      </c>
      <c r="F195" s="5" t="str">
        <f t="shared" ca="1" si="29"/>
        <v>00:10:36.560</v>
      </c>
      <c r="G195" s="1" t="str">
        <f t="shared" ca="1" si="30"/>
        <v>00:10:37.800</v>
      </c>
      <c r="H195" s="2">
        <f t="shared" ca="1" si="31"/>
        <v>1.4351851851851331E-5</v>
      </c>
      <c r="I195">
        <f t="shared" ca="1" si="32"/>
        <v>7</v>
      </c>
      <c r="J195" s="2">
        <f t="shared" ca="1" si="33"/>
        <v>2.0502645502644759E-6</v>
      </c>
      <c r="K195" t="e">
        <f ca="1">MATCH(ROW(),sub!D:D,0)</f>
        <v>#N/A</v>
      </c>
      <c r="L195" t="b">
        <f t="shared" ca="1" si="34"/>
        <v>1</v>
      </c>
      <c r="M195" s="2">
        <f t="shared" ca="1" si="35"/>
        <v>2.0502645502644759E-6</v>
      </c>
    </row>
    <row r="196" spans="1:13" x14ac:dyDescent="0.3">
      <c r="A196">
        <f ca="1">OFFSET(srt_raw!$A$1,(ROW()-1)*4+COLUMN()-1,0)</f>
        <v>196</v>
      </c>
      <c r="B196" t="str">
        <f ca="1">OFFSET(srt_raw!$A$1,(ROW()-1)*4+COLUMN()-1,0)</f>
        <v>00:10:38,000 --&gt; 00:10:41,200</v>
      </c>
      <c r="C196" t="str">
        <f ca="1">OFFSET(srt_raw!$A$1,(ROW()-1)*4+COLUMN()-1,0)</f>
        <v>最后一个1不包含在矩阵B的第一行内。</v>
      </c>
      <c r="D196" t="str">
        <f t="shared" ca="1" si="27"/>
        <v>00:10:38,000</v>
      </c>
      <c r="E196" t="str">
        <f t="shared" ca="1" si="28"/>
        <v>00:10:41,200</v>
      </c>
      <c r="F196" s="5" t="str">
        <f t="shared" ca="1" si="29"/>
        <v>00:10:38.000</v>
      </c>
      <c r="G196" s="1" t="str">
        <f t="shared" ca="1" si="30"/>
        <v>00:10:41.200</v>
      </c>
      <c r="H196" s="2">
        <f t="shared" ca="1" si="31"/>
        <v>3.7037037037036813E-5</v>
      </c>
      <c r="I196">
        <f t="shared" ca="1" si="32"/>
        <v>18</v>
      </c>
      <c r="J196" s="2">
        <f t="shared" ca="1" si="33"/>
        <v>2.0576131687242673E-6</v>
      </c>
      <c r="K196" t="e">
        <f ca="1">MATCH(ROW(),sub!D:D,0)</f>
        <v>#N/A</v>
      </c>
      <c r="L196" t="b">
        <f t="shared" ca="1" si="34"/>
        <v>1</v>
      </c>
      <c r="M196" s="2">
        <f t="shared" ca="1" si="35"/>
        <v>2.0576131687242673E-6</v>
      </c>
    </row>
    <row r="197" spans="1:13" x14ac:dyDescent="0.3">
      <c r="A197">
        <f ca="1">OFFSET(srt_raw!$A$1,(ROW()-1)*4+COLUMN()-1,0)</f>
        <v>197</v>
      </c>
      <c r="B197" t="str">
        <f ca="1">OFFSET(srt_raw!$A$1,(ROW()-1)*4+COLUMN()-1,0)</f>
        <v>00:10:41,760 --&gt; 00:10:43,280</v>
      </c>
      <c r="C197" t="str">
        <f ca="1">OFFSET(srt_raw!$A$1,(ROW()-1)*4+COLUMN()-1,0)</f>
        <v>例如n等于70，</v>
      </c>
      <c r="D197" t="str">
        <f t="shared" ca="1" si="27"/>
        <v>00:10:41,760</v>
      </c>
      <c r="E197" t="str">
        <f t="shared" ca="1" si="28"/>
        <v>00:10:43,280</v>
      </c>
      <c r="F197" s="5" t="str">
        <f t="shared" ca="1" si="29"/>
        <v>00:10:41.760</v>
      </c>
      <c r="G197" s="1" t="str">
        <f t="shared" ca="1" si="30"/>
        <v>00:10:43.280</v>
      </c>
      <c r="H197" s="2">
        <f t="shared" ca="1" si="31"/>
        <v>1.7592592592592486E-5</v>
      </c>
      <c r="I197">
        <f t="shared" ca="1" si="32"/>
        <v>8</v>
      </c>
      <c r="J197" s="2">
        <f t="shared" ca="1" si="33"/>
        <v>2.1990740740740608E-6</v>
      </c>
      <c r="K197" t="e">
        <f ca="1">MATCH(ROW(),sub!D:D,0)</f>
        <v>#N/A</v>
      </c>
      <c r="L197" t="b">
        <f t="shared" ca="1" si="34"/>
        <v>1</v>
      </c>
      <c r="M197" s="2">
        <f t="shared" ca="1" si="35"/>
        <v>2.1990740740740608E-6</v>
      </c>
    </row>
    <row r="198" spans="1:13" x14ac:dyDescent="0.3">
      <c r="A198">
        <f ca="1">OFFSET(srt_raw!$A$1,(ROW()-1)*4+COLUMN()-1,0)</f>
        <v>198</v>
      </c>
      <c r="B198" t="str">
        <f ca="1">OFFSET(srt_raw!$A$1,(ROW()-1)*4+COLUMN()-1,0)</f>
        <v>00:10:43,600 --&gt; 00:10:45,880</v>
      </c>
      <c r="C198" t="str">
        <f ca="1">OFFSET(srt_raw!$A$1,(ROW()-1)*4+COLUMN()-1,0)</f>
        <v>第一行为1011011，</v>
      </c>
      <c r="D198" t="str">
        <f t="shared" ca="1" si="27"/>
        <v>00:10:43,600</v>
      </c>
      <c r="E198" t="str">
        <f t="shared" ca="1" si="28"/>
        <v>00:10:45,880</v>
      </c>
      <c r="F198" s="5" t="str">
        <f t="shared" ca="1" si="29"/>
        <v>00:10:43.600</v>
      </c>
      <c r="G198" s="1" t="str">
        <f t="shared" ca="1" si="30"/>
        <v>00:10:45.880</v>
      </c>
      <c r="H198" s="2">
        <f t="shared" ca="1" si="31"/>
        <v>2.6388888888889163E-5</v>
      </c>
      <c r="I198">
        <f t="shared" ca="1" si="32"/>
        <v>12</v>
      </c>
      <c r="J198" s="2">
        <f t="shared" ca="1" si="33"/>
        <v>2.1990740740740968E-6</v>
      </c>
      <c r="K198" t="e">
        <f ca="1">MATCH(ROW(),sub!D:D,0)</f>
        <v>#N/A</v>
      </c>
      <c r="L198" t="b">
        <f t="shared" ca="1" si="34"/>
        <v>1</v>
      </c>
      <c r="M198" s="2">
        <f t="shared" ca="1" si="35"/>
        <v>2.1990740740740968E-6</v>
      </c>
    </row>
    <row r="199" spans="1:13" x14ac:dyDescent="0.3">
      <c r="A199">
        <f ca="1">OFFSET(srt_raw!$A$1,(ROW()-1)*4+COLUMN()-1,0)</f>
        <v>199</v>
      </c>
      <c r="B199" t="str">
        <f ca="1">OFFSET(srt_raw!$A$1,(ROW()-1)*4+COLUMN()-1,0)</f>
        <v>00:10:45,880 --&gt; 00:10:52,080</v>
      </c>
      <c r="C199" t="str">
        <f ca="1">OFFSET(srt_raw!$A$1,(ROW()-1)*4+COLUMN()-1,0)</f>
        <v>最后一个一省去改写后的矩阵即为b撇撇等于b撇加i，</v>
      </c>
      <c r="D199" t="str">
        <f t="shared" ca="1" si="27"/>
        <v>00:10:45,880</v>
      </c>
      <c r="E199" t="str">
        <f t="shared" ca="1" si="28"/>
        <v>00:10:52,080</v>
      </c>
      <c r="F199" s="5" t="str">
        <f t="shared" ca="1" si="29"/>
        <v>00:10:45.880</v>
      </c>
      <c r="G199" s="1" t="str">
        <f t="shared" ca="1" si="30"/>
        <v>00:10:52.080</v>
      </c>
      <c r="H199" s="2">
        <f t="shared" ca="1" si="31"/>
        <v>7.1759259259259259E-5</v>
      </c>
      <c r="I199">
        <f t="shared" ca="1" si="32"/>
        <v>25</v>
      </c>
      <c r="J199" s="2">
        <f t="shared" ca="1" si="33"/>
        <v>2.8703703703703702E-6</v>
      </c>
      <c r="K199" t="e">
        <f ca="1">MATCH(ROW(),sub!D:D,0)</f>
        <v>#N/A</v>
      </c>
      <c r="L199" t="b">
        <f t="shared" ca="1" si="34"/>
        <v>0</v>
      </c>
      <c r="M199" s="2">
        <f t="shared" ca="1" si="35"/>
        <v>0</v>
      </c>
    </row>
    <row r="200" spans="1:13" x14ac:dyDescent="0.3">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3">
      <c r="A201">
        <f ca="1">OFFSET(srt_raw!$A$1,(ROW()-1)*4+COLUMN()-1,0)</f>
        <v>201</v>
      </c>
      <c r="B201" t="str">
        <f ca="1">OFFSET(srt_raw!$A$1,(ROW()-1)*4+COLUMN()-1,0)</f>
        <v>00:10:56,000 --&gt; 00:11:03,280</v>
      </c>
      <c r="C201" t="str">
        <f ca="1">OFFSET(srt_raw!$A$1,(ROW()-1)*4+COLUMN()-1,0)</f>
        <v>记为y撇合并在一起后的y撇有以上递推公式，</v>
      </c>
      <c r="D201" t="str">
        <f t="shared" ca="1" si="27"/>
        <v>00:10:56,000</v>
      </c>
      <c r="E201" t="str">
        <f t="shared" ca="1" si="28"/>
        <v>00:11:03,280</v>
      </c>
      <c r="F201" s="5" t="str">
        <f t="shared" ca="1" si="29"/>
        <v>00:10:56.000</v>
      </c>
      <c r="G201" s="1" t="str">
        <f t="shared" ca="1" si="30"/>
        <v>00:11:03.280</v>
      </c>
      <c r="H201" s="2">
        <f t="shared" ca="1" si="31"/>
        <v>8.4259259259258749E-5</v>
      </c>
      <c r="I201">
        <f t="shared" ca="1" si="32"/>
        <v>21</v>
      </c>
      <c r="J201" s="2">
        <f t="shared" ca="1" si="33"/>
        <v>4.0123456790123217E-6</v>
      </c>
      <c r="K201">
        <f ca="1">MATCH(ROW(),sub!D:D,0)</f>
        <v>73</v>
      </c>
      <c r="L201" t="b">
        <f t="shared" ca="1" si="34"/>
        <v>0</v>
      </c>
      <c r="M201" s="2">
        <f t="shared" ca="1" si="35"/>
        <v>0</v>
      </c>
    </row>
    <row r="202" spans="1:13" x14ac:dyDescent="0.3">
      <c r="A202">
        <f ca="1">OFFSET(srt_raw!$A$1,(ROW()-1)*4+COLUMN()-1,0)</f>
        <v>202</v>
      </c>
      <c r="B202" t="str">
        <f ca="1">OFFSET(srt_raw!$A$1,(ROW()-1)*4+COLUMN()-1,0)</f>
        <v>00:11:03,280 --&gt; 00:11:05,360</v>
      </c>
      <c r="C202" t="str">
        <f ca="1">OFFSET(srt_raw!$A$1,(ROW()-1)*4+COLUMN()-1,0)</f>
        <v>为了不对整个矩阵进行操作，</v>
      </c>
      <c r="D202" t="str">
        <f t="shared" ca="1" si="27"/>
        <v>00:11:03,280</v>
      </c>
      <c r="E202" t="str">
        <f t="shared" ca="1" si="28"/>
        <v>00:11:05,360</v>
      </c>
      <c r="F202" s="5" t="str">
        <f t="shared" ca="1" si="29"/>
        <v>00:11:03.280</v>
      </c>
      <c r="G202" s="1" t="str">
        <f t="shared" ca="1" si="30"/>
        <v>00:11:05.360</v>
      </c>
      <c r="H202" s="2">
        <f t="shared" ca="1" si="31"/>
        <v>2.4074074074074796E-5</v>
      </c>
      <c r="I202">
        <f t="shared" ca="1" si="32"/>
        <v>13</v>
      </c>
      <c r="J202" s="2">
        <f t="shared" ca="1" si="33"/>
        <v>1.8518518518519074E-6</v>
      </c>
      <c r="K202">
        <f ca="1">MATCH(ROW(),sub!D:D,0)</f>
        <v>74</v>
      </c>
      <c r="L202" t="b">
        <f t="shared" ca="1" si="34"/>
        <v>1</v>
      </c>
      <c r="M202" s="2">
        <f t="shared" ca="1" si="35"/>
        <v>1.8518518518519074E-6</v>
      </c>
    </row>
    <row r="203" spans="1:13" x14ac:dyDescent="0.3">
      <c r="A203">
        <f ca="1">OFFSET(srt_raw!$A$1,(ROW()-1)*4+COLUMN()-1,0)</f>
        <v>203</v>
      </c>
      <c r="B203" t="str">
        <f ca="1">OFFSET(srt_raw!$A$1,(ROW()-1)*4+COLUMN()-1,0)</f>
        <v>00:11:05,360 --&gt; 00:11:08,200</v>
      </c>
      <c r="C203" t="str">
        <f ca="1">OFFSET(srt_raw!$A$1,(ROW()-1)*4+COLUMN()-1,0)</f>
        <v>我们需要将矩阵b进行分解，</v>
      </c>
      <c r="D203" t="str">
        <f t="shared" ca="1" si="27"/>
        <v>00:11:05,360</v>
      </c>
      <c r="E203" t="str">
        <f t="shared" ca="1" si="28"/>
        <v>00:11:08,200</v>
      </c>
      <c r="F203" s="5" t="str">
        <f t="shared" ca="1" si="29"/>
        <v>00:11:05.360</v>
      </c>
      <c r="G203" s="1" t="str">
        <f t="shared" ca="1" si="30"/>
        <v>00:11:08.200</v>
      </c>
      <c r="H203" s="2">
        <f t="shared" ca="1" si="31"/>
        <v>3.2870370370370605E-5</v>
      </c>
      <c r="I203">
        <f t="shared" ca="1" si="32"/>
        <v>13</v>
      </c>
      <c r="J203" s="2">
        <f t="shared" ca="1" si="33"/>
        <v>2.5284900284900465E-6</v>
      </c>
      <c r="K203" t="e">
        <f ca="1">MATCH(ROW(),sub!D:D,0)</f>
        <v>#N/A</v>
      </c>
      <c r="L203" t="b">
        <f t="shared" ca="1" si="34"/>
        <v>1</v>
      </c>
      <c r="M203" s="2">
        <f t="shared" ca="1" si="35"/>
        <v>2.5284900284900465E-6</v>
      </c>
    </row>
    <row r="204" spans="1:13" x14ac:dyDescent="0.3">
      <c r="A204">
        <f ca="1">OFFSET(srt_raw!$A$1,(ROW()-1)*4+COLUMN()-1,0)</f>
        <v>204</v>
      </c>
      <c r="B204" t="str">
        <f ca="1">OFFSET(srt_raw!$A$1,(ROW()-1)*4+COLUMN()-1,0)</f>
        <v>00:11:08,200 --&gt; 00:11:10,680</v>
      </c>
      <c r="C204" t="str">
        <f ca="1">OFFSET(srt_raw!$A$1,(ROW()-1)*4+COLUMN()-1,0)</f>
        <v>这里介绍一个非常重要的矩阵h。</v>
      </c>
      <c r="D204" t="str">
        <f t="shared" ca="1" si="27"/>
        <v>00:11:08,200</v>
      </c>
      <c r="E204" t="str">
        <f t="shared" ca="1" si="28"/>
        <v>00:11:10,680</v>
      </c>
      <c r="F204" s="5" t="str">
        <f t="shared" ca="1" si="29"/>
        <v>00:11:08.200</v>
      </c>
      <c r="G204" s="1" t="str">
        <f t="shared" ca="1" si="30"/>
        <v>00:11:10.680</v>
      </c>
      <c r="H204" s="2">
        <f t="shared" ca="1" si="31"/>
        <v>2.8703703703702663E-5</v>
      </c>
      <c r="I204">
        <f t="shared" ca="1" si="32"/>
        <v>15</v>
      </c>
      <c r="J204" s="2">
        <f t="shared" ca="1" si="33"/>
        <v>1.913580246913511E-6</v>
      </c>
      <c r="K204" t="e">
        <f ca="1">MATCH(ROW(),sub!D:D,0)</f>
        <v>#N/A</v>
      </c>
      <c r="L204" t="b">
        <f t="shared" ca="1" si="34"/>
        <v>1</v>
      </c>
      <c r="M204" s="2">
        <f t="shared" ca="1" si="35"/>
        <v>1.913580246913511E-6</v>
      </c>
    </row>
    <row r="205" spans="1:13" x14ac:dyDescent="0.3">
      <c r="A205">
        <f ca="1">OFFSET(srt_raw!$A$1,(ROW()-1)*4+COLUMN()-1,0)</f>
        <v>205</v>
      </c>
      <c r="B205" t="str">
        <f ca="1">OFFSET(srt_raw!$A$1,(ROW()-1)*4+COLUMN()-1,0)</f>
        <v>00:11:10,880 --&gt; 00:11:12,640</v>
      </c>
      <c r="C205" t="str">
        <f ca="1">OFFSET(srt_raw!$A$1,(ROW()-1)*4+COLUMN()-1,0)</f>
        <v>称为邻接扩散矩阵，</v>
      </c>
      <c r="D205" t="str">
        <f t="shared" ca="1" si="27"/>
        <v>00:11:10,880</v>
      </c>
      <c r="E205" t="str">
        <f t="shared" ca="1" si="28"/>
        <v>00:11:12,640</v>
      </c>
      <c r="F205" s="5" t="str">
        <f t="shared" ca="1" si="29"/>
        <v>00:11:10.880</v>
      </c>
      <c r="G205" s="1" t="str">
        <f t="shared" ca="1" si="30"/>
        <v>00:11:12.640</v>
      </c>
      <c r="H205" s="2">
        <f t="shared" ca="1" si="31"/>
        <v>2.0370370370370247E-5</v>
      </c>
      <c r="I205">
        <f t="shared" ca="1" si="32"/>
        <v>9</v>
      </c>
      <c r="J205" s="2">
        <f t="shared" ca="1" si="33"/>
        <v>2.2633744855966939E-6</v>
      </c>
      <c r="K205" t="e">
        <f ca="1">MATCH(ROW(),sub!D:D,0)</f>
        <v>#N/A</v>
      </c>
      <c r="L205" t="b">
        <f t="shared" ca="1" si="34"/>
        <v>0</v>
      </c>
      <c r="M205" s="2">
        <f t="shared" ca="1" si="35"/>
        <v>0</v>
      </c>
    </row>
    <row r="206" spans="1:13" x14ac:dyDescent="0.3">
      <c r="A206">
        <f ca="1">OFFSET(srt_raw!$A$1,(ROW()-1)*4+COLUMN()-1,0)</f>
        <v>206</v>
      </c>
      <c r="B206" t="str">
        <f ca="1">OFFSET(srt_raw!$A$1,(ROW()-1)*4+COLUMN()-1,0)</f>
        <v>00:11:14,080 --&gt; 00:11:15,760</v>
      </c>
      <c r="C206" t="str">
        <f ca="1">OFFSET(srt_raw!$A$1,(ROW()-1)*4+COLUMN()-1,0)</f>
        <v>对于H的每一个元素，</v>
      </c>
      <c r="D206" t="str">
        <f t="shared" ca="1" si="27"/>
        <v>00:11:14,080</v>
      </c>
      <c r="E206" t="str">
        <f t="shared" ca="1" si="28"/>
        <v>00:11:15,760</v>
      </c>
      <c r="F206" s="5" t="str">
        <f t="shared" ca="1" si="29"/>
        <v>00:11:14.080</v>
      </c>
      <c r="G206" s="1" t="str">
        <f t="shared" ca="1" si="30"/>
        <v>00:11:15.760</v>
      </c>
      <c r="H206" s="2">
        <f t="shared" ca="1" si="31"/>
        <v>1.9444444444444327E-5</v>
      </c>
      <c r="I206">
        <f t="shared" ca="1" si="32"/>
        <v>10</v>
      </c>
      <c r="J206" s="2">
        <f t="shared" ca="1" si="33"/>
        <v>1.9444444444444325E-6</v>
      </c>
      <c r="K206">
        <f ca="1">MATCH(ROW(),sub!D:D,0)</f>
        <v>75</v>
      </c>
      <c r="L206" t="b">
        <f t="shared" ca="1" si="34"/>
        <v>1</v>
      </c>
      <c r="M206" s="2">
        <f t="shared" ca="1" si="35"/>
        <v>1.9444444444444325E-6</v>
      </c>
    </row>
    <row r="207" spans="1:13" x14ac:dyDescent="0.3">
      <c r="A207">
        <f ca="1">OFFSET(srt_raw!$A$1,(ROW()-1)*4+COLUMN()-1,0)</f>
        <v>207</v>
      </c>
      <c r="B207" t="str">
        <f ca="1">OFFSET(srt_raw!$A$1,(ROW()-1)*4+COLUMN()-1,0)</f>
        <v>00:11:15,760 --&gt; 00:11:18,480</v>
      </c>
      <c r="C207" t="str">
        <f ca="1">OFFSET(srt_raw!$A$1,(ROW()-1)*4+COLUMN()-1,0)</f>
        <v>如果X和Y得差为10取1，</v>
      </c>
      <c r="D207" t="str">
        <f t="shared" ca="1" si="27"/>
        <v>00:11:15,760</v>
      </c>
      <c r="E207" t="str">
        <f t="shared" ca="1" si="28"/>
        <v>00:11:18,480</v>
      </c>
      <c r="F207" s="5" t="str">
        <f t="shared" ca="1" si="29"/>
        <v>00:11:15.760</v>
      </c>
      <c r="G207" s="1" t="str">
        <f t="shared" ca="1" si="30"/>
        <v>00:11:18.480</v>
      </c>
      <c r="H207" s="2">
        <f t="shared" ca="1" si="31"/>
        <v>3.1481481481481291E-5</v>
      </c>
      <c r="I207">
        <f t="shared" ca="1" si="32"/>
        <v>13</v>
      </c>
      <c r="J207" s="2">
        <f t="shared" ca="1" si="33"/>
        <v>2.4216524216524069E-6</v>
      </c>
      <c r="K207" t="e">
        <f ca="1">MATCH(ROW(),sub!D:D,0)</f>
        <v>#N/A</v>
      </c>
      <c r="L207" t="b">
        <f t="shared" ca="1" si="34"/>
        <v>1</v>
      </c>
      <c r="M207" s="2">
        <f t="shared" ca="1" si="35"/>
        <v>2.4216524216524069E-6</v>
      </c>
    </row>
    <row r="208" spans="1:13" x14ac:dyDescent="0.3">
      <c r="A208">
        <f ca="1">OFFSET(srt_raw!$A$1,(ROW()-1)*4+COLUMN()-1,0)</f>
        <v>208</v>
      </c>
      <c r="B208" t="str">
        <f ca="1">OFFSET(srt_raw!$A$1,(ROW()-1)*4+COLUMN()-1,0)</f>
        <v>00:11:18,560 --&gt; 00:11:19,280</v>
      </c>
      <c r="C208" t="str">
        <f ca="1">OFFSET(srt_raw!$A$1,(ROW()-1)*4+COLUMN()-1,0)</f>
        <v>否则取0。</v>
      </c>
      <c r="D208" t="str">
        <f t="shared" ca="1" si="27"/>
        <v>00:11:18,560</v>
      </c>
      <c r="E208" t="str">
        <f t="shared" ca="1" si="28"/>
        <v>00:11:19,280</v>
      </c>
      <c r="F208" s="5" t="str">
        <f t="shared" ca="1" si="29"/>
        <v>00:11:18.560</v>
      </c>
      <c r="G208" s="1" t="str">
        <f t="shared" ca="1" si="30"/>
        <v>00:11:19.280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3">
      <c r="A209">
        <f ca="1">OFFSET(srt_raw!$A$1,(ROW()-1)*4+COLUMN()-1,0)</f>
        <v>209</v>
      </c>
      <c r="B209" t="str">
        <f ca="1">OFFSET(srt_raw!$A$1,(ROW()-1)*4+COLUMN()-1,0)</f>
        <v>00:11:20,000 --&gt; 00:11:22,160</v>
      </c>
      <c r="C209" t="str">
        <f ca="1">OFFSET(srt_raw!$A$1,(ROW()-1)*4+COLUMN()-1,0)</f>
        <v>如果将向量V乘以该矩阵，</v>
      </c>
      <c r="D209" t="str">
        <f t="shared" ca="1" si="27"/>
        <v>00:11:20,000</v>
      </c>
      <c r="E209" t="str">
        <f t="shared" ca="1" si="28"/>
        <v>00:11:22,160</v>
      </c>
      <c r="F209" s="5" t="str">
        <f t="shared" ca="1" si="29"/>
        <v>00:11:20.000</v>
      </c>
      <c r="G209" s="1" t="str">
        <f t="shared" ca="1" si="30"/>
        <v>00:11:22.160</v>
      </c>
      <c r="H209" s="2">
        <f t="shared" ca="1" si="31"/>
        <v>2.5000000000000716E-5</v>
      </c>
      <c r="I209">
        <f t="shared" ca="1" si="32"/>
        <v>12</v>
      </c>
      <c r="J209" s="2">
        <f t="shared" ca="1" si="33"/>
        <v>2.0833333333333931E-6</v>
      </c>
      <c r="K209" t="e">
        <f ca="1">MATCH(ROW(),sub!D:D,0)</f>
        <v>#N/A</v>
      </c>
      <c r="L209" t="b">
        <f t="shared" ca="1" si="34"/>
        <v>1</v>
      </c>
      <c r="M209" s="2">
        <f t="shared" ca="1" si="35"/>
        <v>2.0833333333333931E-6</v>
      </c>
    </row>
    <row r="210" spans="1:13" x14ac:dyDescent="0.3">
      <c r="A210">
        <f ca="1">OFFSET(srt_raw!$A$1,(ROW()-1)*4+COLUMN()-1,0)</f>
        <v>210</v>
      </c>
      <c r="B210" t="str">
        <f ca="1">OFFSET(srt_raw!$A$1,(ROW()-1)*4+COLUMN()-1,0)</f>
        <v>00:11:22,160 --&gt; 00:11:27,520</v>
      </c>
      <c r="C210" t="str">
        <f ca="1">OFFSET(srt_raw!$A$1,(ROW()-1)*4+COLUMN()-1,0)</f>
        <v>等同于将向量V的每个元素向左右扩散后叠加。</v>
      </c>
      <c r="D210" t="str">
        <f t="shared" ca="1" si="27"/>
        <v>00:11:22,160</v>
      </c>
      <c r="E210" t="str">
        <f t="shared" ca="1" si="28"/>
        <v>00:11:27,520</v>
      </c>
      <c r="F210" s="5" t="str">
        <f t="shared" ca="1" si="29"/>
        <v>00:11:22.160</v>
      </c>
      <c r="G210" s="1" t="str">
        <f t="shared" ca="1" si="30"/>
        <v>00:11:27.520</v>
      </c>
      <c r="H210" s="2">
        <f t="shared" ca="1" si="31"/>
        <v>6.2037037037037529E-5</v>
      </c>
      <c r="I210">
        <f t="shared" ca="1" si="32"/>
        <v>21</v>
      </c>
      <c r="J210" s="2">
        <f t="shared" ca="1" si="33"/>
        <v>2.9541446208113109E-6</v>
      </c>
      <c r="K210" t="e">
        <f ca="1">MATCH(ROW(),sub!D:D,0)</f>
        <v>#N/A</v>
      </c>
      <c r="L210" t="b">
        <f t="shared" ca="1" si="34"/>
        <v>0</v>
      </c>
      <c r="M210" s="2">
        <f t="shared" ca="1" si="35"/>
        <v>0</v>
      </c>
    </row>
    <row r="211" spans="1:13" x14ac:dyDescent="0.3">
      <c r="A211">
        <f ca="1">OFFSET(srt_raw!$A$1,(ROW()-1)*4+COLUMN()-1,0)</f>
        <v>211</v>
      </c>
      <c r="B211" t="str">
        <f ca="1">OFFSET(srt_raw!$A$1,(ROW()-1)*4+COLUMN()-1,0)</f>
        <v>00:11:27,520 --&gt; 00:11:33,480</v>
      </c>
      <c r="C211" t="str">
        <f ca="1">OFFSET(srt_raw!$A$1,(ROW()-1)*4+COLUMN()-1,0)</f>
        <v>这是因为矩阵的对应行就是向量每个元素左右扩散的结果，</v>
      </c>
      <c r="D211" t="str">
        <f t="shared" ca="1" si="27"/>
        <v>00:11:27,520</v>
      </c>
      <c r="E211" t="str">
        <f t="shared" ca="1" si="28"/>
        <v>00:11:33,480</v>
      </c>
      <c r="F211" s="5" t="str">
        <f t="shared" ca="1" si="29"/>
        <v>00:11:27.520</v>
      </c>
      <c r="G211" s="1" t="str">
        <f t="shared" ca="1" si="30"/>
        <v>00:11:33.480</v>
      </c>
      <c r="H211" s="2">
        <f t="shared" ca="1" si="31"/>
        <v>6.898148148148063E-5</v>
      </c>
      <c r="I211">
        <f t="shared" ca="1" si="32"/>
        <v>26</v>
      </c>
      <c r="J211" s="2">
        <f t="shared" ca="1" si="33"/>
        <v>2.6531339031338705E-6</v>
      </c>
      <c r="K211">
        <f ca="1">MATCH(ROW(),sub!D:D,0)</f>
        <v>76</v>
      </c>
      <c r="L211" t="b">
        <f t="shared" ca="1" si="34"/>
        <v>0</v>
      </c>
      <c r="M211" s="2">
        <f t="shared" ca="1" si="35"/>
        <v>0</v>
      </c>
    </row>
    <row r="212" spans="1:13" x14ac:dyDescent="0.3">
      <c r="A212">
        <f ca="1">OFFSET(srt_raw!$A$1,(ROW()-1)*4+COLUMN()-1,0)</f>
        <v>212</v>
      </c>
      <c r="B212" t="str">
        <f ca="1">OFFSET(srt_raw!$A$1,(ROW()-1)*4+COLUMN()-1,0)</f>
        <v>00:11:33,480 --&gt; 00:11:39,160</v>
      </c>
      <c r="C212" t="str">
        <f ca="1">OFFSET(srt_raw!$A$1,(ROW()-1)*4+COLUMN()-1,0)</f>
        <v>不难发现首行叠加法中的各个矩阵B可以用H表示为以上公式。</v>
      </c>
      <c r="D212" t="str">
        <f t="shared" ca="1" si="27"/>
        <v>00:11:33,480</v>
      </c>
      <c r="E212" t="str">
        <f t="shared" ca="1" si="28"/>
        <v>00:11:39,160</v>
      </c>
      <c r="F212" s="5" t="str">
        <f t="shared" ca="1" si="29"/>
        <v>00:11:33.480</v>
      </c>
      <c r="G212" s="1" t="str">
        <f t="shared" ca="1" si="30"/>
        <v>00:11:39.160</v>
      </c>
      <c r="H212" s="2">
        <f t="shared" ca="1" si="31"/>
        <v>6.574074074074121E-5</v>
      </c>
      <c r="I212">
        <f t="shared" ca="1" si="32"/>
        <v>28</v>
      </c>
      <c r="J212" s="2">
        <f t="shared" ca="1" si="33"/>
        <v>2.3478835978836147E-6</v>
      </c>
      <c r="K212">
        <f ca="1">MATCH(ROW(),sub!D:D,0)</f>
        <v>77</v>
      </c>
      <c r="L212" t="b">
        <f t="shared" ca="1" si="34"/>
        <v>0</v>
      </c>
      <c r="M212" s="2">
        <f t="shared" ca="1" si="35"/>
        <v>0</v>
      </c>
    </row>
    <row r="213" spans="1:13" x14ac:dyDescent="0.3">
      <c r="A213">
        <f ca="1">OFFSET(srt_raw!$A$1,(ROW()-1)*4+COLUMN()-1,0)</f>
        <v>213</v>
      </c>
      <c r="B213" t="str">
        <f ca="1">OFFSET(srt_raw!$A$1,(ROW()-1)*4+COLUMN()-1,0)</f>
        <v>00:11:40,800 --&gt; 00:11:41,880</v>
      </c>
      <c r="C213" t="str">
        <f ca="1">OFFSET(srt_raw!$A$1,(ROW()-1)*4+COLUMN()-1,0)</f>
        <v>这里B0、</v>
      </c>
      <c r="D213" t="str">
        <f t="shared" ca="1" si="27"/>
        <v>00:11:40,800</v>
      </c>
      <c r="E213" t="str">
        <f t="shared" ca="1" si="28"/>
        <v>00:11:41,880</v>
      </c>
      <c r="F213" s="5" t="str">
        <f t="shared" ca="1" si="29"/>
        <v>00:11:40.800</v>
      </c>
      <c r="G213" s="1" t="str">
        <f t="shared" ca="1" si="30"/>
        <v>00:11:41.880</v>
      </c>
      <c r="H213" s="2">
        <f t="shared" ca="1" si="31"/>
        <v>1.2500000000000358E-5</v>
      </c>
      <c r="I213">
        <f t="shared" ca="1" si="32"/>
        <v>5</v>
      </c>
      <c r="J213" s="2">
        <f t="shared" ca="1" si="33"/>
        <v>2.5000000000000718E-6</v>
      </c>
      <c r="K213">
        <f ca="1">MATCH(ROW(),sub!D:D,0)</f>
        <v>78</v>
      </c>
      <c r="L213" t="b">
        <f t="shared" ca="1" si="34"/>
        <v>1</v>
      </c>
      <c r="M213" s="2">
        <f t="shared" ca="1" si="35"/>
        <v>2.5000000000000718E-6</v>
      </c>
    </row>
    <row r="214" spans="1:13" x14ac:dyDescent="0.3">
      <c r="A214">
        <f ca="1">OFFSET(srt_raw!$A$1,(ROW()-1)*4+COLUMN()-1,0)</f>
        <v>214</v>
      </c>
      <c r="B214" t="str">
        <f ca="1">OFFSET(srt_raw!$A$1,(ROW()-1)*4+COLUMN()-1,0)</f>
        <v>00:11:42,080 --&gt; 00:11:42,760</v>
      </c>
      <c r="C214" t="str">
        <f ca="1">OFFSET(srt_raw!$A$1,(ROW()-1)*4+COLUMN()-1,0)</f>
        <v>B1、</v>
      </c>
      <c r="D214" t="str">
        <f t="shared" ca="1" si="27"/>
        <v>00:11:42,080</v>
      </c>
      <c r="E214" t="str">
        <f t="shared" ca="1" si="28"/>
        <v>00:11:42,760</v>
      </c>
      <c r="F214" s="5" t="str">
        <f t="shared" ca="1" si="29"/>
        <v>00:11:42.080</v>
      </c>
      <c r="G214" s="1" t="str">
        <f t="shared" ca="1" si="30"/>
        <v>00:11:42.760</v>
      </c>
      <c r="H214" s="2">
        <f t="shared" ca="1" si="31"/>
        <v>7.8703703703698891E-6</v>
      </c>
      <c r="I214">
        <f t="shared" ca="1" si="32"/>
        <v>3</v>
      </c>
      <c r="J214" s="2">
        <f t="shared" ca="1" si="33"/>
        <v>2.6234567901232964E-6</v>
      </c>
      <c r="K214" t="e">
        <f ca="1">MATCH(ROW(),sub!D:D,0)</f>
        <v>#N/A</v>
      </c>
      <c r="L214" t="b">
        <f t="shared" ca="1" si="34"/>
        <v>1</v>
      </c>
      <c r="M214" s="2">
        <f t="shared" ca="1" si="35"/>
        <v>2.6234567901232964E-6</v>
      </c>
    </row>
    <row r="215" spans="1:13" x14ac:dyDescent="0.3">
      <c r="A215">
        <f ca="1">OFFSET(srt_raw!$A$1,(ROW()-1)*4+COLUMN()-1,0)</f>
        <v>215</v>
      </c>
      <c r="B215" t="str">
        <f ca="1">OFFSET(srt_raw!$A$1,(ROW()-1)*4+COLUMN()-1,0)</f>
        <v>00:11:42,760 --&gt; 00:11:45,920</v>
      </c>
      <c r="C215" t="str">
        <f ca="1">OFFSET(srt_raw!$A$1,(ROW()-1)*4+COLUMN()-1,0)</f>
        <v>B2分别表示为H的不同次数的叠加，</v>
      </c>
      <c r="D215" t="str">
        <f t="shared" ca="1" si="27"/>
        <v>00:11:42,760</v>
      </c>
      <c r="E215" t="str">
        <f t="shared" ca="1" si="28"/>
        <v>00:11:45,920</v>
      </c>
      <c r="F215" s="5" t="str">
        <f t="shared" ca="1" si="29"/>
        <v>00:11:42.760</v>
      </c>
      <c r="G215" s="1" t="str">
        <f t="shared" ca="1" si="30"/>
        <v>00:11:45.920</v>
      </c>
      <c r="H215" s="2">
        <f t="shared" ca="1" si="31"/>
        <v>3.6574074074072552E-5</v>
      </c>
      <c r="I215">
        <f t="shared" ca="1" si="32"/>
        <v>17</v>
      </c>
      <c r="J215" s="2">
        <f t="shared" ca="1" si="33"/>
        <v>2.1514161220042679E-6</v>
      </c>
      <c r="K215" t="e">
        <f ca="1">MATCH(ROW(),sub!D:D,0)</f>
        <v>#N/A</v>
      </c>
      <c r="L215" t="b">
        <f t="shared" ca="1" si="34"/>
        <v>0</v>
      </c>
      <c r="M215" s="2">
        <f t="shared" ca="1" si="35"/>
        <v>0</v>
      </c>
    </row>
    <row r="216" spans="1:13" x14ac:dyDescent="0.3">
      <c r="A216">
        <f ca="1">OFFSET(srt_raw!$A$1,(ROW()-1)*4+COLUMN()-1,0)</f>
        <v>216</v>
      </c>
      <c r="B216" t="str">
        <f ca="1">OFFSET(srt_raw!$A$1,(ROW()-1)*4+COLUMN()-1,0)</f>
        <v>00:11:47,360 --&gt; 00:11:50,800</v>
      </c>
      <c r="C216" t="str">
        <f ca="1">OFFSET(srt_raw!$A$1,(ROW()-1)*4+COLUMN()-1,0)</f>
        <v>将这些H的系数用多项式CNX表示，</v>
      </c>
      <c r="D216" t="str">
        <f t="shared" ca="1" si="27"/>
        <v>00:11:47,360</v>
      </c>
      <c r="E216" t="str">
        <f t="shared" ca="1" si="28"/>
        <v>00:11:50,800</v>
      </c>
      <c r="F216" s="5" t="str">
        <f t="shared" ca="1" si="29"/>
        <v>00:11:47.360</v>
      </c>
      <c r="G216" s="1" t="str">
        <f t="shared" ca="1" si="30"/>
        <v>00:11:50.800</v>
      </c>
      <c r="H216" s="2">
        <f t="shared" ca="1" si="31"/>
        <v>3.9814814814813707E-5</v>
      </c>
      <c r="I216">
        <f t="shared" ca="1" si="32"/>
        <v>17</v>
      </c>
      <c r="J216" s="2">
        <f t="shared" ca="1" si="33"/>
        <v>2.3420479302831591E-6</v>
      </c>
      <c r="K216">
        <f ca="1">MATCH(ROW(),sub!D:D,0)</f>
        <v>79</v>
      </c>
      <c r="L216" t="b">
        <f t="shared" ca="1" si="34"/>
        <v>1</v>
      </c>
      <c r="M216" s="2">
        <f t="shared" ca="1" si="35"/>
        <v>2.3420479302831591E-6</v>
      </c>
    </row>
    <row r="217" spans="1:13" x14ac:dyDescent="0.3">
      <c r="A217">
        <f ca="1">OFFSET(srt_raw!$A$1,(ROW()-1)*4+COLUMN()-1,0)</f>
        <v>217</v>
      </c>
      <c r="B217" t="str">
        <f ca="1">OFFSET(srt_raw!$A$1,(ROW()-1)*4+COLUMN()-1,0)</f>
        <v>00:11:50,960 --&gt; 00:11:53,960</v>
      </c>
      <c r="C217" t="str">
        <f ca="1">OFFSET(srt_raw!$A$1,(ROW()-1)*4+COLUMN()-1,0)</f>
        <v>则有和矩阵B类似的递推公式，</v>
      </c>
      <c r="D217" t="str">
        <f t="shared" ca="1" si="27"/>
        <v>00:11:50,960</v>
      </c>
      <c r="E217" t="str">
        <f t="shared" ca="1" si="28"/>
        <v>00:11:53,960</v>
      </c>
      <c r="F217" s="5" t="str">
        <f t="shared" ca="1" si="29"/>
        <v>00:11:50.960</v>
      </c>
      <c r="G217" s="1" t="str">
        <f t="shared" ca="1" si="30"/>
        <v>00:11:53.960</v>
      </c>
      <c r="H217" s="2">
        <f t="shared" ca="1" si="31"/>
        <v>3.4722222222222446E-5</v>
      </c>
      <c r="I217">
        <f t="shared" ca="1" si="32"/>
        <v>14</v>
      </c>
      <c r="J217" s="2">
        <f t="shared" ca="1" si="33"/>
        <v>2.4801587301587463E-6</v>
      </c>
      <c r="K217" t="e">
        <f ca="1">MATCH(ROW(),sub!D:D,0)</f>
        <v>#N/A</v>
      </c>
      <c r="L217" t="b">
        <f t="shared" ca="1" si="34"/>
        <v>1</v>
      </c>
      <c r="M217" s="2">
        <f t="shared" ca="1" si="35"/>
        <v>2.4801587301587463E-6</v>
      </c>
    </row>
    <row r="218" spans="1:13" x14ac:dyDescent="0.3">
      <c r="A218">
        <f ca="1">OFFSET(srt_raw!$A$1,(ROW()-1)*4+COLUMN()-1,0)</f>
        <v>218</v>
      </c>
      <c r="B218" t="str">
        <f ca="1">OFFSET(srt_raw!$A$1,(ROW()-1)*4+COLUMN()-1,0)</f>
        <v>00:11:53,960 --&gt; 00:11:59,080</v>
      </c>
      <c r="C218" t="str">
        <f ca="1">OFFSET(srt_raw!$A$1,(ROW()-1)*4+COLUMN()-1,0)</f>
        <v>同时将系数C写成矩阵的形式记为C，</v>
      </c>
      <c r="D218" t="str">
        <f t="shared" ca="1" si="27"/>
        <v>00:11:53,960</v>
      </c>
      <c r="E218" t="str">
        <f t="shared" ca="1" si="28"/>
        <v>00:11:59,080</v>
      </c>
      <c r="F218" s="5" t="str">
        <f t="shared" ca="1" si="29"/>
        <v>00:11:53.960</v>
      </c>
      <c r="G218" s="1" t="str">
        <f t="shared" ca="1" si="30"/>
        <v>00:11:59.080</v>
      </c>
      <c r="H218" s="2">
        <f t="shared" ca="1" si="31"/>
        <v>5.9259259259260635E-5</v>
      </c>
      <c r="I218">
        <f t="shared" ca="1" si="32"/>
        <v>17</v>
      </c>
      <c r="J218" s="2">
        <f t="shared" ca="1" si="33"/>
        <v>3.485838779956508E-6</v>
      </c>
      <c r="K218" t="e">
        <f ca="1">MATCH(ROW(),sub!D:D,0)</f>
        <v>#N/A</v>
      </c>
      <c r="L218" t="b">
        <f t="shared" ca="1" si="34"/>
        <v>0</v>
      </c>
      <c r="M218" s="2">
        <f t="shared" ca="1" si="35"/>
        <v>0</v>
      </c>
    </row>
    <row r="219" spans="1:13" x14ac:dyDescent="0.3">
      <c r="A219">
        <f ca="1">OFFSET(srt_raw!$A$1,(ROW()-1)*4+COLUMN()-1,0)</f>
        <v>219</v>
      </c>
      <c r="B219" t="str">
        <f ca="1">OFFSET(srt_raw!$A$1,(ROW()-1)*4+COLUMN()-1,0)</f>
        <v>00:11:59,080 --&gt; 00:12:04,440</v>
      </c>
      <c r="C219" t="str">
        <f ca="1">OFFSET(srt_raw!$A$1,(ROW()-1)*4+COLUMN()-1,0)</f>
        <v>注意这里的乘以H的操作在系数上代表右移而不是左右扩散，</v>
      </c>
      <c r="D219" t="str">
        <f t="shared" ca="1" si="27"/>
        <v>00:11:59,080</v>
      </c>
      <c r="E219" t="str">
        <f t="shared" ca="1" si="28"/>
        <v>00:12:04,440</v>
      </c>
      <c r="F219" s="5" t="str">
        <f t="shared" ca="1" si="29"/>
        <v>00:11:59.080</v>
      </c>
      <c r="G219" s="1" t="str">
        <f t="shared" ca="1" si="30"/>
        <v>00:12:04.440</v>
      </c>
      <c r="H219" s="2">
        <f t="shared" ca="1" si="31"/>
        <v>6.2037037037035794E-5</v>
      </c>
      <c r="I219">
        <f t="shared" ca="1" si="32"/>
        <v>27</v>
      </c>
      <c r="J219" s="2">
        <f t="shared" ca="1" si="33"/>
        <v>2.2976680384087331E-6</v>
      </c>
      <c r="K219">
        <f ca="1">MATCH(ROW(),sub!D:D,0)</f>
        <v>80</v>
      </c>
      <c r="L219" t="b">
        <f t="shared" ca="1" si="34"/>
        <v>1</v>
      </c>
      <c r="M219" s="2">
        <f t="shared" ca="1" si="35"/>
        <v>2.2976680384087331E-6</v>
      </c>
    </row>
    <row r="220" spans="1:13" x14ac:dyDescent="0.3">
      <c r="A220">
        <f ca="1">OFFSET(srt_raw!$A$1,(ROW()-1)*4+COLUMN()-1,0)</f>
        <v>220</v>
      </c>
      <c r="B220" t="str">
        <f ca="1">OFFSET(srt_raw!$A$1,(ROW()-1)*4+COLUMN()-1,0)</f>
        <v>00:12:04,440 --&gt; 00:12:08,160</v>
      </c>
      <c r="C220" t="str">
        <f ca="1">OFFSET(srt_raw!$A$1,(ROW()-1)*4+COLUMN()-1,0)</f>
        <v>因此表达式中只有X减1而没有X加1。</v>
      </c>
      <c r="D220" t="str">
        <f t="shared" ca="1" si="27"/>
        <v>00:12:04,440</v>
      </c>
      <c r="E220" t="str">
        <f t="shared" ca="1" si="28"/>
        <v>00:12:08,160</v>
      </c>
      <c r="F220" s="5" t="str">
        <f t="shared" ca="1" si="29"/>
        <v>00:12:04.440</v>
      </c>
      <c r="G220" s="1" t="str">
        <f t="shared" ca="1" si="30"/>
        <v>00:12:08.160</v>
      </c>
      <c r="H220" s="2">
        <f t="shared" ca="1" si="31"/>
        <v>4.3055555555554861E-5</v>
      </c>
      <c r="I220">
        <f t="shared" ca="1" si="32"/>
        <v>18</v>
      </c>
      <c r="J220" s="2">
        <f t="shared" ca="1" si="33"/>
        <v>2.3919753086419366E-6</v>
      </c>
      <c r="K220" t="e">
        <f ca="1">MATCH(ROW(),sub!D:D,0)</f>
        <v>#N/A</v>
      </c>
      <c r="L220" t="b">
        <f t="shared" ca="1" si="34"/>
        <v>0</v>
      </c>
      <c r="M220" s="2">
        <f t="shared" ca="1" si="35"/>
        <v>0</v>
      </c>
    </row>
    <row r="221" spans="1:13" x14ac:dyDescent="0.3">
      <c r="A221">
        <f ca="1">OFFSET(srt_raw!$A$1,(ROW()-1)*4+COLUMN()-1,0)</f>
        <v>221</v>
      </c>
      <c r="B221" t="str">
        <f ca="1">OFFSET(srt_raw!$A$1,(ROW()-1)*4+COLUMN()-1,0)</f>
        <v>00:12:10,000 --&gt; 00:12:12,360</v>
      </c>
      <c r="C221" t="str">
        <f ca="1">OFFSET(srt_raw!$A$1,(ROW()-1)*4+COLUMN()-1,0)</f>
        <v>现在如果我们将多个H相乘，</v>
      </c>
      <c r="D221" t="str">
        <f t="shared" ca="1" si="27"/>
        <v>00:12:10,000</v>
      </c>
      <c r="E221" t="str">
        <f t="shared" ca="1" si="28"/>
        <v>00:12:12,360</v>
      </c>
      <c r="F221" s="5" t="str">
        <f t="shared" ca="1" si="29"/>
        <v>00:12:10.000</v>
      </c>
      <c r="G221" s="1" t="str">
        <f t="shared" ca="1" si="30"/>
        <v>00:12:12.360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3">
      <c r="A222">
        <f ca="1">OFFSET(srt_raw!$A$1,(ROW()-1)*4+COLUMN()-1,0)</f>
        <v>222</v>
      </c>
      <c r="B222" t="str">
        <f ca="1">OFFSET(srt_raw!$A$1,(ROW()-1)*4+COLUMN()-1,0)</f>
        <v>00:12:12,360 --&gt; 00:12:14,600</v>
      </c>
      <c r="C222" t="str">
        <f ca="1">OFFSET(srt_raw!$A$1,(ROW()-1)*4+COLUMN()-1,0)</f>
        <v>也就是H的n次方，</v>
      </c>
      <c r="D222" t="str">
        <f t="shared" ca="1" si="27"/>
        <v>00:12:12,360</v>
      </c>
      <c r="E222" t="str">
        <f t="shared" ca="1" si="28"/>
        <v>00:12:14,600</v>
      </c>
      <c r="F222" s="5" t="str">
        <f t="shared" ca="1" si="29"/>
        <v>00:12:12.360</v>
      </c>
      <c r="G222" s="1" t="str">
        <f t="shared" ca="1" si="30"/>
        <v>00:12:14.600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3">
      <c r="A223">
        <f ca="1">OFFSET(srt_raw!$A$1,(ROW()-1)*4+COLUMN()-1,0)</f>
        <v>223</v>
      </c>
      <c r="B223" t="str">
        <f ca="1">OFFSET(srt_raw!$A$1,(ROW()-1)*4+COLUMN()-1,0)</f>
        <v>00:12:14,600 --&gt; 00:12:17,400</v>
      </c>
      <c r="C223" t="str">
        <f ca="1">OFFSET(srt_raw!$A$1,(ROW()-1)*4+COLUMN()-1,0)</f>
        <v>将其首行H的n次方0拼接起来，</v>
      </c>
      <c r="D223" t="str">
        <f t="shared" ca="1" si="27"/>
        <v>00:12:14,600</v>
      </c>
      <c r="E223" t="str">
        <f t="shared" ca="1" si="28"/>
        <v>00:12:17,400</v>
      </c>
      <c r="F223" s="5" t="str">
        <f t="shared" ca="1" si="29"/>
        <v>00:12:14.600</v>
      </c>
      <c r="G223" s="1" t="str">
        <f t="shared" ca="1" si="30"/>
        <v>00:12:17.400</v>
      </c>
      <c r="H223" s="2">
        <f t="shared" ca="1" si="31"/>
        <v>3.2407407407406344E-5</v>
      </c>
      <c r="I223">
        <f t="shared" ca="1" si="32"/>
        <v>15</v>
      </c>
      <c r="J223" s="2">
        <f t="shared" ca="1" si="33"/>
        <v>2.160493827160423E-6</v>
      </c>
      <c r="K223" t="e">
        <f ca="1">MATCH(ROW(),sub!D:D,0)</f>
        <v>#N/A</v>
      </c>
      <c r="L223" t="b">
        <f t="shared" ca="1" si="34"/>
        <v>1</v>
      </c>
      <c r="M223" s="2">
        <f t="shared" ca="1" si="35"/>
        <v>2.160493827160423E-6</v>
      </c>
    </row>
    <row r="224" spans="1:13" x14ac:dyDescent="0.3">
      <c r="A224">
        <f ca="1">OFFSET(srt_raw!$A$1,(ROW()-1)*4+COLUMN()-1,0)</f>
        <v>224</v>
      </c>
      <c r="B224" t="str">
        <f ca="1">OFFSET(srt_raw!$A$1,(ROW()-1)*4+COLUMN()-1,0)</f>
        <v>00:12:17,400 --&gt; 00:12:20,320</v>
      </c>
      <c r="C224" t="str">
        <f ca="1">OFFSET(srt_raw!$A$1,(ROW()-1)*4+COLUMN()-1,0)</f>
        <v>看起来像是这样的。</v>
      </c>
      <c r="D224" t="str">
        <f t="shared" ca="1" si="27"/>
        <v>00:12:17,400</v>
      </c>
      <c r="E224" t="str">
        <f t="shared" ca="1" si="28"/>
        <v>00:12:20,320</v>
      </c>
      <c r="F224" s="5" t="str">
        <f t="shared" ca="1" si="29"/>
        <v>00:12:17.400</v>
      </c>
      <c r="G224" s="1" t="str">
        <f t="shared" ca="1" si="30"/>
        <v>00:12:20.320</v>
      </c>
      <c r="H224" s="2">
        <f t="shared" ca="1" si="31"/>
        <v>3.3796296296297393E-5</v>
      </c>
      <c r="I224">
        <f t="shared" ca="1" si="32"/>
        <v>9</v>
      </c>
      <c r="J224" s="2">
        <f t="shared" ca="1" si="33"/>
        <v>3.7551440329219326E-6</v>
      </c>
      <c r="K224" t="e">
        <f ca="1">MATCH(ROW(),sub!D:D,0)</f>
        <v>#N/A</v>
      </c>
      <c r="L224" t="b">
        <f t="shared" ca="1" si="34"/>
        <v>0</v>
      </c>
      <c r="M224" s="2">
        <f t="shared" ca="1" si="35"/>
        <v>0</v>
      </c>
    </row>
    <row r="225" spans="1:13" x14ac:dyDescent="0.3">
      <c r="A225">
        <f ca="1">OFFSET(srt_raw!$A$1,(ROW()-1)*4+COLUMN()-1,0)</f>
        <v>225</v>
      </c>
      <c r="B225" t="str">
        <f ca="1">OFFSET(srt_raw!$A$1,(ROW()-1)*4+COLUMN()-1,0)</f>
        <v>00:12:20,320 --&gt; 00:12:22,560</v>
      </c>
      <c r="C225" t="str">
        <f ca="1">OFFSET(srt_raw!$A$1,(ROW()-1)*4+COLUMN()-1,0)</f>
        <v>我们把这个下三角矩阵即为K，</v>
      </c>
      <c r="D225" t="str">
        <f t="shared" ca="1" si="27"/>
        <v>00:12:20,320</v>
      </c>
      <c r="E225" t="str">
        <f t="shared" ca="1" si="28"/>
        <v>00:12:22,560</v>
      </c>
      <c r="F225" s="5" t="str">
        <f t="shared" ca="1" si="29"/>
        <v>00:12:20.320</v>
      </c>
      <c r="G225" s="1" t="str">
        <f t="shared" ca="1" si="30"/>
        <v>00:12:22.560</v>
      </c>
      <c r="H225" s="2">
        <f t="shared" ca="1" si="31"/>
        <v>2.5925925925925769E-5</v>
      </c>
      <c r="I225">
        <f t="shared" ca="1" si="32"/>
        <v>14</v>
      </c>
      <c r="J225" s="2">
        <f t="shared" ca="1" si="33"/>
        <v>1.8518518518518406E-6</v>
      </c>
      <c r="K225">
        <f ca="1">MATCH(ROW(),sub!D:D,0)</f>
        <v>82</v>
      </c>
      <c r="L225" t="b">
        <f t="shared" ca="1" si="34"/>
        <v>1</v>
      </c>
      <c r="M225" s="2">
        <f t="shared" ca="1" si="35"/>
        <v>1.8518518518518406E-6</v>
      </c>
    </row>
    <row r="226" spans="1:13" x14ac:dyDescent="0.3">
      <c r="A226">
        <f ca="1">OFFSET(srt_raw!$A$1,(ROW()-1)*4+COLUMN()-1,0)</f>
        <v>226</v>
      </c>
      <c r="B226" t="str">
        <f ca="1">OFFSET(srt_raw!$A$1,(ROW()-1)*4+COLUMN()-1,0)</f>
        <v>00:12:22,720 --&gt; 00:12:25,760</v>
      </c>
      <c r="C226" t="str">
        <f ca="1">OFFSET(srt_raw!$A$1,(ROW()-1)*4+COLUMN()-1,0)</f>
        <v>又称克雷洛夫矩阵或扩散机矩阵。</v>
      </c>
      <c r="D226" t="str">
        <f t="shared" ca="1" si="27"/>
        <v>00:12:22,720</v>
      </c>
      <c r="E226" t="str">
        <f t="shared" ca="1" si="28"/>
        <v>00:12:25,760</v>
      </c>
      <c r="F226" s="5" t="str">
        <f t="shared" ca="1" si="29"/>
        <v>00:12:22.720</v>
      </c>
      <c r="G226" s="1" t="str">
        <f t="shared" ca="1" si="30"/>
        <v>00:12:25.760</v>
      </c>
      <c r="H226" s="2">
        <f t="shared" ca="1" si="31"/>
        <v>3.5185185185184972E-5</v>
      </c>
      <c r="I226">
        <f t="shared" ca="1" si="32"/>
        <v>15</v>
      </c>
      <c r="J226" s="2">
        <f t="shared" ca="1" si="33"/>
        <v>2.3456790123456648E-6</v>
      </c>
      <c r="K226" t="e">
        <f ca="1">MATCH(ROW(),sub!D:D,0)</f>
        <v>#N/A</v>
      </c>
      <c r="L226" t="b">
        <f t="shared" ca="1" si="34"/>
        <v>1</v>
      </c>
      <c r="M226" s="2">
        <f t="shared" ca="1" si="35"/>
        <v>2.3456790123456648E-6</v>
      </c>
    </row>
    <row r="227" spans="1:13" x14ac:dyDescent="0.3">
      <c r="A227">
        <f ca="1">OFFSET(srt_raw!$A$1,(ROW()-1)*4+COLUMN()-1,0)</f>
        <v>227</v>
      </c>
      <c r="B227" t="str">
        <f ca="1">OFFSET(srt_raw!$A$1,(ROW()-1)*4+COLUMN()-1,0)</f>
        <v>00:12:26,240 --&gt; 00:12:30,200</v>
      </c>
      <c r="C227" t="str">
        <f ca="1">OFFSET(srt_raw!$A$1,(ROW()-1)*4+COLUMN()-1,0)</f>
        <v>对于K的第n行有以上公式，</v>
      </c>
      <c r="D227" t="str">
        <f t="shared" ca="1" si="27"/>
        <v>00:12:26,240</v>
      </c>
      <c r="E227" t="str">
        <f t="shared" ca="1" si="28"/>
        <v>00:12:30,200</v>
      </c>
      <c r="F227" s="5" t="str">
        <f t="shared" ca="1" si="29"/>
        <v>00:12:26.240</v>
      </c>
      <c r="G227" s="1" t="str">
        <f t="shared" ca="1" si="30"/>
        <v>00:12:30.200</v>
      </c>
      <c r="H227" s="2">
        <f t="shared" ca="1" si="31"/>
        <v>4.583333333333349E-5</v>
      </c>
      <c r="I227">
        <f t="shared" ca="1" si="32"/>
        <v>13</v>
      </c>
      <c r="J227" s="2">
        <f t="shared" ca="1" si="33"/>
        <v>3.5256410256410377E-6</v>
      </c>
      <c r="K227" t="e">
        <f ca="1">MATCH(ROW(),sub!D:D,0)</f>
        <v>#N/A</v>
      </c>
      <c r="L227" t="b">
        <f t="shared" ca="1" si="34"/>
        <v>0</v>
      </c>
      <c r="M227" s="2">
        <f t="shared" ca="1" si="35"/>
        <v>0</v>
      </c>
    </row>
    <row r="228" spans="1:13" x14ac:dyDescent="0.3">
      <c r="A228">
        <f ca="1">OFFSET(srt_raw!$A$1,(ROW()-1)*4+COLUMN()-1,0)</f>
        <v>228</v>
      </c>
      <c r="B228" t="str">
        <f ca="1">OFFSET(srt_raw!$A$1,(ROW()-1)*4+COLUMN()-1,0)</f>
        <v>00:12:30,200 --&gt; 00:12:32,520</v>
      </c>
      <c r="C228" t="str">
        <f ca="1">OFFSET(srt_raw!$A$1,(ROW()-1)*4+COLUMN()-1,0)</f>
        <v>这里后一行是前一行乘以H，</v>
      </c>
      <c r="D228" t="str">
        <f t="shared" ca="1" si="27"/>
        <v>00:12:30,200</v>
      </c>
      <c r="E228" t="str">
        <f t="shared" ca="1" si="28"/>
        <v>00:12:32,520</v>
      </c>
      <c r="F228" s="5" t="str">
        <f t="shared" ca="1" si="29"/>
        <v>00:12:30.200</v>
      </c>
      <c r="G228" s="1" t="str">
        <f t="shared" ca="1" si="30"/>
        <v>00:12:32.520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3">
      <c r="A229">
        <f ca="1">OFFSET(srt_raw!$A$1,(ROW()-1)*4+COLUMN()-1,0)</f>
        <v>229</v>
      </c>
      <c r="B229" t="str">
        <f ca="1">OFFSET(srt_raw!$A$1,(ROW()-1)*4+COLUMN()-1,0)</f>
        <v>00:12:32,640 --&gt; 00:12:34,560</v>
      </c>
      <c r="C229" t="str">
        <f ca="1">OFFSET(srt_raw!$A$1,(ROW()-1)*4+COLUMN()-1,0)</f>
        <v>也就是前一行的左右扩散。</v>
      </c>
      <c r="D229" t="str">
        <f t="shared" ca="1" si="27"/>
        <v>00:12:32,640</v>
      </c>
      <c r="E229" t="str">
        <f t="shared" ca="1" si="28"/>
        <v>00:12:34,560</v>
      </c>
      <c r="F229" s="5" t="str">
        <f t="shared" ca="1" si="29"/>
        <v>00:12:32.640</v>
      </c>
      <c r="G229" s="1" t="str">
        <f t="shared" ca="1" si="30"/>
        <v>00:12:34.560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3">
      <c r="A230">
        <f ca="1">OFFSET(srt_raw!$A$1,(ROW()-1)*4+COLUMN()-1,0)</f>
        <v>230</v>
      </c>
      <c r="B230" t="str">
        <f ca="1">OFFSET(srt_raw!$A$1,(ROW()-1)*4+COLUMN()-1,0)</f>
        <v>00:12:35,040 --&gt; 00:12:35,520</v>
      </c>
      <c r="C230" t="str">
        <f ca="1">OFFSET(srt_raw!$A$1,(ROW()-1)*4+COLUMN()-1,0)</f>
        <v>因此，</v>
      </c>
      <c r="D230" t="str">
        <f t="shared" ca="1" si="27"/>
        <v>00:12:35,040</v>
      </c>
      <c r="E230" t="str">
        <f t="shared" ca="1" si="28"/>
        <v>00:12:35,520</v>
      </c>
      <c r="F230" s="5" t="str">
        <f t="shared" ca="1" si="29"/>
        <v>00:12:35.040</v>
      </c>
      <c r="G230" s="1" t="str">
        <f t="shared" ca="1" si="30"/>
        <v>00:12:35.520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3">
      <c r="A231">
        <f ca="1">OFFSET(srt_raw!$A$1,(ROW()-1)*4+COLUMN()-1,0)</f>
        <v>231</v>
      </c>
      <c r="B231" t="str">
        <f ca="1">OFFSET(srt_raw!$A$1,(ROW()-1)*4+COLUMN()-1,0)</f>
        <v>00:12:35,520 --&gt; 00:12:38,280</v>
      </c>
      <c r="C231" t="str">
        <f ca="1">OFFSET(srt_raw!$A$1,(ROW()-1)*4+COLUMN()-1,0)</f>
        <v>对于K的每个元素有以上递推公式。</v>
      </c>
      <c r="D231" t="str">
        <f t="shared" ca="1" si="27"/>
        <v>00:12:35,520</v>
      </c>
      <c r="E231" t="str">
        <f t="shared" ca="1" si="28"/>
        <v>00:12:38,280</v>
      </c>
      <c r="F231" s="5" t="str">
        <f t="shared" ca="1" si="29"/>
        <v>00:12:35.520</v>
      </c>
      <c r="G231" s="1" t="str">
        <f t="shared" ca="1" si="30"/>
        <v>00:12:38.280</v>
      </c>
      <c r="H231" s="2">
        <f t="shared" ca="1" si="31"/>
        <v>3.1944444444445552E-5</v>
      </c>
      <c r="I231">
        <f t="shared" ca="1" si="32"/>
        <v>16</v>
      </c>
      <c r="J231" s="2">
        <f t="shared" ca="1" si="33"/>
        <v>1.996527777777847E-6</v>
      </c>
      <c r="K231" t="e">
        <f ca="1">MATCH(ROW(),sub!D:D,0)</f>
        <v>#N/A</v>
      </c>
      <c r="L231" t="b">
        <f t="shared" ca="1" si="34"/>
        <v>0</v>
      </c>
      <c r="M231" s="2">
        <f t="shared" ca="1" si="35"/>
        <v>0</v>
      </c>
    </row>
    <row r="232" spans="1:13" x14ac:dyDescent="0.3">
      <c r="A232">
        <f ca="1">OFFSET(srt_raw!$A$1,(ROW()-1)*4+COLUMN()-1,0)</f>
        <v>232</v>
      </c>
      <c r="B232" t="str">
        <f ca="1">OFFSET(srt_raw!$A$1,(ROW()-1)*4+COLUMN()-1,0)</f>
        <v>00:12:39,760 --&gt; 00:12:42,160</v>
      </c>
      <c r="C232" t="str">
        <f ca="1">OFFSET(srt_raw!$A$1,(ROW()-1)*4+COLUMN()-1,0)</f>
        <v>现在我们定义多项式PX，</v>
      </c>
      <c r="D232" t="str">
        <f t="shared" ca="1" si="27"/>
        <v>00:12:39,760</v>
      </c>
      <c r="E232" t="str">
        <f t="shared" ca="1" si="28"/>
        <v>00:12:42,160</v>
      </c>
      <c r="F232" s="5" t="str">
        <f t="shared" ca="1" si="29"/>
        <v>00:12:39.760</v>
      </c>
      <c r="G232" s="1" t="str">
        <f t="shared" ca="1" si="30"/>
        <v>00:12:42.160</v>
      </c>
      <c r="H232" s="2">
        <f t="shared" ca="1" si="31"/>
        <v>2.777777777777761E-5</v>
      </c>
      <c r="I232">
        <f t="shared" ca="1" si="32"/>
        <v>12</v>
      </c>
      <c r="J232" s="2">
        <f t="shared" ca="1" si="33"/>
        <v>2.3148148148148008E-6</v>
      </c>
      <c r="K232">
        <f ca="1">MATCH(ROW(),sub!D:D,0)</f>
        <v>84</v>
      </c>
      <c r="L232" t="b">
        <f t="shared" ca="1" si="34"/>
        <v>1</v>
      </c>
      <c r="M232" s="2">
        <f t="shared" ca="1" si="35"/>
        <v>2.3148148148148008E-6</v>
      </c>
    </row>
    <row r="233" spans="1:13" x14ac:dyDescent="0.3">
      <c r="A233">
        <f ca="1">OFFSET(srt_raw!$A$1,(ROW()-1)*4+COLUMN()-1,0)</f>
        <v>233</v>
      </c>
      <c r="B233" t="str">
        <f ca="1">OFFSET(srt_raw!$A$1,(ROW()-1)*4+COLUMN()-1,0)</f>
        <v>00:12:42,640 --&gt; 00:12:45,880</v>
      </c>
      <c r="C233" t="str">
        <f ca="1">OFFSET(srt_raw!$A$1,(ROW()-1)*4+COLUMN()-1,0)</f>
        <v>我们的目标是把B拆分成H的n次方，</v>
      </c>
      <c r="D233" t="str">
        <f t="shared" ca="1" si="27"/>
        <v>00:12:42,640</v>
      </c>
      <c r="E233" t="str">
        <f t="shared" ca="1" si="28"/>
        <v>00:12:45,880</v>
      </c>
      <c r="F233" s="5" t="str">
        <f t="shared" ca="1" si="29"/>
        <v>00:12:42.640</v>
      </c>
      <c r="G233" s="1" t="str">
        <f t="shared" ca="1" si="30"/>
        <v>00:12:45.880</v>
      </c>
      <c r="H233" s="2">
        <f t="shared" ca="1" si="31"/>
        <v>3.7500000000001074E-5</v>
      </c>
      <c r="I233">
        <f t="shared" ca="1" si="32"/>
        <v>17</v>
      </c>
      <c r="J233" s="2">
        <f t="shared" ca="1" si="33"/>
        <v>2.2058823529412398E-6</v>
      </c>
      <c r="K233" t="e">
        <f ca="1">MATCH(ROW(),sub!D:D,0)</f>
        <v>#N/A</v>
      </c>
      <c r="L233" t="b">
        <f t="shared" ca="1" si="34"/>
        <v>0</v>
      </c>
      <c r="M233" s="2">
        <f t="shared" ca="1" si="35"/>
        <v>0</v>
      </c>
    </row>
    <row r="234" spans="1:13" x14ac:dyDescent="0.3">
      <c r="A234">
        <f ca="1">OFFSET(srt_raw!$A$1,(ROW()-1)*4+COLUMN()-1,0)</f>
        <v>234</v>
      </c>
      <c r="B234" t="str">
        <f ca="1">OFFSET(srt_raw!$A$1,(ROW()-1)*4+COLUMN()-1,0)</f>
        <v>00:12:47,360 --&gt; 00:12:52,880</v>
      </c>
      <c r="C234" t="str">
        <f ca="1">OFFSET(srt_raw!$A$1,(ROW()-1)*4+COLUMN()-1,0)</f>
        <v>将矩阵H代入多项式PX得到PH并用其表示矩阵B，</v>
      </c>
      <c r="D234" t="str">
        <f t="shared" ca="1" si="27"/>
        <v>00:12:47,360</v>
      </c>
      <c r="E234" t="str">
        <f t="shared" ca="1" si="28"/>
        <v>00:12:52,880</v>
      </c>
      <c r="F234" s="5" t="str">
        <f t="shared" ca="1" si="29"/>
        <v>00:12:47.360</v>
      </c>
      <c r="G234" s="1" t="str">
        <f t="shared" ca="1" si="30"/>
        <v>00:12:52.880</v>
      </c>
      <c r="H234" s="2">
        <f t="shared" ca="1" si="31"/>
        <v>6.388888888888937E-5</v>
      </c>
      <c r="I234">
        <f t="shared" ca="1" si="32"/>
        <v>24</v>
      </c>
      <c r="J234" s="2">
        <f t="shared" ca="1" si="33"/>
        <v>2.6620370370370569E-6</v>
      </c>
      <c r="K234">
        <f ca="1">MATCH(ROW(),sub!D:D,0)</f>
        <v>85</v>
      </c>
      <c r="L234" t="b">
        <f t="shared" ca="1" si="34"/>
        <v>0</v>
      </c>
      <c r="M234" s="2">
        <f t="shared" ca="1" si="35"/>
        <v>0</v>
      </c>
    </row>
    <row r="235" spans="1:13" x14ac:dyDescent="0.3">
      <c r="A235">
        <f ca="1">OFFSET(srt_raw!$A$1,(ROW()-1)*4+COLUMN()-1,0)</f>
        <v>235</v>
      </c>
      <c r="B235" t="str">
        <f ca="1">OFFSET(srt_raw!$A$1,(ROW()-1)*4+COLUMN()-1,0)</f>
        <v>00:12:54,400 --&gt; 00:12:59,280</v>
      </c>
      <c r="C235" t="str">
        <f ca="1">OFFSET(srt_raw!$A$1,(ROW()-1)*4+COLUMN()-1,0)</f>
        <v>这样原始求X的问题就转化为了PHX等于Y，</v>
      </c>
      <c r="D235" t="str">
        <f t="shared" ca="1" si="27"/>
        <v>00:12:54,400</v>
      </c>
      <c r="E235" t="str">
        <f t="shared" ca="1" si="28"/>
        <v>00:12:59,280</v>
      </c>
      <c r="F235" s="5" t="str">
        <f t="shared" ca="1" si="29"/>
        <v>00:12:54.400</v>
      </c>
      <c r="G235" s="1" t="str">
        <f t="shared" ca="1" si="30"/>
        <v>00:12:59.280</v>
      </c>
      <c r="H235" s="2">
        <f t="shared" ca="1" si="31"/>
        <v>5.6481481481482007E-5</v>
      </c>
      <c r="I235">
        <f t="shared" ca="1" si="32"/>
        <v>21</v>
      </c>
      <c r="J235" s="2">
        <f t="shared" ca="1" si="33"/>
        <v>2.6895943562610478E-6</v>
      </c>
      <c r="K235">
        <f ca="1">MATCH(ROW(),sub!D:D,0)</f>
        <v>86</v>
      </c>
      <c r="L235" t="b">
        <f t="shared" ca="1" si="34"/>
        <v>0</v>
      </c>
      <c r="M235" s="2">
        <f t="shared" ca="1" si="35"/>
        <v>0</v>
      </c>
    </row>
    <row r="236" spans="1:13" x14ac:dyDescent="0.3">
      <c r="A236">
        <f ca="1">OFFSET(srt_raw!$A$1,(ROW()-1)*4+COLUMN()-1,0)</f>
        <v>236</v>
      </c>
      <c r="B236" t="str">
        <f ca="1">OFFSET(srt_raw!$A$1,(ROW()-1)*4+COLUMN()-1,0)</f>
        <v>00:13:00,800 --&gt; 00:13:04,640</v>
      </c>
      <c r="C236" t="str">
        <f ca="1">OFFSET(srt_raw!$A$1,(ROW()-1)*4+COLUMN()-1,0)</f>
        <v>现在我们需要把多项式PH的系数计算出来，</v>
      </c>
      <c r="D236" t="str">
        <f t="shared" ca="1" si="27"/>
        <v>00:13:00,800</v>
      </c>
      <c r="E236" t="str">
        <f t="shared" ca="1" si="28"/>
        <v>00:13:04,640</v>
      </c>
      <c r="F236" s="5" t="str">
        <f t="shared" ca="1" si="29"/>
        <v>00:13:00.800</v>
      </c>
      <c r="G236" s="1" t="str">
        <f t="shared" ca="1" si="30"/>
        <v>00:13:04.640</v>
      </c>
      <c r="H236" s="2">
        <f t="shared" ca="1" si="31"/>
        <v>4.444444444444591E-5</v>
      </c>
      <c r="I236">
        <f t="shared" ca="1" si="32"/>
        <v>20</v>
      </c>
      <c r="J236" s="2">
        <f t="shared" ca="1" si="33"/>
        <v>2.2222222222222953E-6</v>
      </c>
      <c r="K236">
        <f ca="1">MATCH(ROW(),sub!D:D,0)</f>
        <v>87</v>
      </c>
      <c r="L236" t="b">
        <f t="shared" ca="1" si="34"/>
        <v>1</v>
      </c>
      <c r="M236" s="2">
        <f t="shared" ca="1" si="35"/>
        <v>2.2222222222222953E-6</v>
      </c>
    </row>
    <row r="237" spans="1:13" x14ac:dyDescent="0.3">
      <c r="A237">
        <f ca="1">OFFSET(srt_raw!$A$1,(ROW()-1)*4+COLUMN()-1,0)</f>
        <v>237</v>
      </c>
      <c r="B237" t="str">
        <f ca="1">OFFSET(srt_raw!$A$1,(ROW()-1)*4+COLUMN()-1,0)</f>
        <v>00:13:05,120 --&gt; 00:13:07,680</v>
      </c>
      <c r="C237" t="str">
        <f ca="1">OFFSET(srt_raw!$A$1,(ROW()-1)*4+COLUMN()-1,0)</f>
        <v>这个系数构成的向量我们记为P。</v>
      </c>
      <c r="D237" t="str">
        <f t="shared" ca="1" si="27"/>
        <v>00:13:05,120</v>
      </c>
      <c r="E237" t="str">
        <f t="shared" ca="1" si="28"/>
        <v>00:13:07,680</v>
      </c>
      <c r="F237" s="5" t="str">
        <f t="shared" ca="1" si="29"/>
        <v>00:13:05.120</v>
      </c>
      <c r="G237" s="1" t="str">
        <f t="shared" ca="1" si="30"/>
        <v>00:13:07.680</v>
      </c>
      <c r="H237" s="2">
        <f t="shared" ca="1" si="31"/>
        <v>2.9629629629627716E-5</v>
      </c>
      <c r="I237">
        <f t="shared" ca="1" si="32"/>
        <v>15</v>
      </c>
      <c r="J237" s="2">
        <f t="shared" ca="1" si="33"/>
        <v>1.9753086419751808E-6</v>
      </c>
      <c r="K237" t="e">
        <f ca="1">MATCH(ROW(),sub!D:D,0)</f>
        <v>#N/A</v>
      </c>
      <c r="L237" t="b">
        <f t="shared" ca="1" si="34"/>
        <v>0</v>
      </c>
      <c r="M237" s="2">
        <f t="shared" ca="1" si="35"/>
        <v>0</v>
      </c>
    </row>
    <row r="238" spans="1:13" x14ac:dyDescent="0.3">
      <c r="A238">
        <f ca="1">OFFSET(srt_raw!$A$1,(ROW()-1)*4+COLUMN()-1,0)</f>
        <v>238</v>
      </c>
      <c r="B238" t="str">
        <f ca="1">OFFSET(srt_raw!$A$1,(ROW()-1)*4+COLUMN()-1,0)</f>
        <v>00:13:09,280 --&gt; 00:13:10,400</v>
      </c>
      <c r="C238" t="str">
        <f ca="1">OFFSET(srt_raw!$A$1,(ROW()-1)*4+COLUMN()-1,0)</f>
        <v>为了简化运算，</v>
      </c>
      <c r="D238" t="str">
        <f t="shared" ca="1" si="27"/>
        <v>00:13:09,280</v>
      </c>
      <c r="E238" t="str">
        <f t="shared" ca="1" si="28"/>
        <v>00:13:10,400</v>
      </c>
      <c r="F238" s="5" t="str">
        <f t="shared" ca="1" si="29"/>
        <v>00:13:09.280</v>
      </c>
      <c r="G238" s="1" t="str">
        <f t="shared" ca="1" si="30"/>
        <v>00:13:10.400</v>
      </c>
      <c r="H238" s="2">
        <f t="shared" ca="1" si="31"/>
        <v>1.2962962962962885E-5</v>
      </c>
      <c r="I238">
        <f t="shared" ca="1" si="32"/>
        <v>7</v>
      </c>
      <c r="J238" s="2">
        <f t="shared" ca="1" si="33"/>
        <v>1.8518518518518406E-6</v>
      </c>
      <c r="K238">
        <f ca="1">MATCH(ROW(),sub!D:D,0)</f>
        <v>88</v>
      </c>
      <c r="L238" t="b">
        <f t="shared" ca="1" si="34"/>
        <v>1</v>
      </c>
      <c r="M238" s="2">
        <f t="shared" ca="1" si="35"/>
        <v>1.8518518518518406E-6</v>
      </c>
    </row>
    <row r="239" spans="1:13" x14ac:dyDescent="0.3">
      <c r="A239">
        <f ca="1">OFFSET(srt_raw!$A$1,(ROW()-1)*4+COLUMN()-1,0)</f>
        <v>239</v>
      </c>
      <c r="B239" t="str">
        <f ca="1">OFFSET(srt_raw!$A$1,(ROW()-1)*4+COLUMN()-1,0)</f>
        <v>00:13:10,400 --&gt; 00:13:12,640</v>
      </c>
      <c r="C239" t="str">
        <f ca="1">OFFSET(srt_raw!$A$1,(ROW()-1)*4+COLUMN()-1,0)</f>
        <v>我们只关心矩阵第一行B零，</v>
      </c>
      <c r="D239" t="str">
        <f t="shared" ca="1" si="27"/>
        <v>00:13:10,400</v>
      </c>
      <c r="E239" t="str">
        <f t="shared" ca="1" si="28"/>
        <v>00:13:12,640</v>
      </c>
      <c r="F239" s="5" t="str">
        <f t="shared" ca="1" si="29"/>
        <v>00:13:10.400</v>
      </c>
      <c r="G239" s="1" t="str">
        <f t="shared" ca="1" si="30"/>
        <v>00:13:12.640</v>
      </c>
      <c r="H239" s="2">
        <f t="shared" ca="1" si="31"/>
        <v>2.5925925925925769E-5</v>
      </c>
      <c r="I239">
        <f t="shared" ca="1" si="32"/>
        <v>13</v>
      </c>
      <c r="J239" s="2">
        <f t="shared" ca="1" si="33"/>
        <v>1.9943019943019824E-6</v>
      </c>
      <c r="K239" t="e">
        <f ca="1">MATCH(ROW(),sub!D:D,0)</f>
        <v>#N/A</v>
      </c>
      <c r="L239" t="b">
        <f t="shared" ca="1" si="34"/>
        <v>1</v>
      </c>
      <c r="M239" s="2">
        <f t="shared" ca="1" si="35"/>
        <v>1.9943019943019824E-6</v>
      </c>
    </row>
    <row r="240" spans="1:13" x14ac:dyDescent="0.3">
      <c r="A240">
        <f ca="1">OFFSET(srt_raw!$A$1,(ROW()-1)*4+COLUMN()-1,0)</f>
        <v>240</v>
      </c>
      <c r="B240" t="str">
        <f ca="1">OFFSET(srt_raw!$A$1,(ROW()-1)*4+COLUMN()-1,0)</f>
        <v>00:13:12,720 --&gt; 00:13:13,440</v>
      </c>
      <c r="C240" t="str">
        <f ca="1">OFFSET(srt_raw!$A$1,(ROW()-1)*4+COLUMN()-1,0)</f>
        <v>即为B。</v>
      </c>
      <c r="D240" t="str">
        <f t="shared" ca="1" si="27"/>
        <v>00:13:12,720</v>
      </c>
      <c r="E240" t="str">
        <f t="shared" ca="1" si="28"/>
        <v>00:13:13,440</v>
      </c>
      <c r="F240" s="5" t="str">
        <f t="shared" ca="1" si="29"/>
        <v>00:13:12.720</v>
      </c>
      <c r="G240" s="1" t="str">
        <f t="shared" ca="1" si="30"/>
        <v>00:13:13.440</v>
      </c>
      <c r="H240" s="2">
        <f t="shared" ca="1" si="31"/>
        <v>8.3333333333324155E-6</v>
      </c>
      <c r="I240">
        <f t="shared" ca="1" si="32"/>
        <v>4</v>
      </c>
      <c r="J240" s="2">
        <f t="shared" ca="1" si="33"/>
        <v>2.0833333333331039E-6</v>
      </c>
      <c r="K240" t="e">
        <f ca="1">MATCH(ROW(),sub!D:D,0)</f>
        <v>#N/A</v>
      </c>
      <c r="L240" t="b">
        <f t="shared" ca="1" si="34"/>
        <v>1</v>
      </c>
      <c r="M240" s="2">
        <f t="shared" ca="1" si="35"/>
        <v>2.0833333333331039E-6</v>
      </c>
    </row>
    <row r="241" spans="1:13" x14ac:dyDescent="0.3">
      <c r="A241">
        <f ca="1">OFFSET(srt_raw!$A$1,(ROW()-1)*4+COLUMN()-1,0)</f>
        <v>241</v>
      </c>
      <c r="B241" t="str">
        <f ca="1">OFFSET(srt_raw!$A$1,(ROW()-1)*4+COLUMN()-1,0)</f>
        <v>00:13:13,920 --&gt; 00:13:15,440</v>
      </c>
      <c r="C241" t="str">
        <f ca="1">OFFSET(srt_raw!$A$1,(ROW()-1)*4+COLUMN()-1,0)</f>
        <v>根据刚才K的定义，</v>
      </c>
      <c r="D241" t="str">
        <f t="shared" ca="1" si="27"/>
        <v>00:13:13,920</v>
      </c>
      <c r="E241" t="str">
        <f t="shared" ca="1" si="28"/>
        <v>00:13:15,440</v>
      </c>
      <c r="F241" s="5" t="str">
        <f t="shared" ca="1" si="29"/>
        <v>00:13:13.920</v>
      </c>
      <c r="G241" s="1" t="str">
        <f t="shared" ca="1" si="30"/>
        <v>00:13:15.440</v>
      </c>
      <c r="H241" s="2">
        <f t="shared" ca="1" si="31"/>
        <v>1.7592592592593354E-5</v>
      </c>
      <c r="I241">
        <f t="shared" ca="1" si="32"/>
        <v>9</v>
      </c>
      <c r="J241" s="2">
        <f t="shared" ca="1" si="33"/>
        <v>1.9547325102881505E-6</v>
      </c>
      <c r="K241" t="e">
        <f ca="1">MATCH(ROW(),sub!D:D,0)</f>
        <v>#N/A</v>
      </c>
      <c r="L241" t="b">
        <f t="shared" ca="1" si="34"/>
        <v>1</v>
      </c>
      <c r="M241" s="2">
        <f t="shared" ca="1" si="35"/>
        <v>1.9547325102881505E-6</v>
      </c>
    </row>
    <row r="242" spans="1:13" x14ac:dyDescent="0.3">
      <c r="A242">
        <f ca="1">OFFSET(srt_raw!$A$1,(ROW()-1)*4+COLUMN()-1,0)</f>
        <v>242</v>
      </c>
      <c r="B242" t="str">
        <f ca="1">OFFSET(srt_raw!$A$1,(ROW()-1)*4+COLUMN()-1,0)</f>
        <v>00:13:15,440 --&gt; 00:13:17,440</v>
      </c>
      <c r="C242" t="str">
        <f ca="1">OFFSET(srt_raw!$A$1,(ROW()-1)*4+COLUMN()-1,0)</f>
        <v>我们可以得到B等于KP。</v>
      </c>
      <c r="D242" t="str">
        <f t="shared" ca="1" si="27"/>
        <v>00:13:15,440</v>
      </c>
      <c r="E242" t="str">
        <f t="shared" ca="1" si="28"/>
        <v>00:13:17,440</v>
      </c>
      <c r="F242" s="5" t="str">
        <f t="shared" ca="1" si="29"/>
        <v>00:13:15.440</v>
      </c>
      <c r="G242" s="1" t="str">
        <f t="shared" ca="1" si="30"/>
        <v>00:13:17.440</v>
      </c>
      <c r="H242" s="2">
        <f t="shared" ca="1" si="31"/>
        <v>2.3148148148148875E-5</v>
      </c>
      <c r="I242">
        <f t="shared" ca="1" si="32"/>
        <v>12</v>
      </c>
      <c r="J242" s="2">
        <f t="shared" ca="1" si="33"/>
        <v>1.929012345679073E-6</v>
      </c>
      <c r="K242" t="e">
        <f ca="1">MATCH(ROW(),sub!D:D,0)</f>
        <v>#N/A</v>
      </c>
      <c r="L242" t="b">
        <f t="shared" ca="1" si="34"/>
        <v>0</v>
      </c>
      <c r="M242" s="2">
        <f t="shared" ca="1" si="35"/>
        <v>0</v>
      </c>
    </row>
    <row r="243" spans="1:13" x14ac:dyDescent="0.3">
      <c r="A243">
        <f ca="1">OFFSET(srt_raw!$A$1,(ROW()-1)*4+COLUMN()-1,0)</f>
        <v>243</v>
      </c>
      <c r="B243" t="str">
        <f ca="1">OFFSET(srt_raw!$A$1,(ROW()-1)*4+COLUMN()-1,0)</f>
        <v>00:13:18,880 --&gt; 00:13:19,800</v>
      </c>
      <c r="C243" t="str">
        <f ca="1">OFFSET(srt_raw!$A$1,(ROW()-1)*4+COLUMN()-1,0)</f>
        <v>为了求得P，</v>
      </c>
      <c r="D243" t="str">
        <f t="shared" ca="1" si="27"/>
        <v>00:13:18,880</v>
      </c>
      <c r="E243" t="str">
        <f t="shared" ca="1" si="28"/>
        <v>00:13:19,800</v>
      </c>
      <c r="F243" s="5" t="str">
        <f t="shared" ca="1" si="29"/>
        <v>00:13:18.880</v>
      </c>
      <c r="G243" s="1" t="str">
        <f t="shared" ca="1" si="30"/>
        <v>00:13:19.800</v>
      </c>
      <c r="H243" s="2">
        <f t="shared" ca="1" si="31"/>
        <v>1.0648148148148517E-5</v>
      </c>
      <c r="I243">
        <f t="shared" ca="1" si="32"/>
        <v>6</v>
      </c>
      <c r="J243" s="2">
        <f t="shared" ca="1" si="33"/>
        <v>1.774691358024753E-6</v>
      </c>
      <c r="K243">
        <f ca="1">MATCH(ROW(),sub!D:D,0)</f>
        <v>89</v>
      </c>
      <c r="L243" t="b">
        <f t="shared" ca="1" si="34"/>
        <v>1</v>
      </c>
      <c r="M243" s="2">
        <f t="shared" ca="1" si="35"/>
        <v>1.774691358024753E-6</v>
      </c>
    </row>
    <row r="244" spans="1:13" x14ac:dyDescent="0.3">
      <c r="A244">
        <f ca="1">OFFSET(srt_raw!$A$1,(ROW()-1)*4+COLUMN()-1,0)</f>
        <v>244</v>
      </c>
      <c r="B244" t="str">
        <f ca="1">OFFSET(srt_raw!$A$1,(ROW()-1)*4+COLUMN()-1,0)</f>
        <v>00:13:19,800 --&gt; 00:13:22,800</v>
      </c>
      <c r="C244" t="str">
        <f ca="1">OFFSET(srt_raw!$A$1,(ROW()-1)*4+COLUMN()-1,0)</f>
        <v>我们可以将两边同时乘以K的逆矩阵，</v>
      </c>
      <c r="D244" t="str">
        <f t="shared" ca="1" si="27"/>
        <v>00:13:19,800</v>
      </c>
      <c r="E244" t="str">
        <f t="shared" ca="1" si="28"/>
        <v>00:13:22,800</v>
      </c>
      <c r="F244" s="5" t="str">
        <f t="shared" ca="1" si="29"/>
        <v>00:13:19.800</v>
      </c>
      <c r="G244" s="1" t="str">
        <f t="shared" ca="1" si="30"/>
        <v>00:13:22.800</v>
      </c>
      <c r="H244" s="2">
        <f t="shared" ca="1" si="31"/>
        <v>3.4722222222222446E-5</v>
      </c>
      <c r="I244">
        <f t="shared" ca="1" si="32"/>
        <v>17</v>
      </c>
      <c r="J244" s="2">
        <f t="shared" ca="1" si="33"/>
        <v>2.0424836601307323E-6</v>
      </c>
      <c r="K244" t="e">
        <f ca="1">MATCH(ROW(),sub!D:D,0)</f>
        <v>#N/A</v>
      </c>
      <c r="L244" t="b">
        <f t="shared" ca="1" si="34"/>
        <v>1</v>
      </c>
      <c r="M244" s="2">
        <f t="shared" ca="1" si="35"/>
        <v>2.0424836601307323E-6</v>
      </c>
    </row>
    <row r="245" spans="1:13" x14ac:dyDescent="0.3">
      <c r="A245">
        <f ca="1">OFFSET(srt_raw!$A$1,(ROW()-1)*4+COLUMN()-1,0)</f>
        <v>245</v>
      </c>
      <c r="B245" t="str">
        <f ca="1">OFFSET(srt_raw!$A$1,(ROW()-1)*4+COLUMN()-1,0)</f>
        <v>00:13:22,800 --&gt; 00:13:23,440</v>
      </c>
      <c r="C245" t="str">
        <f ca="1">OFFSET(srt_raw!$A$1,(ROW()-1)*4+COLUMN()-1,0)</f>
        <v>即为F，</v>
      </c>
      <c r="D245" t="str">
        <f t="shared" ca="1" si="27"/>
        <v>00:13:22,800</v>
      </c>
      <c r="E245" t="str">
        <f t="shared" ca="1" si="28"/>
        <v>00:13:23,440</v>
      </c>
      <c r="F245" s="5" t="str">
        <f t="shared" ca="1" si="29"/>
        <v>00:13:22.800</v>
      </c>
      <c r="G245" s="1" t="str">
        <f t="shared" ca="1" si="30"/>
        <v>00:13:23.440</v>
      </c>
      <c r="H245" s="2">
        <f t="shared" ca="1" si="31"/>
        <v>7.4074074074073626E-6</v>
      </c>
      <c r="I245">
        <f t="shared" ca="1" si="32"/>
        <v>4</v>
      </c>
      <c r="J245" s="2">
        <f t="shared" ca="1" si="33"/>
        <v>1.8518518518518406E-6</v>
      </c>
      <c r="K245" t="e">
        <f ca="1">MATCH(ROW(),sub!D:D,0)</f>
        <v>#N/A</v>
      </c>
      <c r="L245" t="b">
        <f t="shared" ca="1" si="34"/>
        <v>1</v>
      </c>
      <c r="M245" s="2">
        <f t="shared" ca="1" si="35"/>
        <v>1.8518518518518406E-6</v>
      </c>
    </row>
    <row r="246" spans="1:13" x14ac:dyDescent="0.3">
      <c r="A246">
        <f ca="1">OFFSET(srt_raw!$A$1,(ROW()-1)*4+COLUMN()-1,0)</f>
        <v>246</v>
      </c>
      <c r="B246" t="str">
        <f ca="1">OFFSET(srt_raw!$A$1,(ROW()-1)*4+COLUMN()-1,0)</f>
        <v>00:13:23,680 --&gt; 00:13:28,160</v>
      </c>
      <c r="C246" t="str">
        <f ca="1">OFFSET(srt_raw!$A$1,(ROW()-1)*4+COLUMN()-1,0)</f>
        <v>又称反克雷洛夫矩阵或解偶矩阵。</v>
      </c>
      <c r="D246" t="str">
        <f t="shared" ca="1" si="27"/>
        <v>00:13:23,680</v>
      </c>
      <c r="E246" t="str">
        <f t="shared" ca="1" si="28"/>
        <v>00:13:28,160</v>
      </c>
      <c r="F246" s="5" t="str">
        <f t="shared" ca="1" si="29"/>
        <v>00:13:23.680</v>
      </c>
      <c r="G246" s="1" t="str">
        <f t="shared" ca="1" si="30"/>
        <v>00:13:28.160</v>
      </c>
      <c r="H246" s="2">
        <f t="shared" ca="1" si="31"/>
        <v>5.1851851851851538E-5</v>
      </c>
      <c r="I246">
        <f t="shared" ca="1" si="32"/>
        <v>15</v>
      </c>
      <c r="J246" s="2">
        <f t="shared" ca="1" si="33"/>
        <v>3.4567901234567692E-6</v>
      </c>
      <c r="K246" t="e">
        <f ca="1">MATCH(ROW(),sub!D:D,0)</f>
        <v>#N/A</v>
      </c>
      <c r="L246" t="b">
        <f t="shared" ca="1" si="34"/>
        <v>0</v>
      </c>
      <c r="M246" s="2">
        <f t="shared" ca="1" si="35"/>
        <v>0</v>
      </c>
    </row>
    <row r="247" spans="1:13" x14ac:dyDescent="0.3">
      <c r="A247">
        <f ca="1">OFFSET(srt_raw!$A$1,(ROW()-1)*4+COLUMN()-1,0)</f>
        <v>247</v>
      </c>
      <c r="B247" t="str">
        <f ca="1">OFFSET(srt_raw!$A$1,(ROW()-1)*4+COLUMN()-1,0)</f>
        <v>00:13:28,160 --&gt; 00:13:30,640</v>
      </c>
      <c r="C247" t="str">
        <f ca="1">OFFSET(srt_raw!$A$1,(ROW()-1)*4+COLUMN()-1,0)</f>
        <v>这个矩阵F也是下三角矩阵，</v>
      </c>
      <c r="D247" t="str">
        <f t="shared" ca="1" si="27"/>
        <v>00:13:28,160</v>
      </c>
      <c r="E247" t="str">
        <f t="shared" ca="1" si="28"/>
        <v>00:13:30,640</v>
      </c>
      <c r="F247" s="5" t="str">
        <f t="shared" ca="1" si="29"/>
        <v>00:13:28.160</v>
      </c>
      <c r="G247" s="1" t="str">
        <f t="shared" ca="1" si="30"/>
        <v>00:13:30.640</v>
      </c>
      <c r="H247" s="2">
        <f t="shared" ca="1" si="31"/>
        <v>2.8703703703704397E-5</v>
      </c>
      <c r="I247">
        <f t="shared" ca="1" si="32"/>
        <v>13</v>
      </c>
      <c r="J247" s="2">
        <f t="shared" ca="1" si="33"/>
        <v>2.2079772079772612E-6</v>
      </c>
      <c r="K247">
        <f ca="1">MATCH(ROW(),sub!D:D,0)</f>
        <v>90</v>
      </c>
      <c r="L247" t="b">
        <f t="shared" ca="1" si="34"/>
        <v>1</v>
      </c>
      <c r="M247" s="2">
        <f t="shared" ca="1" si="35"/>
        <v>2.2079772079772612E-6</v>
      </c>
    </row>
    <row r="248" spans="1:13" x14ac:dyDescent="0.3">
      <c r="A248">
        <f ca="1">OFFSET(srt_raw!$A$1,(ROW()-1)*4+COLUMN()-1,0)</f>
        <v>248</v>
      </c>
      <c r="B248" t="str">
        <f ca="1">OFFSET(srt_raw!$A$1,(ROW()-1)*4+COLUMN()-1,0)</f>
        <v>00:13:30,640 --&gt; 00:13:32,880</v>
      </c>
      <c r="C248" t="str">
        <f ca="1">OFFSET(srt_raw!$A$1,(ROW()-1)*4+COLUMN()-1,0)</f>
        <v>并且和矩阵K看上去差不多，</v>
      </c>
      <c r="D248" t="str">
        <f t="shared" ca="1" si="27"/>
        <v>00:13:30,640</v>
      </c>
      <c r="E248" t="str">
        <f t="shared" ca="1" si="28"/>
        <v>00:13:32,880</v>
      </c>
      <c r="F248" s="5" t="str">
        <f t="shared" ca="1" si="29"/>
        <v>00:13:30.640</v>
      </c>
      <c r="G248" s="1" t="str">
        <f t="shared" ca="1" si="30"/>
        <v>00:13:32.880</v>
      </c>
      <c r="H248" s="2">
        <f t="shared" ca="1" si="31"/>
        <v>2.5925925925925769E-5</v>
      </c>
      <c r="I248">
        <f t="shared" ca="1" si="32"/>
        <v>13</v>
      </c>
      <c r="J248" s="2">
        <f t="shared" ca="1" si="33"/>
        <v>1.9943019943019824E-6</v>
      </c>
      <c r="K248" t="e">
        <f ca="1">MATCH(ROW(),sub!D:D,0)</f>
        <v>#N/A</v>
      </c>
      <c r="L248" t="b">
        <f t="shared" ca="1" si="34"/>
        <v>1</v>
      </c>
      <c r="M248" s="2">
        <f t="shared" ca="1" si="35"/>
        <v>1.9943019943019824E-6</v>
      </c>
    </row>
    <row r="249" spans="1:13" x14ac:dyDescent="0.3">
      <c r="A249">
        <f ca="1">OFFSET(srt_raw!$A$1,(ROW()-1)*4+COLUMN()-1,0)</f>
        <v>249</v>
      </c>
      <c r="B249" t="str">
        <f ca="1">OFFSET(srt_raw!$A$1,(ROW()-1)*4+COLUMN()-1,0)</f>
        <v>00:13:32,880 --&gt; 00:13:34,760</v>
      </c>
      <c r="C249" t="str">
        <f ca="1">OFFSET(srt_raw!$A$1,(ROW()-1)*4+COLUMN()-1,0)</f>
        <v>不过并不相同。</v>
      </c>
      <c r="D249" t="str">
        <f t="shared" ca="1" si="27"/>
        <v>00:13:32,880</v>
      </c>
      <c r="E249" t="str">
        <f t="shared" ca="1" si="28"/>
        <v>00:13:34,760</v>
      </c>
      <c r="F249" s="5" t="str">
        <f t="shared" ca="1" si="29"/>
        <v>00:13:32.880</v>
      </c>
      <c r="G249" s="1" t="str">
        <f t="shared" ca="1" si="30"/>
        <v>00:13:34.760</v>
      </c>
      <c r="H249" s="2">
        <f t="shared" ca="1" si="31"/>
        <v>2.1759259259259561E-5</v>
      </c>
      <c r="I249">
        <f t="shared" ca="1" si="32"/>
        <v>7</v>
      </c>
      <c r="J249" s="2">
        <f t="shared" ca="1" si="33"/>
        <v>3.1084656084656514E-6</v>
      </c>
      <c r="K249" t="e">
        <f ca="1">MATCH(ROW(),sub!D:D,0)</f>
        <v>#N/A</v>
      </c>
      <c r="L249" t="b">
        <f t="shared" ca="1" si="34"/>
        <v>1</v>
      </c>
      <c r="M249" s="2">
        <f t="shared" ca="1" si="35"/>
        <v>3.1084656084656514E-6</v>
      </c>
    </row>
    <row r="250" spans="1:13" x14ac:dyDescent="0.3">
      <c r="A250">
        <f ca="1">OFFSET(srt_raw!$A$1,(ROW()-1)*4+COLUMN()-1,0)</f>
        <v>250</v>
      </c>
      <c r="B250" t="str">
        <f ca="1">OFFSET(srt_raw!$A$1,(ROW()-1)*4+COLUMN()-1,0)</f>
        <v>00:13:34,760 --&gt; 00:13:35,440</v>
      </c>
      <c r="C250" t="str">
        <f ca="1">OFFSET(srt_raw!$A$1,(ROW()-1)*4+COLUMN()-1,0)</f>
        <v>事实上，</v>
      </c>
      <c r="D250" t="str">
        <f t="shared" ca="1" si="27"/>
        <v>00:13:34,760</v>
      </c>
      <c r="E250" t="str">
        <f t="shared" ca="1" si="28"/>
        <v>00:13:35,440</v>
      </c>
      <c r="F250" s="5" t="str">
        <f t="shared" ca="1" si="29"/>
        <v>00:13:34.760</v>
      </c>
      <c r="G250" s="1" t="str">
        <f t="shared" ca="1" si="30"/>
        <v>00:13:35.440</v>
      </c>
      <c r="H250" s="2">
        <f t="shared" ca="1" si="31"/>
        <v>7.8703703703716238E-6</v>
      </c>
      <c r="I250">
        <f t="shared" ca="1" si="32"/>
        <v>4</v>
      </c>
      <c r="J250" s="2">
        <f t="shared" ca="1" si="33"/>
        <v>1.9675925925929059E-6</v>
      </c>
      <c r="K250" t="e">
        <f ca="1">MATCH(ROW(),sub!D:D,0)</f>
        <v>#N/A</v>
      </c>
      <c r="L250" t="b">
        <f t="shared" ca="1" si="34"/>
        <v>1</v>
      </c>
      <c r="M250" s="2">
        <f t="shared" ca="1" si="35"/>
        <v>1.9675925925929059E-6</v>
      </c>
    </row>
    <row r="251" spans="1:13" x14ac:dyDescent="0.3">
      <c r="A251">
        <f ca="1">OFFSET(srt_raw!$A$1,(ROW()-1)*4+COLUMN()-1,0)</f>
        <v>251</v>
      </c>
      <c r="B251" t="str">
        <f ca="1">OFFSET(srt_raw!$A$1,(ROW()-1)*4+COLUMN()-1,0)</f>
        <v>00:13:35,440 --&gt; 00:13:38,120</v>
      </c>
      <c r="C251" t="str">
        <f ca="1">OFFSET(srt_raw!$A$1,(ROW()-1)*4+COLUMN()-1,0)</f>
        <v>这个矩阵F也满足类似的性质。</v>
      </c>
      <c r="D251" t="str">
        <f t="shared" ca="1" si="27"/>
        <v>00:13:35,440</v>
      </c>
      <c r="E251" t="str">
        <f t="shared" ca="1" si="28"/>
        <v>00:13:38,120</v>
      </c>
      <c r="F251" s="5" t="str">
        <f t="shared" ca="1" si="29"/>
        <v>00:13:35.440</v>
      </c>
      <c r="G251" s="1" t="str">
        <f t="shared" ca="1" si="30"/>
        <v>00:13:38.120</v>
      </c>
      <c r="H251" s="2">
        <f t="shared" ca="1" si="31"/>
        <v>3.101851851851703E-5</v>
      </c>
      <c r="I251">
        <f t="shared" ca="1" si="32"/>
        <v>14</v>
      </c>
      <c r="J251" s="2">
        <f t="shared" ca="1" si="33"/>
        <v>2.2156084656083591E-6</v>
      </c>
      <c r="K251" t="e">
        <f ca="1">MATCH(ROW(),sub!D:D,0)</f>
        <v>#N/A</v>
      </c>
      <c r="L251" t="b">
        <f t="shared" ca="1" si="34"/>
        <v>0</v>
      </c>
      <c r="M251" s="2">
        <f t="shared" ca="1" si="35"/>
        <v>0</v>
      </c>
    </row>
    <row r="252" spans="1:13" x14ac:dyDescent="0.3">
      <c r="A252">
        <f ca="1">OFFSET(srt_raw!$A$1,(ROW()-1)*4+COLUMN()-1,0)</f>
        <v>252</v>
      </c>
      <c r="B252" t="str">
        <f ca="1">OFFSET(srt_raw!$A$1,(ROW()-1)*4+COLUMN()-1,0)</f>
        <v>00:13:39,600 --&gt; 00:13:45,720</v>
      </c>
      <c r="C252" t="str">
        <f ca="1">OFFSET(srt_raw!$A$1,(ROW()-1)*4+COLUMN()-1,0)</f>
        <v>使用这两个性质构造的矩阵K和F可以证明S等于KF为单位矩阵i</v>
      </c>
      <c r="D252" t="str">
        <f t="shared" ca="1" si="27"/>
        <v>00:13:39,600</v>
      </c>
      <c r="E252" t="str">
        <f t="shared" ca="1" si="28"/>
        <v>00:13:45,720</v>
      </c>
      <c r="F252" s="5" t="str">
        <f t="shared" ca="1" si="29"/>
        <v>00:13:39.600</v>
      </c>
      <c r="G252" s="1" t="str">
        <f t="shared" ca="1" si="30"/>
        <v>00:13:45.720</v>
      </c>
      <c r="H252" s="2">
        <f t="shared" ca="1" si="31"/>
        <v>7.0833333333332471E-5</v>
      </c>
      <c r="I252">
        <f t="shared" ca="1" si="32"/>
        <v>30</v>
      </c>
      <c r="J252" s="2">
        <f t="shared" ca="1" si="33"/>
        <v>2.3611111111110823E-6</v>
      </c>
      <c r="K252">
        <f ca="1">MATCH(ROW(),sub!D:D,0)</f>
        <v>91</v>
      </c>
      <c r="L252" t="b">
        <f t="shared" ca="1" si="34"/>
        <v>1</v>
      </c>
      <c r="M252" s="2">
        <f t="shared" ca="1" si="35"/>
        <v>2.3611111111110823E-6</v>
      </c>
    </row>
    <row r="253" spans="1:13" x14ac:dyDescent="0.3">
      <c r="A253">
        <f ca="1">OFFSET(srt_raw!$A$1,(ROW()-1)*4+COLUMN()-1,0)</f>
        <v>253</v>
      </c>
      <c r="B253" t="str">
        <f ca="1">OFFSET(srt_raw!$A$1,(ROW()-1)*4+COLUMN()-1,0)</f>
        <v>00:13:45,720 --&gt; 00:13:45,760</v>
      </c>
      <c r="C253" t="str">
        <f ca="1">OFFSET(srt_raw!$A$1,(ROW()-1)*4+COLUMN()-1,0)</f>
        <v>，</v>
      </c>
      <c r="D253" t="str">
        <f t="shared" ca="1" si="27"/>
        <v>00:13:45,720</v>
      </c>
      <c r="E253" t="str">
        <f t="shared" ca="1" si="28"/>
        <v>00:13:45,760</v>
      </c>
      <c r="F253" s="5" t="str">
        <f t="shared" ca="1" si="29"/>
        <v>00:13:45.720</v>
      </c>
      <c r="G253" s="1" t="str">
        <f t="shared" ca="1" si="30"/>
        <v>00:13:45.760</v>
      </c>
      <c r="H253" s="2">
        <f t="shared" ca="1" si="31"/>
        <v>4.6296296296252648E-7</v>
      </c>
      <c r="I253">
        <f t="shared" ca="1" si="32"/>
        <v>1</v>
      </c>
      <c r="J253" s="2">
        <f t="shared" ca="1" si="33"/>
        <v>4.6296296296252648E-7</v>
      </c>
      <c r="K253" t="e">
        <f ca="1">MATCH(ROW(),sub!D:D,0)</f>
        <v>#N/A</v>
      </c>
      <c r="L253" t="b">
        <f t="shared" ca="1" si="34"/>
        <v>1</v>
      </c>
      <c r="M253" s="2">
        <f t="shared" ca="1" si="35"/>
        <v>4.6296296296252648E-7</v>
      </c>
    </row>
    <row r="254" spans="1:13" x14ac:dyDescent="0.3">
      <c r="A254">
        <f ca="1">OFFSET(srt_raw!$A$1,(ROW()-1)*4+COLUMN()-1,0)</f>
        <v>254</v>
      </c>
      <c r="B254" t="str">
        <f ca="1">OFFSET(srt_raw!$A$1,(ROW()-1)*4+COLUMN()-1,0)</f>
        <v>00:13:45,920 --&gt; 00:13:50,360</v>
      </c>
      <c r="C254" t="str">
        <f ca="1">OFFSET(srt_raw!$A$1,(ROW()-1)*4+COLUMN()-1,0)</f>
        <v>有兴趣的小伙伴可以自己试着证明一下。</v>
      </c>
      <c r="D254" t="str">
        <f t="shared" ca="1" si="27"/>
        <v>00:13:45,920</v>
      </c>
      <c r="E254" t="str">
        <f t="shared" ca="1" si="28"/>
        <v>00:13:50,360</v>
      </c>
      <c r="F254" s="5" t="str">
        <f t="shared" ca="1" si="29"/>
        <v>00:13:45.920</v>
      </c>
      <c r="G254" s="1" t="str">
        <f t="shared" ca="1" si="30"/>
        <v>00:13:50.360</v>
      </c>
      <c r="H254" s="2">
        <f t="shared" ca="1" si="31"/>
        <v>5.1388888888889012E-5</v>
      </c>
      <c r="I254">
        <f t="shared" ca="1" si="32"/>
        <v>18</v>
      </c>
      <c r="J254" s="2">
        <f t="shared" ca="1" si="33"/>
        <v>2.854938271604945E-6</v>
      </c>
      <c r="K254" t="e">
        <f ca="1">MATCH(ROW(),sub!D:D,0)</f>
        <v>#N/A</v>
      </c>
      <c r="L254" t="b">
        <f t="shared" ca="1" si="34"/>
        <v>0</v>
      </c>
      <c r="M254" s="2">
        <f t="shared" ca="1" si="35"/>
        <v>0</v>
      </c>
    </row>
    <row r="255" spans="1:13" x14ac:dyDescent="0.3">
      <c r="A255">
        <f ca="1">OFFSET(srt_raw!$A$1,(ROW()-1)*4+COLUMN()-1,0)</f>
        <v>255</v>
      </c>
      <c r="B255" t="str">
        <f ca="1">OFFSET(srt_raw!$A$1,(ROW()-1)*4+COLUMN()-1,0)</f>
        <v>00:13:50,360 --&gt; 00:13:54,800</v>
      </c>
      <c r="C255" t="str">
        <f ca="1">OFFSET(srt_raw!$A$1,(ROW()-1)*4+COLUMN()-1,0)</f>
        <v>提示矩阵S等于KF满足10字偶校验约束，</v>
      </c>
      <c r="D255" t="str">
        <f t="shared" ca="1" si="27"/>
        <v>00:13:50,360</v>
      </c>
      <c r="E255" t="str">
        <f t="shared" ca="1" si="28"/>
        <v>00:13:54,800</v>
      </c>
      <c r="F255" s="5" t="str">
        <f t="shared" ca="1" si="29"/>
        <v>00:13:50.360</v>
      </c>
      <c r="G255" s="1" t="str">
        <f t="shared" ca="1" si="30"/>
        <v>00:13:54.800</v>
      </c>
      <c r="H255" s="2">
        <f t="shared" ca="1" si="31"/>
        <v>5.1388888888889012E-5</v>
      </c>
      <c r="I255">
        <f t="shared" ca="1" si="32"/>
        <v>20</v>
      </c>
      <c r="J255" s="2">
        <f t="shared" ca="1" si="33"/>
        <v>2.5694444444444507E-6</v>
      </c>
      <c r="K255">
        <f ca="1">MATCH(ROW(),sub!D:D,0)</f>
        <v>92</v>
      </c>
      <c r="L255" t="b">
        <f t="shared" ca="1" si="34"/>
        <v>1</v>
      </c>
      <c r="M255" s="2">
        <f t="shared" ca="1" si="35"/>
        <v>2.5694444444444507E-6</v>
      </c>
    </row>
    <row r="256" spans="1:13" x14ac:dyDescent="0.3">
      <c r="A256">
        <f ca="1">OFFSET(srt_raw!$A$1,(ROW()-1)*4+COLUMN()-1,0)</f>
        <v>256</v>
      </c>
      <c r="B256" t="str">
        <f ca="1">OFFSET(srt_raw!$A$1,(ROW()-1)*4+COLUMN()-1,0)</f>
        <v>00:13:54,800 --&gt; 00:13:58,480</v>
      </c>
      <c r="C256" t="str">
        <f ca="1">OFFSET(srt_raw!$A$1,(ROW()-1)*4+COLUMN()-1,0)</f>
        <v>也就是满足以上递推公式。</v>
      </c>
      <c r="D256" t="str">
        <f t="shared" ca="1" si="27"/>
        <v>00:13:54,800</v>
      </c>
      <c r="E256" t="str">
        <f t="shared" ca="1" si="28"/>
        <v>00:13:58,480</v>
      </c>
      <c r="F256" s="5" t="str">
        <f t="shared" ca="1" si="29"/>
        <v>00:13:54.800</v>
      </c>
      <c r="G256" s="1" t="str">
        <f t="shared" ca="1" si="30"/>
        <v>00:13:58.480</v>
      </c>
      <c r="H256" s="2">
        <f t="shared" ca="1" si="31"/>
        <v>4.2592592592592335E-5</v>
      </c>
      <c r="I256">
        <f t="shared" ca="1" si="32"/>
        <v>12</v>
      </c>
      <c r="J256" s="2">
        <f t="shared" ca="1" si="33"/>
        <v>3.5493827160493611E-6</v>
      </c>
      <c r="K256" t="e">
        <f ca="1">MATCH(ROW(),sub!D:D,0)</f>
        <v>#N/A</v>
      </c>
      <c r="L256" t="b">
        <f t="shared" ca="1" si="34"/>
        <v>0</v>
      </c>
      <c r="M256" s="2">
        <f t="shared" ca="1" si="35"/>
        <v>0</v>
      </c>
    </row>
    <row r="257" spans="1:13" x14ac:dyDescent="0.3">
      <c r="A257">
        <f ca="1">OFFSET(srt_raw!$A$1,(ROW()-1)*4+COLUMN()-1,0)</f>
        <v>257</v>
      </c>
      <c r="B257" t="str">
        <f ca="1">OFFSET(srt_raw!$A$1,(ROW()-1)*4+COLUMN()-1,0)</f>
        <v>00:13:58,480 --&gt; 00:14:02,960</v>
      </c>
      <c r="C257" t="str">
        <f ca="1">OFFSET(srt_raw!$A$1,(ROW()-1)*4+COLUMN()-1,0)</f>
        <v>这里说明一下矩阵F的每行对应多项式FNX。</v>
      </c>
      <c r="D257" t="str">
        <f t="shared" ref="D257:D320" ca="1" si="36">LEFT(B257,12)</f>
        <v>00:13:58,480</v>
      </c>
      <c r="E257" t="str">
        <f t="shared" ref="E257:E320" ca="1" si="37">RIGHT(B257,12)</f>
        <v>00:14:02,960</v>
      </c>
      <c r="F257" s="5" t="str">
        <f t="shared" ref="F257:F320" ca="1" si="38">SUBSTITUTE(D257,",",".")</f>
        <v>00:13:58.480</v>
      </c>
      <c r="G257" s="1" t="str">
        <f t="shared" ref="G257:G320" ca="1" si="39">SUBSTITUTE(E257,",",".")</f>
        <v>00:14:02.960</v>
      </c>
      <c r="H257" s="2">
        <f t="shared" ref="H257:H320" ca="1" si="40">G257-F257</f>
        <v>5.1851851851853273E-5</v>
      </c>
      <c r="I257">
        <f t="shared" ref="I257:I320" ca="1" si="41">LEN(C257)</f>
        <v>21</v>
      </c>
      <c r="J257" s="2">
        <f t="shared" ref="J257:J320" ca="1" si="42">H257/I257</f>
        <v>2.4691358024692036E-6</v>
      </c>
      <c r="K257">
        <f ca="1">MATCH(ROW(),sub!D:D,0)</f>
        <v>93</v>
      </c>
      <c r="L257" t="b">
        <f t="shared" ref="L257:L320" ca="1" si="43">ISERROR(K258)</f>
        <v>1</v>
      </c>
      <c r="M257" s="2">
        <f t="shared" ref="M257:M320" ca="1" si="44">IF(L257,J257,0)</f>
        <v>2.4691358024692036E-6</v>
      </c>
    </row>
    <row r="258" spans="1:13" x14ac:dyDescent="0.3">
      <c r="A258">
        <f ca="1">OFFSET(srt_raw!$A$1,(ROW()-1)*4+COLUMN()-1,0)</f>
        <v>258</v>
      </c>
      <c r="B258" t="str">
        <f ca="1">OFFSET(srt_raw!$A$1,(ROW()-1)*4+COLUMN()-1,0)</f>
        <v>00:14:03,080 --&gt; 00:14:08,560</v>
      </c>
      <c r="C258" t="str">
        <f ca="1">OFFSET(srt_raw!$A$1,(ROW()-1)*4+COLUMN()-1,0)</f>
        <v>也就是上集视频解的数量章节中提到的OEIS中的斐波那契多项式</v>
      </c>
      <c r="D258" t="str">
        <f t="shared" ca="1" si="36"/>
        <v>00:14:03,080</v>
      </c>
      <c r="E258" t="str">
        <f t="shared" ca="1" si="37"/>
        <v>00:14:08,560</v>
      </c>
      <c r="F258" s="5" t="str">
        <f t="shared" ca="1" si="38"/>
        <v>00:14:03.080</v>
      </c>
      <c r="G258" s="1" t="str">
        <f t="shared" ca="1" si="39"/>
        <v>00:14:08.560</v>
      </c>
      <c r="H258" s="2">
        <f t="shared" ca="1" si="40"/>
        <v>6.3425925925923374E-5</v>
      </c>
      <c r="I258">
        <f t="shared" ca="1" si="41"/>
        <v>30</v>
      </c>
      <c r="J258" s="2">
        <f t="shared" ca="1" si="42"/>
        <v>2.1141975308641123E-6</v>
      </c>
      <c r="K258" t="e">
        <f ca="1">MATCH(ROW(),sub!D:D,0)</f>
        <v>#N/A</v>
      </c>
      <c r="L258" t="b">
        <f t="shared" ca="1" si="43"/>
        <v>1</v>
      </c>
      <c r="M258" s="2">
        <f t="shared" ca="1" si="44"/>
        <v>2.1141975308641123E-6</v>
      </c>
    </row>
    <row r="259" spans="1:13" x14ac:dyDescent="0.3">
      <c r="A259">
        <f ca="1">OFFSET(srt_raw!$A$1,(ROW()-1)*4+COLUMN()-1,0)</f>
        <v>259</v>
      </c>
      <c r="B259" t="str">
        <f ca="1">OFFSET(srt_raw!$A$1,(ROW()-1)*4+COLUMN()-1,0)</f>
        <v>00:14:08,560 --&gt; 00:14:08,600</v>
      </c>
      <c r="C259" t="str">
        <f ca="1">OFFSET(srt_raw!$A$1,(ROW()-1)*4+COLUMN()-1,0)</f>
        <v>，</v>
      </c>
      <c r="D259" t="str">
        <f t="shared" ca="1" si="36"/>
        <v>00:14:08,560</v>
      </c>
      <c r="E259" t="str">
        <f t="shared" ca="1" si="37"/>
        <v>00:14:08,600</v>
      </c>
      <c r="F259" s="5" t="str">
        <f t="shared" ca="1" si="38"/>
        <v>00:14:08.560</v>
      </c>
      <c r="G259" s="1" t="str">
        <f t="shared" ca="1" si="39"/>
        <v>00:14:08.600</v>
      </c>
      <c r="H259" s="2">
        <f t="shared" ca="1" si="40"/>
        <v>4.629629629642612E-7</v>
      </c>
      <c r="I259">
        <f t="shared" ca="1" si="41"/>
        <v>1</v>
      </c>
      <c r="J259" s="2">
        <f t="shared" ca="1" si="42"/>
        <v>4.629629629642612E-7</v>
      </c>
      <c r="K259" t="e">
        <f ca="1">MATCH(ROW(),sub!D:D,0)</f>
        <v>#N/A</v>
      </c>
      <c r="L259" t="b">
        <f t="shared" ca="1" si="43"/>
        <v>0</v>
      </c>
      <c r="M259" s="2">
        <f t="shared" ca="1" si="44"/>
        <v>0</v>
      </c>
    </row>
    <row r="260" spans="1:13" x14ac:dyDescent="0.3">
      <c r="A260">
        <f ca="1">OFFSET(srt_raw!$A$1,(ROW()-1)*4+COLUMN()-1,0)</f>
        <v>260</v>
      </c>
      <c r="B260" t="str">
        <f ca="1">OFFSET(srt_raw!$A$1,(ROW()-1)*4+COLUMN()-1,0)</f>
        <v>00:14:10,080 --&gt; 00:14:16,240</v>
      </c>
      <c r="C260" t="str">
        <f ca="1">OFFSET(srt_raw!$A$1,(ROW()-1)*4+COLUMN()-1,0)</f>
        <v>此外刚才递推得到的矩阵C对应的多项式CNX等价于解的数量章节</v>
      </c>
      <c r="D260" t="str">
        <f t="shared" ca="1" si="36"/>
        <v>00:14:10,080</v>
      </c>
      <c r="E260" t="str">
        <f t="shared" ca="1" si="37"/>
        <v>00:14:16,240</v>
      </c>
      <c r="F260" s="5" t="str">
        <f t="shared" ca="1" si="38"/>
        <v>00:14:10.080</v>
      </c>
      <c r="G260" s="1" t="str">
        <f t="shared" ca="1" si="39"/>
        <v>00:14:16.240</v>
      </c>
      <c r="H260" s="2">
        <f t="shared" ca="1" si="40"/>
        <v>7.1296296296294998E-5</v>
      </c>
      <c r="I260">
        <f t="shared" ca="1" si="41"/>
        <v>30</v>
      </c>
      <c r="J260" s="2">
        <f t="shared" ca="1" si="42"/>
        <v>2.3765432098764999E-6</v>
      </c>
      <c r="K260">
        <f ca="1">MATCH(ROW(),sub!D:D,0)</f>
        <v>94</v>
      </c>
      <c r="L260" t="b">
        <f t="shared" ca="1" si="43"/>
        <v>1</v>
      </c>
      <c r="M260" s="2">
        <f t="shared" ca="1" si="44"/>
        <v>2.3765432098764999E-6</v>
      </c>
    </row>
    <row r="261" spans="1:13" x14ac:dyDescent="0.3">
      <c r="A261">
        <f ca="1">OFFSET(srt_raw!$A$1,(ROW()-1)*4+COLUMN()-1,0)</f>
        <v>261</v>
      </c>
      <c r="B261" t="str">
        <f ca="1">OFFSET(srt_raw!$A$1,(ROW()-1)*4+COLUMN()-1,0)</f>
        <v>00:14:16,240 --&gt; 00:14:18,720</v>
      </c>
      <c r="C261" t="str">
        <f ca="1">OFFSET(srt_raw!$A$1,(ROW()-1)*4+COLUMN()-1,0)</f>
        <v>中提到的FNX加1，</v>
      </c>
      <c r="D261" t="str">
        <f t="shared" ca="1" si="36"/>
        <v>00:14:16,240</v>
      </c>
      <c r="E261" t="str">
        <f t="shared" ca="1" si="37"/>
        <v>00:14:18,720</v>
      </c>
      <c r="F261" s="5" t="str">
        <f t="shared" ca="1" si="38"/>
        <v>00:14:16.240</v>
      </c>
      <c r="G261" s="1" t="str">
        <f t="shared" ca="1" si="39"/>
        <v>00:14:18.720</v>
      </c>
      <c r="H261" s="2">
        <f t="shared" ca="1" si="40"/>
        <v>2.8703703703704397E-5</v>
      </c>
      <c r="I261">
        <f t="shared" ca="1" si="41"/>
        <v>10</v>
      </c>
      <c r="J261" s="2">
        <f t="shared" ca="1" si="42"/>
        <v>2.8703703703704397E-6</v>
      </c>
      <c r="K261" t="e">
        <f ca="1">MATCH(ROW(),sub!D:D,0)</f>
        <v>#N/A</v>
      </c>
      <c r="L261" t="b">
        <f t="shared" ca="1" si="43"/>
        <v>0</v>
      </c>
      <c r="M261" s="2">
        <f t="shared" ca="1" si="44"/>
        <v>0</v>
      </c>
    </row>
    <row r="262" spans="1:13" x14ac:dyDescent="0.3">
      <c r="A262">
        <f ca="1">OFFSET(srt_raw!$A$1,(ROW()-1)*4+COLUMN()-1,0)</f>
        <v>262</v>
      </c>
      <c r="B262" t="str">
        <f ca="1">OFFSET(srt_raw!$A$1,(ROW()-1)*4+COLUMN()-1,0)</f>
        <v>00:14:18,720 --&gt; 00:14:21,800</v>
      </c>
      <c r="C262" t="str">
        <f ca="1">OFFSET(srt_raw!$A$1,(ROW()-1)*4+COLUMN()-1,0)</f>
        <v>这个证明也不难，</v>
      </c>
      <c r="D262" t="str">
        <f t="shared" ca="1" si="36"/>
        <v>00:14:18,720</v>
      </c>
      <c r="E262" t="str">
        <f t="shared" ca="1" si="37"/>
        <v>00:14:21,800</v>
      </c>
      <c r="F262" s="5" t="str">
        <f t="shared" ca="1" si="38"/>
        <v>00:14:18.720</v>
      </c>
      <c r="G262" s="1" t="str">
        <f t="shared" ca="1" si="39"/>
        <v>00:14:21.800</v>
      </c>
      <c r="H262" s="2">
        <f t="shared" ca="1" si="40"/>
        <v>3.5648148148147499E-5</v>
      </c>
      <c r="I262">
        <f t="shared" ca="1" si="41"/>
        <v>8</v>
      </c>
      <c r="J262" s="2">
        <f t="shared" ca="1" si="42"/>
        <v>4.4560185185184373E-6</v>
      </c>
      <c r="K262">
        <f ca="1">MATCH(ROW(),sub!D:D,0)</f>
        <v>95</v>
      </c>
      <c r="L262" t="b">
        <f t="shared" ca="1" si="43"/>
        <v>1</v>
      </c>
      <c r="M262" s="2">
        <f t="shared" ca="1" si="44"/>
        <v>4.4560185185184373E-6</v>
      </c>
    </row>
    <row r="263" spans="1:13" x14ac:dyDescent="0.3">
      <c r="A263">
        <f ca="1">OFFSET(srt_raw!$A$1,(ROW()-1)*4+COLUMN()-1,0)</f>
        <v>263</v>
      </c>
      <c r="B263" t="str">
        <f ca="1">OFFSET(srt_raw!$A$1,(ROW()-1)*4+COLUMN()-1,0)</f>
        <v>00:14:21,800 --&gt; 00:14:27,640</v>
      </c>
      <c r="C263" t="str">
        <f ca="1">OFFSET(srt_raw!$A$1,(ROW()-1)*4+COLUMN()-1,0)</f>
        <v>可以由F和C的关系求出F和C的递推公式或者由递推公式反推，</v>
      </c>
      <c r="D263" t="str">
        <f t="shared" ca="1" si="36"/>
        <v>00:14:21,800</v>
      </c>
      <c r="E263" t="str">
        <f t="shared" ca="1" si="37"/>
        <v>00:14:27,640</v>
      </c>
      <c r="F263" s="5" t="str">
        <f t="shared" ca="1" si="38"/>
        <v>00:14:21.800</v>
      </c>
      <c r="G263" s="1" t="str">
        <f t="shared" ca="1" si="39"/>
        <v>00:14:27.640</v>
      </c>
      <c r="H263" s="2">
        <f t="shared" ca="1" si="40"/>
        <v>6.7592592592593051E-5</v>
      </c>
      <c r="I263">
        <f t="shared" ca="1" si="41"/>
        <v>29</v>
      </c>
      <c r="J263" s="2">
        <f t="shared" ca="1" si="42"/>
        <v>2.3307790549170019E-6</v>
      </c>
      <c r="K263" t="e">
        <f ca="1">MATCH(ROW(),sub!D:D,0)</f>
        <v>#N/A</v>
      </c>
      <c r="L263" t="b">
        <f t="shared" ca="1" si="43"/>
        <v>0</v>
      </c>
      <c r="M263" s="2">
        <f t="shared" ca="1" si="44"/>
        <v>0</v>
      </c>
    </row>
    <row r="264" spans="1:13" x14ac:dyDescent="0.3">
      <c r="A264">
        <f ca="1">OFFSET(srt_raw!$A$1,(ROW()-1)*4+COLUMN()-1,0)</f>
        <v>264</v>
      </c>
      <c r="B264" t="str">
        <f ca="1">OFFSET(srt_raw!$A$1,(ROW()-1)*4+COLUMN()-1,0)</f>
        <v>00:14:29,120 --&gt; 00:14:32,240</v>
      </c>
      <c r="C264" t="str">
        <f ca="1">OFFSET(srt_raw!$A$1,(ROW()-1)*4+COLUMN()-1,0)</f>
        <v>同时BN矩阵也可以表示为以上形式。</v>
      </c>
      <c r="D264" t="str">
        <f t="shared" ca="1" si="36"/>
        <v>00:14:29,120</v>
      </c>
      <c r="E264" t="str">
        <f t="shared" ca="1" si="37"/>
        <v>00:14:32,240</v>
      </c>
      <c r="F264" s="5" t="str">
        <f t="shared" ca="1" si="38"/>
        <v>00:14:29.120</v>
      </c>
      <c r="G264" s="1" t="str">
        <f t="shared" ca="1" si="39"/>
        <v>00:14:32.240</v>
      </c>
      <c r="H264" s="2">
        <f t="shared" ca="1" si="40"/>
        <v>3.611111111111176E-5</v>
      </c>
      <c r="I264">
        <f t="shared" ca="1" si="41"/>
        <v>17</v>
      </c>
      <c r="J264" s="2">
        <f t="shared" ca="1" si="42"/>
        <v>2.1241830065359858E-6</v>
      </c>
      <c r="K264">
        <f ca="1">MATCH(ROW(),sub!D:D,0)</f>
        <v>96</v>
      </c>
      <c r="L264" t="b">
        <f t="shared" ca="1" si="43"/>
        <v>1</v>
      </c>
      <c r="M264" s="2">
        <f t="shared" ca="1" si="44"/>
        <v>2.1241830065359858E-6</v>
      </c>
    </row>
    <row r="265" spans="1:13" x14ac:dyDescent="0.3">
      <c r="A265">
        <f ca="1">OFFSET(srt_raw!$A$1,(ROW()-1)*4+COLUMN()-1,0)</f>
        <v>265</v>
      </c>
      <c r="B265" t="str">
        <f ca="1">OFFSET(srt_raw!$A$1,(ROW()-1)*4+COLUMN()-1,0)</f>
        <v>00:14:32,840 --&gt; 00:14:35,520</v>
      </c>
      <c r="C265" t="str">
        <f ca="1">OFFSET(srt_raw!$A$1,(ROW()-1)*4+COLUMN()-1,0)</f>
        <v>这里的H加I等价于X加1，</v>
      </c>
      <c r="D265" t="str">
        <f t="shared" ca="1" si="36"/>
        <v>00:14:32,840</v>
      </c>
      <c r="E265" t="str">
        <f t="shared" ca="1" si="37"/>
        <v>00:14:35,520</v>
      </c>
      <c r="F265" s="5" t="str">
        <f t="shared" ca="1" si="38"/>
        <v>00:14:32.840</v>
      </c>
      <c r="G265" s="1" t="str">
        <f t="shared" ca="1" si="39"/>
        <v>00:14:35.520</v>
      </c>
      <c r="H265" s="2">
        <f t="shared" ca="1" si="40"/>
        <v>3.101851851851703E-5</v>
      </c>
      <c r="I265">
        <f t="shared" ca="1" si="41"/>
        <v>13</v>
      </c>
      <c r="J265" s="2">
        <f t="shared" ca="1" si="42"/>
        <v>2.3860398860397713E-6</v>
      </c>
      <c r="K265" t="e">
        <f ca="1">MATCH(ROW(),sub!D:D,0)</f>
        <v>#N/A</v>
      </c>
      <c r="L265" t="b">
        <f t="shared" ca="1" si="43"/>
        <v>0</v>
      </c>
      <c r="M265" s="2">
        <f t="shared" ca="1" si="44"/>
        <v>0</v>
      </c>
    </row>
    <row r="266" spans="1:13" x14ac:dyDescent="0.3">
      <c r="A266">
        <f ca="1">OFFSET(srt_raw!$A$1,(ROW()-1)*4+COLUMN()-1,0)</f>
        <v>266</v>
      </c>
      <c r="B266" t="str">
        <f ca="1">OFFSET(srt_raw!$A$1,(ROW()-1)*4+COLUMN()-1,0)</f>
        <v>00:14:37,120 --&gt; 00:14:38,480</v>
      </c>
      <c r="C266" t="str">
        <f ca="1">OFFSET(srt_raw!$A$1,(ROW()-1)*4+COLUMN()-1,0)</f>
        <v>让我们继续求P，</v>
      </c>
      <c r="D266" t="str">
        <f t="shared" ca="1" si="36"/>
        <v>00:14:37,120</v>
      </c>
      <c r="E266" t="str">
        <f t="shared" ca="1" si="37"/>
        <v>00:14:38,480</v>
      </c>
      <c r="F266" s="5" t="str">
        <f t="shared" ca="1" si="38"/>
        <v>00:14:37.120</v>
      </c>
      <c r="G266" s="1" t="str">
        <f t="shared" ca="1" si="39"/>
        <v>00:14:38.480</v>
      </c>
      <c r="H266" s="2">
        <f t="shared" ca="1" si="40"/>
        <v>1.5740740740741513E-5</v>
      </c>
      <c r="I266">
        <f t="shared" ca="1" si="41"/>
        <v>8</v>
      </c>
      <c r="J266" s="2">
        <f t="shared" ca="1" si="42"/>
        <v>1.9675925925926891E-6</v>
      </c>
      <c r="K266">
        <f ca="1">MATCH(ROW(),sub!D:D,0)</f>
        <v>97</v>
      </c>
      <c r="L266" t="b">
        <f t="shared" ca="1" si="43"/>
        <v>1</v>
      </c>
      <c r="M266" s="2">
        <f t="shared" ca="1" si="44"/>
        <v>1.9675925925926891E-6</v>
      </c>
    </row>
    <row r="267" spans="1:13" x14ac:dyDescent="0.3">
      <c r="A267">
        <f ca="1">OFFSET(srt_raw!$A$1,(ROW()-1)*4+COLUMN()-1,0)</f>
        <v>267</v>
      </c>
      <c r="B267" t="str">
        <f ca="1">OFFSET(srt_raw!$A$1,(ROW()-1)*4+COLUMN()-1,0)</f>
        <v>00:14:38,960 --&gt; 00:14:40,640</v>
      </c>
      <c r="C267" t="str">
        <f ca="1">OFFSET(srt_raw!$A$1,(ROW()-1)*4+COLUMN()-1,0)</f>
        <v>由于F和K互逆，</v>
      </c>
      <c r="D267" t="str">
        <f t="shared" ca="1" si="36"/>
        <v>00:14:38,960</v>
      </c>
      <c r="E267" t="str">
        <f t="shared" ca="1" si="37"/>
        <v>00:14:40,640</v>
      </c>
      <c r="F267" s="5" t="str">
        <f t="shared" ca="1" si="38"/>
        <v>00:14:38.960</v>
      </c>
      <c r="G267" s="1" t="str">
        <f t="shared" ca="1" si="39"/>
        <v>00:14:40.640</v>
      </c>
      <c r="H267" s="2">
        <f t="shared" ca="1" si="40"/>
        <v>1.9444444444443459E-5</v>
      </c>
      <c r="I267">
        <f t="shared" ca="1" si="41"/>
        <v>8</v>
      </c>
      <c r="J267" s="2">
        <f t="shared" ca="1" si="42"/>
        <v>2.4305555555554324E-6</v>
      </c>
      <c r="K267" t="e">
        <f ca="1">MATCH(ROW(),sub!D:D,0)</f>
        <v>#N/A</v>
      </c>
      <c r="L267" t="b">
        <f t="shared" ca="1" si="43"/>
        <v>1</v>
      </c>
      <c r="M267" s="2">
        <f t="shared" ca="1" si="44"/>
        <v>2.4305555555554324E-6</v>
      </c>
    </row>
    <row r="268" spans="1:13" x14ac:dyDescent="0.3">
      <c r="A268">
        <f ca="1">OFFSET(srt_raw!$A$1,(ROW()-1)*4+COLUMN()-1,0)</f>
        <v>268</v>
      </c>
      <c r="B268" t="str">
        <f ca="1">OFFSET(srt_raw!$A$1,(ROW()-1)*4+COLUMN()-1,0)</f>
        <v>00:14:40,640 --&gt; 00:14:44,160</v>
      </c>
      <c r="C268" t="str">
        <f ca="1">OFFSET(srt_raw!$A$1,(ROW()-1)*4+COLUMN()-1,0)</f>
        <v>于是我们有FB等于FKP等于P，</v>
      </c>
      <c r="D268" t="str">
        <f t="shared" ca="1" si="36"/>
        <v>00:14:40,640</v>
      </c>
      <c r="E268" t="str">
        <f t="shared" ca="1" si="37"/>
        <v>00:14:44,160</v>
      </c>
      <c r="F268" s="5" t="str">
        <f t="shared" ca="1" si="38"/>
        <v>00:14:40.640</v>
      </c>
      <c r="G268" s="1" t="str">
        <f t="shared" ca="1" si="39"/>
        <v>00:14:44.160</v>
      </c>
      <c r="H268" s="2">
        <f t="shared" ca="1" si="40"/>
        <v>4.0740740740740494E-5</v>
      </c>
      <c r="I268">
        <f t="shared" ca="1" si="41"/>
        <v>16</v>
      </c>
      <c r="J268" s="2">
        <f t="shared" ca="1" si="42"/>
        <v>2.5462962962962809E-6</v>
      </c>
      <c r="K268" t="e">
        <f ca="1">MATCH(ROW(),sub!D:D,0)</f>
        <v>#N/A</v>
      </c>
      <c r="L268" t="b">
        <f t="shared" ca="1" si="43"/>
        <v>1</v>
      </c>
      <c r="M268" s="2">
        <f t="shared" ca="1" si="44"/>
        <v>2.5462962962962809E-6</v>
      </c>
    </row>
    <row r="269" spans="1:13" x14ac:dyDescent="0.3">
      <c r="A269">
        <f ca="1">OFFSET(srt_raw!$A$1,(ROW()-1)*4+COLUMN()-1,0)</f>
        <v>269</v>
      </c>
      <c r="B269" t="str">
        <f ca="1">OFFSET(srt_raw!$A$1,(ROW()-1)*4+COLUMN()-1,0)</f>
        <v>00:14:44,640 --&gt; 00:14:46,960</v>
      </c>
      <c r="C269" t="str">
        <f ca="1">OFFSET(srt_raw!$A$1,(ROW()-1)*4+COLUMN()-1,0)</f>
        <v>将向量B和矩阵F相乘，</v>
      </c>
      <c r="D269" t="str">
        <f t="shared" ca="1" si="36"/>
        <v>00:14:44,640</v>
      </c>
      <c r="E269" t="str">
        <f t="shared" ca="1" si="37"/>
        <v>00:14:46,960</v>
      </c>
      <c r="F269" s="5" t="str">
        <f t="shared" ca="1" si="38"/>
        <v>00:14:44.640</v>
      </c>
      <c r="G269" s="1" t="str">
        <f t="shared" ca="1" si="39"/>
        <v>00:14:46.960</v>
      </c>
      <c r="H269" s="2">
        <f t="shared" ca="1" si="40"/>
        <v>2.6851851851852557E-5</v>
      </c>
      <c r="I269">
        <f t="shared" ca="1" si="41"/>
        <v>11</v>
      </c>
      <c r="J269" s="2">
        <f t="shared" ca="1" si="42"/>
        <v>2.4410774410775052E-6</v>
      </c>
      <c r="K269" t="e">
        <f ca="1">MATCH(ROW(),sub!D:D,0)</f>
        <v>#N/A</v>
      </c>
      <c r="L269" t="b">
        <f t="shared" ca="1" si="43"/>
        <v>1</v>
      </c>
      <c r="M269" s="2">
        <f t="shared" ca="1" si="44"/>
        <v>2.4410774410775052E-6</v>
      </c>
    </row>
    <row r="270" spans="1:13" x14ac:dyDescent="0.3">
      <c r="A270">
        <f ca="1">OFFSET(srt_raw!$A$1,(ROW()-1)*4+COLUMN()-1,0)</f>
        <v>270</v>
      </c>
      <c r="B270" t="str">
        <f ca="1">OFFSET(srt_raw!$A$1,(ROW()-1)*4+COLUMN()-1,0)</f>
        <v>00:14:46,960 --&gt; 00:14:49,840</v>
      </c>
      <c r="C270" t="str">
        <f ca="1">OFFSET(srt_raw!$A$1,(ROW()-1)*4+COLUMN()-1,0)</f>
        <v>我们便求出了P，</v>
      </c>
      <c r="D270" t="str">
        <f t="shared" ca="1" si="36"/>
        <v>00:14:46,960</v>
      </c>
      <c r="E270" t="str">
        <f t="shared" ca="1" si="37"/>
        <v>00:14:49,840</v>
      </c>
      <c r="F270" s="5" t="str">
        <f t="shared" ca="1" si="38"/>
        <v>00:14:46.960</v>
      </c>
      <c r="G270" s="1" t="str">
        <f t="shared" ca="1" si="39"/>
        <v>00:14:49.840</v>
      </c>
      <c r="H270" s="2">
        <f t="shared" ca="1" si="40"/>
        <v>3.3333333333333132E-5</v>
      </c>
      <c r="I270">
        <f t="shared" ca="1" si="41"/>
        <v>8</v>
      </c>
      <c r="J270" s="2">
        <f t="shared" ca="1" si="42"/>
        <v>4.1666666666666415E-6</v>
      </c>
      <c r="K270" t="e">
        <f ca="1">MATCH(ROW(),sub!D:D,0)</f>
        <v>#N/A</v>
      </c>
      <c r="L270" t="b">
        <f t="shared" ca="1" si="43"/>
        <v>0</v>
      </c>
      <c r="M270" s="2">
        <f t="shared" ca="1" si="44"/>
        <v>0</v>
      </c>
    </row>
    <row r="271" spans="1:13" x14ac:dyDescent="0.3">
      <c r="A271">
        <f ca="1">OFFSET(srt_raw!$A$1,(ROW()-1)*4+COLUMN()-1,0)</f>
        <v>271</v>
      </c>
      <c r="B271" t="str">
        <f ca="1">OFFSET(srt_raw!$A$1,(ROW()-1)*4+COLUMN()-1,0)</f>
        <v>00:14:49,840 --&gt; 00:14:51,880</v>
      </c>
      <c r="C271" t="str">
        <f ca="1">OFFSET(srt_raw!$A$1,(ROW()-1)*4+COLUMN()-1,0)</f>
        <v>为了和视频中演示的一致，</v>
      </c>
      <c r="D271" t="str">
        <f t="shared" ca="1" si="36"/>
        <v>00:14:49,840</v>
      </c>
      <c r="E271" t="str">
        <f t="shared" ca="1" si="37"/>
        <v>00:14:51,880</v>
      </c>
      <c r="F271" s="5" t="str">
        <f t="shared" ca="1" si="38"/>
        <v>00:14:49.840</v>
      </c>
      <c r="G271" s="1" t="str">
        <f t="shared" ca="1" si="39"/>
        <v>00:14:51.880</v>
      </c>
      <c r="H271" s="2">
        <f t="shared" ca="1" si="40"/>
        <v>2.3611111111109667E-5</v>
      </c>
      <c r="I271">
        <f t="shared" ca="1" si="41"/>
        <v>12</v>
      </c>
      <c r="J271" s="2">
        <f t="shared" ca="1" si="42"/>
        <v>1.9675925925924723E-6</v>
      </c>
      <c r="K271">
        <f ca="1">MATCH(ROW(),sub!D:D,0)</f>
        <v>98</v>
      </c>
      <c r="L271" t="b">
        <f t="shared" ca="1" si="43"/>
        <v>1</v>
      </c>
      <c r="M271" s="2">
        <f t="shared" ca="1" si="44"/>
        <v>1.9675925925924723E-6</v>
      </c>
    </row>
    <row r="272" spans="1:13" x14ac:dyDescent="0.3">
      <c r="A272">
        <f ca="1">OFFSET(srt_raw!$A$1,(ROW()-1)*4+COLUMN()-1,0)</f>
        <v>272</v>
      </c>
      <c r="B272" t="str">
        <f ca="1">OFFSET(srt_raw!$A$1,(ROW()-1)*4+COLUMN()-1,0)</f>
        <v>00:14:51,880 --&gt; 00:14:53,560</v>
      </c>
      <c r="C272" t="str">
        <f ca="1">OFFSET(srt_raw!$A$1,(ROW()-1)*4+COLUMN()-1,0)</f>
        <v>由于B是竖着的，</v>
      </c>
      <c r="D272" t="str">
        <f t="shared" ca="1" si="36"/>
        <v>00:14:51,880</v>
      </c>
      <c r="E272" t="str">
        <f t="shared" ca="1" si="37"/>
        <v>00:14:53,560</v>
      </c>
      <c r="F272" s="5" t="str">
        <f t="shared" ca="1" si="38"/>
        <v>00:14:51.880</v>
      </c>
      <c r="G272" s="1" t="str">
        <f t="shared" ca="1" si="39"/>
        <v>00:14:53.560</v>
      </c>
      <c r="H272" s="2">
        <f t="shared" ca="1" si="40"/>
        <v>1.9444444444443459E-5</v>
      </c>
      <c r="I272">
        <f t="shared" ca="1" si="41"/>
        <v>8</v>
      </c>
      <c r="J272" s="2">
        <f t="shared" ca="1" si="42"/>
        <v>2.4305555555554324E-6</v>
      </c>
      <c r="K272" t="e">
        <f ca="1">MATCH(ROW(),sub!D:D,0)</f>
        <v>#N/A</v>
      </c>
      <c r="L272" t="b">
        <f t="shared" ca="1" si="43"/>
        <v>1</v>
      </c>
      <c r="M272" s="2">
        <f t="shared" ca="1" si="44"/>
        <v>2.4305555555554324E-6</v>
      </c>
    </row>
    <row r="273" spans="1:13" x14ac:dyDescent="0.3">
      <c r="A273">
        <f ca="1">OFFSET(srt_raw!$A$1,(ROW()-1)*4+COLUMN()-1,0)</f>
        <v>273</v>
      </c>
      <c r="B273" t="str">
        <f ca="1">OFFSET(srt_raw!$A$1,(ROW()-1)*4+COLUMN()-1,0)</f>
        <v>00:14:53,560 --&gt; 00:14:56,200</v>
      </c>
      <c r="C273" t="str">
        <f ca="1">OFFSET(srt_raw!$A$1,(ROW()-1)*4+COLUMN()-1,0)</f>
        <v>因此写为P等于FB，</v>
      </c>
      <c r="D273" t="str">
        <f t="shared" ca="1" si="36"/>
        <v>00:14:53,560</v>
      </c>
      <c r="E273" t="str">
        <f t="shared" ca="1" si="37"/>
        <v>00:14:56,200</v>
      </c>
      <c r="F273" s="5" t="str">
        <f t="shared" ca="1" si="38"/>
        <v>00:14:53.560</v>
      </c>
      <c r="G273" s="1" t="str">
        <f t="shared" ca="1" si="39"/>
        <v>00:14:56.200</v>
      </c>
      <c r="H273" s="2">
        <f t="shared" ca="1" si="40"/>
        <v>3.0555555555557973E-5</v>
      </c>
      <c r="I273">
        <f t="shared" ca="1" si="41"/>
        <v>10</v>
      </c>
      <c r="J273" s="2">
        <f t="shared" ca="1" si="42"/>
        <v>3.0555555555557974E-6</v>
      </c>
      <c r="K273" t="e">
        <f ca="1">MATCH(ROW(),sub!D:D,0)</f>
        <v>#N/A</v>
      </c>
      <c r="L273" t="b">
        <f t="shared" ca="1" si="43"/>
        <v>1</v>
      </c>
      <c r="M273" s="2">
        <f t="shared" ca="1" si="44"/>
        <v>3.0555555555557974E-6</v>
      </c>
    </row>
    <row r="274" spans="1:13" x14ac:dyDescent="0.3">
      <c r="A274">
        <f ca="1">OFFSET(srt_raw!$A$1,(ROW()-1)*4+COLUMN()-1,0)</f>
        <v>274</v>
      </c>
      <c r="B274" t="str">
        <f ca="1">OFFSET(srt_raw!$A$1,(ROW()-1)*4+COLUMN()-1,0)</f>
        <v>00:14:56,200 --&gt; 00:14:58,000</v>
      </c>
      <c r="C274" t="str">
        <f ca="1">OFFSET(srt_raw!$A$1,(ROW()-1)*4+COLUMN()-1,0)</f>
        <v>对于矩阵乘法运算来说，</v>
      </c>
      <c r="D274" t="str">
        <f t="shared" ca="1" si="36"/>
        <v>00:14:56,200</v>
      </c>
      <c r="E274" t="str">
        <f t="shared" ca="1" si="37"/>
        <v>00:14:58,000</v>
      </c>
      <c r="F274" s="5" t="str">
        <f t="shared" ca="1" si="38"/>
        <v>00:14:56.200</v>
      </c>
      <c r="G274" s="1" t="str">
        <f t="shared" ca="1" si="39"/>
        <v>00:14:58.000</v>
      </c>
      <c r="H274" s="2">
        <f t="shared" ca="1" si="40"/>
        <v>2.0833333333332774E-5</v>
      </c>
      <c r="I274">
        <f t="shared" ca="1" si="41"/>
        <v>11</v>
      </c>
      <c r="J274" s="2">
        <f t="shared" ca="1" si="42"/>
        <v>1.8939393939393431E-6</v>
      </c>
      <c r="K274" t="e">
        <f ca="1">MATCH(ROW(),sub!D:D,0)</f>
        <v>#N/A</v>
      </c>
      <c r="L274" t="b">
        <f t="shared" ca="1" si="43"/>
        <v>1</v>
      </c>
      <c r="M274" s="2">
        <f t="shared" ca="1" si="44"/>
        <v>1.8939393939393431E-6</v>
      </c>
    </row>
    <row r="275" spans="1:13" x14ac:dyDescent="0.3">
      <c r="A275">
        <f ca="1">OFFSET(srt_raw!$A$1,(ROW()-1)*4+COLUMN()-1,0)</f>
        <v>275</v>
      </c>
      <c r="B275" t="str">
        <f ca="1">OFFSET(srt_raw!$A$1,(ROW()-1)*4+COLUMN()-1,0)</f>
        <v>00:14:58,080 --&gt; 00:15:00,200</v>
      </c>
      <c r="C275" t="str">
        <f ca="1">OFFSET(srt_raw!$A$1,(ROW()-1)*4+COLUMN()-1,0)</f>
        <v>则有P等于B撇撇F，</v>
      </c>
      <c r="D275" t="str">
        <f t="shared" ca="1" si="36"/>
        <v>00:14:58,080</v>
      </c>
      <c r="E275" t="str">
        <f t="shared" ca="1" si="37"/>
        <v>00:15:00,200</v>
      </c>
      <c r="F275" s="5" t="str">
        <f t="shared" ca="1" si="38"/>
        <v>00:14:58.080</v>
      </c>
      <c r="G275" s="1" t="str">
        <f t="shared" ca="1" si="39"/>
        <v>00:15:00.200</v>
      </c>
      <c r="H275" s="2">
        <f t="shared" ca="1" si="40"/>
        <v>2.4537037037036455E-5</v>
      </c>
      <c r="I275">
        <f t="shared" ca="1" si="41"/>
        <v>10</v>
      </c>
      <c r="J275" s="2">
        <f t="shared" ca="1" si="42"/>
        <v>2.4537037037036454E-6</v>
      </c>
      <c r="K275" t="e">
        <f ca="1">MATCH(ROW(),sub!D:D,0)</f>
        <v>#N/A</v>
      </c>
      <c r="L275" t="b">
        <f t="shared" ca="1" si="43"/>
        <v>1</v>
      </c>
      <c r="M275" s="2">
        <f t="shared" ca="1" si="44"/>
        <v>2.4537037037036454E-6</v>
      </c>
    </row>
    <row r="276" spans="1:13" x14ac:dyDescent="0.3">
      <c r="A276">
        <f ca="1">OFFSET(srt_raw!$A$1,(ROW()-1)*4+COLUMN()-1,0)</f>
        <v>276</v>
      </c>
      <c r="B276" t="str">
        <f ca="1">OFFSET(srt_raw!$A$1,(ROW()-1)*4+COLUMN()-1,0)</f>
        <v>00:15:00,720 --&gt; 00:15:02,360</v>
      </c>
      <c r="C276" t="str">
        <f ca="1">OFFSET(srt_raw!$A$1,(ROW()-1)*4+COLUMN()-1,0)</f>
        <v>这里省去了转置符号。</v>
      </c>
      <c r="D276" t="str">
        <f t="shared" ca="1" si="36"/>
        <v>00:15:00,720</v>
      </c>
      <c r="E276" t="str">
        <f t="shared" ca="1" si="37"/>
        <v>00:15:02,360</v>
      </c>
      <c r="F276" s="5" t="str">
        <f t="shared" ca="1" si="38"/>
        <v>00:15:00.720</v>
      </c>
      <c r="G276" s="1" t="str">
        <f t="shared" ca="1" si="39"/>
        <v>00:15:02.360</v>
      </c>
      <c r="H276" s="2">
        <f t="shared" ca="1" si="40"/>
        <v>1.8981481481480933E-5</v>
      </c>
      <c r="I276">
        <f t="shared" ca="1" si="41"/>
        <v>10</v>
      </c>
      <c r="J276" s="2">
        <f t="shared" ca="1" si="42"/>
        <v>1.8981481481480934E-6</v>
      </c>
      <c r="K276" t="e">
        <f ca="1">MATCH(ROW(),sub!D:D,0)</f>
        <v>#N/A</v>
      </c>
      <c r="L276" t="b">
        <f t="shared" ca="1" si="43"/>
        <v>0</v>
      </c>
      <c r="M276" s="2">
        <f t="shared" ca="1" si="44"/>
        <v>0</v>
      </c>
    </row>
    <row r="277" spans="1:13" x14ac:dyDescent="0.3">
      <c r="A277">
        <f ca="1">OFFSET(srt_raw!$A$1,(ROW()-1)*4+COLUMN()-1,0)</f>
        <v>277</v>
      </c>
      <c r="B277" t="str">
        <f ca="1">OFFSET(srt_raw!$A$1,(ROW()-1)*4+COLUMN()-1,0)</f>
        <v>00:15:03,840 --&gt; 00:15:07,520</v>
      </c>
      <c r="C277" t="str">
        <f ca="1">OFFSET(srt_raw!$A$1,(ROW()-1)*4+COLUMN()-1,0)</f>
        <v>将多项式PX写成矩阵的形式记为P，</v>
      </c>
      <c r="D277" t="str">
        <f t="shared" ca="1" si="36"/>
        <v>00:15:03,840</v>
      </c>
      <c r="E277" t="str">
        <f t="shared" ca="1" si="37"/>
        <v>00:15:07,520</v>
      </c>
      <c r="F277" s="5" t="str">
        <f t="shared" ca="1" si="38"/>
        <v>00:15:03.840</v>
      </c>
      <c r="G277" s="1" t="str">
        <f t="shared" ca="1" si="39"/>
        <v>00:15:07.520</v>
      </c>
      <c r="H277" s="2">
        <f t="shared" ca="1" si="40"/>
        <v>4.2592592592592335E-5</v>
      </c>
      <c r="I277">
        <f t="shared" ca="1" si="41"/>
        <v>17</v>
      </c>
      <c r="J277" s="2">
        <f t="shared" ca="1" si="42"/>
        <v>2.5054466230936666E-6</v>
      </c>
      <c r="K277">
        <f ca="1">MATCH(ROW(),sub!D:D,0)</f>
        <v>99</v>
      </c>
      <c r="L277" t="b">
        <f t="shared" ca="1" si="43"/>
        <v>0</v>
      </c>
      <c r="M277" s="2">
        <f t="shared" ca="1" si="44"/>
        <v>0</v>
      </c>
    </row>
    <row r="278" spans="1:13" x14ac:dyDescent="0.3">
      <c r="A278">
        <f ca="1">OFFSET(srt_raw!$A$1,(ROW()-1)*4+COLUMN()-1,0)</f>
        <v>278</v>
      </c>
      <c r="B278" t="str">
        <f ca="1">OFFSET(srt_raw!$A$1,(ROW()-1)*4+COLUMN()-1,0)</f>
        <v>00:15:09,040 --&gt; 00:15:10,880</v>
      </c>
      <c r="C278" t="str">
        <f ca="1">OFFSET(srt_raw!$A$1,(ROW()-1)*4+COLUMN()-1,0)</f>
        <v>有了P等于FB之后，</v>
      </c>
      <c r="D278" t="str">
        <f t="shared" ca="1" si="36"/>
        <v>00:15:09,040</v>
      </c>
      <c r="E278" t="str">
        <f t="shared" ca="1" si="37"/>
        <v>00:15:10,880</v>
      </c>
      <c r="F278" s="5" t="str">
        <f t="shared" ca="1" si="38"/>
        <v>00:15:09.040</v>
      </c>
      <c r="G278" s="1" t="str">
        <f t="shared" ca="1" si="39"/>
        <v>00:15:10.880</v>
      </c>
      <c r="H278" s="2">
        <f t="shared" ca="1" si="40"/>
        <v>2.1296296296297035E-5</v>
      </c>
      <c r="I278">
        <f t="shared" ca="1" si="41"/>
        <v>10</v>
      </c>
      <c r="J278" s="2">
        <f t="shared" ca="1" si="42"/>
        <v>2.1296296296297035E-6</v>
      </c>
      <c r="K278">
        <f ca="1">MATCH(ROW(),sub!D:D,0)</f>
        <v>100</v>
      </c>
      <c r="L278" t="b">
        <f t="shared" ca="1" si="43"/>
        <v>1</v>
      </c>
      <c r="M278" s="2">
        <f t="shared" ca="1" si="44"/>
        <v>2.1296296296297035E-6</v>
      </c>
    </row>
    <row r="279" spans="1:13" x14ac:dyDescent="0.3">
      <c r="A279">
        <f ca="1">OFFSET(srt_raw!$A$1,(ROW()-1)*4+COLUMN()-1,0)</f>
        <v>279</v>
      </c>
      <c r="B279" t="str">
        <f ca="1">OFFSET(srt_raw!$A$1,(ROW()-1)*4+COLUMN()-1,0)</f>
        <v>00:15:10,880 --&gt; 00:15:13,920</v>
      </c>
      <c r="C279" t="str">
        <f ca="1">OFFSET(srt_raw!$A$1,(ROW()-1)*4+COLUMN()-1,0)</f>
        <v>后续的计算我们都不需要用到完整的B，</v>
      </c>
      <c r="D279" t="str">
        <f t="shared" ca="1" si="36"/>
        <v>00:15:10,880</v>
      </c>
      <c r="E279" t="str">
        <f t="shared" ca="1" si="37"/>
        <v>00:15:13,920</v>
      </c>
      <c r="F279" s="5" t="str">
        <f t="shared" ca="1" si="38"/>
        <v>00:15:10.880</v>
      </c>
      <c r="G279" s="1" t="str">
        <f t="shared" ca="1" si="39"/>
        <v>00:15:13.920</v>
      </c>
      <c r="H279" s="2">
        <f t="shared" ca="1" si="40"/>
        <v>3.5185185185184972E-5</v>
      </c>
      <c r="I279">
        <f t="shared" ca="1" si="41"/>
        <v>18</v>
      </c>
      <c r="J279" s="2">
        <f t="shared" ca="1" si="42"/>
        <v>1.954732510288054E-6</v>
      </c>
      <c r="K279" t="e">
        <f ca="1">MATCH(ROW(),sub!D:D,0)</f>
        <v>#N/A</v>
      </c>
      <c r="L279" t="b">
        <f t="shared" ca="1" si="43"/>
        <v>1</v>
      </c>
      <c r="M279" s="2">
        <f t="shared" ca="1" si="44"/>
        <v>1.954732510288054E-6</v>
      </c>
    </row>
    <row r="280" spans="1:13" x14ac:dyDescent="0.3">
      <c r="A280">
        <f ca="1">OFFSET(srt_raw!$A$1,(ROW()-1)*4+COLUMN()-1,0)</f>
        <v>280</v>
      </c>
      <c r="B280" t="str">
        <f ca="1">OFFSET(srt_raw!$A$1,(ROW()-1)*4+COLUMN()-1,0)</f>
        <v>00:15:14,160 --&gt; 00:15:16,920</v>
      </c>
      <c r="C280" t="str">
        <f ca="1">OFFSET(srt_raw!$A$1,(ROW()-1)*4+COLUMN()-1,0)</f>
        <v>而只需要B的第一行及向量B，</v>
      </c>
      <c r="D280" t="str">
        <f t="shared" ca="1" si="36"/>
        <v>00:15:14,160</v>
      </c>
      <c r="E280" t="str">
        <f t="shared" ca="1" si="37"/>
        <v>00:15:16,920</v>
      </c>
      <c r="F280" s="5" t="str">
        <f t="shared" ca="1" si="38"/>
        <v>00:15:14.160</v>
      </c>
      <c r="G280" s="1" t="str">
        <f t="shared" ca="1" si="39"/>
        <v>00:15:16.920</v>
      </c>
      <c r="H280" s="2">
        <f t="shared" ca="1" si="40"/>
        <v>3.1944444444443817E-5</v>
      </c>
      <c r="I280">
        <f t="shared" ca="1" si="41"/>
        <v>14</v>
      </c>
      <c r="J280" s="2">
        <f t="shared" ca="1" si="42"/>
        <v>2.2817460317459869E-6</v>
      </c>
      <c r="K280" t="e">
        <f ca="1">MATCH(ROW(),sub!D:D,0)</f>
        <v>#N/A</v>
      </c>
      <c r="L280" t="b">
        <f t="shared" ca="1" si="43"/>
        <v>0</v>
      </c>
      <c r="M280" s="2">
        <f t="shared" ca="1" si="44"/>
        <v>0</v>
      </c>
    </row>
    <row r="281" spans="1:13" x14ac:dyDescent="0.3">
      <c r="A281">
        <f ca="1">OFFSET(srt_raw!$A$1,(ROW()-1)*4+COLUMN()-1,0)</f>
        <v>281</v>
      </c>
      <c r="B281" t="str">
        <f ca="1">OFFSET(srt_raw!$A$1,(ROW()-1)*4+COLUMN()-1,0)</f>
        <v>00:15:18,400 --&gt; 00:15:23,760</v>
      </c>
      <c r="C281" t="str">
        <f ca="1">OFFSET(srt_raw!$A$1,(ROW()-1)*4+COLUMN()-1,0)</f>
        <v>这是因为问题已经从BX等于Y转化为了PHX等于Y，</v>
      </c>
      <c r="D281" t="str">
        <f t="shared" ca="1" si="36"/>
        <v>00:15:18,400</v>
      </c>
      <c r="E281" t="str">
        <f t="shared" ca="1" si="37"/>
        <v>00:15:23,760</v>
      </c>
      <c r="F281" s="5" t="str">
        <f t="shared" ca="1" si="38"/>
        <v>00:15:18.400</v>
      </c>
      <c r="G281" s="1" t="str">
        <f t="shared" ca="1" si="39"/>
        <v>00:15:23.760</v>
      </c>
      <c r="H281" s="2">
        <f t="shared" ca="1" si="40"/>
        <v>6.2037037037037529E-5</v>
      </c>
      <c r="I281">
        <f t="shared" ca="1" si="41"/>
        <v>25</v>
      </c>
      <c r="J281" s="2">
        <f t="shared" ca="1" si="42"/>
        <v>2.4814814814815013E-6</v>
      </c>
      <c r="K281">
        <f ca="1">MATCH(ROW(),sub!D:D,0)</f>
        <v>101</v>
      </c>
      <c r="L281" t="b">
        <f t="shared" ca="1" si="43"/>
        <v>1</v>
      </c>
      <c r="M281" s="2">
        <f t="shared" ca="1" si="44"/>
        <v>2.4814814814815013E-6</v>
      </c>
    </row>
    <row r="282" spans="1:13" x14ac:dyDescent="0.3">
      <c r="A282">
        <f ca="1">OFFSET(srt_raw!$A$1,(ROW()-1)*4+COLUMN()-1,0)</f>
        <v>282</v>
      </c>
      <c r="B282" t="str">
        <f ca="1">OFFSET(srt_raw!$A$1,(ROW()-1)*4+COLUMN()-1,0)</f>
        <v>00:15:24,400 --&gt; 00:15:28,720</v>
      </c>
      <c r="C282" t="str">
        <f ca="1">OFFSET(srt_raw!$A$1,(ROW()-1)*4+COLUMN()-1,0)</f>
        <v>因此在前面说到的生成矩阵也只需要计算向量B，</v>
      </c>
      <c r="D282" t="str">
        <f t="shared" ca="1" si="36"/>
        <v>00:15:24,400</v>
      </c>
      <c r="E282" t="str">
        <f t="shared" ca="1" si="37"/>
        <v>00:15:28,720</v>
      </c>
      <c r="F282" s="5" t="str">
        <f t="shared" ca="1" si="38"/>
        <v>00:15:24.400</v>
      </c>
      <c r="G282" s="1" t="str">
        <f t="shared" ca="1" si="39"/>
        <v>00:15:28.720</v>
      </c>
      <c r="H282" s="2">
        <f t="shared" ca="1" si="40"/>
        <v>4.9999999999999697E-5</v>
      </c>
      <c r="I282">
        <f t="shared" ca="1" si="41"/>
        <v>22</v>
      </c>
      <c r="J282" s="2">
        <f t="shared" ca="1" si="42"/>
        <v>2.2727272727272588E-6</v>
      </c>
      <c r="K282" t="e">
        <f ca="1">MATCH(ROW(),sub!D:D,0)</f>
        <v>#N/A</v>
      </c>
      <c r="L282" t="b">
        <f t="shared" ca="1" si="43"/>
        <v>1</v>
      </c>
      <c r="M282" s="2">
        <f t="shared" ca="1" si="44"/>
        <v>2.2727272727272588E-6</v>
      </c>
    </row>
    <row r="283" spans="1:13" x14ac:dyDescent="0.3">
      <c r="A283">
        <f ca="1">OFFSET(srt_raw!$A$1,(ROW()-1)*4+COLUMN()-1,0)</f>
        <v>283</v>
      </c>
      <c r="B283" t="str">
        <f ca="1">OFFSET(srt_raw!$A$1,(ROW()-1)*4+COLUMN()-1,0)</f>
        <v>00:15:28,800 --&gt; 00:15:30,200</v>
      </c>
      <c r="C283" t="str">
        <f ca="1">OFFSET(srt_raw!$A$1,(ROW()-1)*4+COLUMN()-1,0)</f>
        <v>也就是矩阵B撇。</v>
      </c>
      <c r="D283" t="str">
        <f t="shared" ca="1" si="36"/>
        <v>00:15:28,800</v>
      </c>
      <c r="E283" t="str">
        <f t="shared" ca="1" si="37"/>
        <v>00:15:30,200</v>
      </c>
      <c r="F283" s="5" t="str">
        <f t="shared" ca="1" si="38"/>
        <v>00:15:28.800</v>
      </c>
      <c r="G283" s="1" t="str">
        <f t="shared" ca="1" si="39"/>
        <v>00:15:30.200</v>
      </c>
      <c r="H283" s="2">
        <f t="shared" ca="1" si="40"/>
        <v>1.6203703703705774E-5</v>
      </c>
      <c r="I283">
        <f t="shared" ca="1" si="41"/>
        <v>8</v>
      </c>
      <c r="J283" s="2">
        <f t="shared" ca="1" si="42"/>
        <v>2.0254629629632218E-6</v>
      </c>
      <c r="K283" t="e">
        <f ca="1">MATCH(ROW(),sub!D:D,0)</f>
        <v>#N/A</v>
      </c>
      <c r="L283" t="b">
        <f t="shared" ca="1" si="43"/>
        <v>0</v>
      </c>
      <c r="M283" s="2">
        <f t="shared" ca="1" si="44"/>
        <v>0</v>
      </c>
    </row>
    <row r="284" spans="1:13" x14ac:dyDescent="0.3">
      <c r="A284">
        <f ca="1">OFFSET(srt_raw!$A$1,(ROW()-1)*4+COLUMN()-1,0)</f>
        <v>284</v>
      </c>
      <c r="B284" t="str">
        <f ca="1">OFFSET(srt_raw!$A$1,(ROW()-1)*4+COLUMN()-1,0)</f>
        <v>00:15:31,920 --&gt; 00:15:35,440</v>
      </c>
      <c r="C284" t="str">
        <f ca="1">OFFSET(srt_raw!$A$1,(ROW()-1)*4+COLUMN()-1,0)</f>
        <v>由于在不同N的情况下计算B的公式是一样的，</v>
      </c>
      <c r="D284" t="str">
        <f t="shared" ca="1" si="36"/>
        <v>00:15:31,920</v>
      </c>
      <c r="E284" t="str">
        <f t="shared" ca="1" si="37"/>
        <v>00:15:35,440</v>
      </c>
      <c r="F284" s="5" t="str">
        <f t="shared" ca="1" si="38"/>
        <v>00:15:31.920</v>
      </c>
      <c r="G284" s="1" t="str">
        <f t="shared" ca="1" si="39"/>
        <v>00:15:35.440</v>
      </c>
      <c r="H284" s="2">
        <f t="shared" ca="1" si="40"/>
        <v>4.0740740740742229E-5</v>
      </c>
      <c r="I284">
        <f t="shared" ca="1" si="41"/>
        <v>21</v>
      </c>
      <c r="J284" s="2">
        <f t="shared" ca="1" si="42"/>
        <v>1.9400352733686774E-6</v>
      </c>
      <c r="K284">
        <f ca="1">MATCH(ROW(),sub!D:D,0)</f>
        <v>102</v>
      </c>
      <c r="L284" t="b">
        <f t="shared" ca="1" si="43"/>
        <v>1</v>
      </c>
      <c r="M284" s="2">
        <f t="shared" ca="1" si="44"/>
        <v>1.9400352733686774E-6</v>
      </c>
    </row>
    <row r="285" spans="1:13" x14ac:dyDescent="0.3">
      <c r="A285">
        <f ca="1">OFFSET(srt_raw!$A$1,(ROW()-1)*4+COLUMN()-1,0)</f>
        <v>285</v>
      </c>
      <c r="B285" t="str">
        <f ca="1">OFFSET(srt_raw!$A$1,(ROW()-1)*4+COLUMN()-1,0)</f>
        <v>00:15:35,440 --&gt; 00:15:39,880</v>
      </c>
      <c r="C285" t="str">
        <f ca="1">OFFSET(srt_raw!$A$1,(ROW()-1)*4+COLUMN()-1,0)</f>
        <v>我们可以把N减一情况下算出的B直接用于计算N的情况，</v>
      </c>
      <c r="D285" t="str">
        <f t="shared" ca="1" si="36"/>
        <v>00:15:35,440</v>
      </c>
      <c r="E285" t="str">
        <f t="shared" ca="1" si="37"/>
        <v>00:15:39,880</v>
      </c>
      <c r="F285" s="5" t="str">
        <f t="shared" ca="1" si="38"/>
        <v>00:15:35.440</v>
      </c>
      <c r="G285" s="1" t="str">
        <f t="shared" ca="1" si="39"/>
        <v>00:15:39.880</v>
      </c>
      <c r="H285" s="2">
        <f t="shared" ca="1" si="40"/>
        <v>5.1388888888887277E-5</v>
      </c>
      <c r="I285">
        <f t="shared" ca="1" si="41"/>
        <v>26</v>
      </c>
      <c r="J285" s="2">
        <f t="shared" ca="1" si="42"/>
        <v>1.9764957264956646E-6</v>
      </c>
      <c r="K285" t="e">
        <f ca="1">MATCH(ROW(),sub!D:D,0)</f>
        <v>#N/A</v>
      </c>
      <c r="L285" t="b">
        <f t="shared" ca="1" si="43"/>
        <v>0</v>
      </c>
      <c r="M285" s="2">
        <f t="shared" ca="1" si="44"/>
        <v>0</v>
      </c>
    </row>
    <row r="286" spans="1:13" x14ac:dyDescent="0.3">
      <c r="A286">
        <f ca="1">OFFSET(srt_raw!$A$1,(ROW()-1)*4+COLUMN()-1,0)</f>
        <v>286</v>
      </c>
      <c r="B286" t="str">
        <f ca="1">OFFSET(srt_raw!$A$1,(ROW()-1)*4+COLUMN()-1,0)</f>
        <v>00:15:41,360 --&gt; 00:15:44,400</v>
      </c>
      <c r="C286" t="str">
        <f ca="1">OFFSET(srt_raw!$A$1,(ROW()-1)*4+COLUMN()-1,0)</f>
        <v>这样如果我们是从N等于0开始计算的，</v>
      </c>
      <c r="D286" t="str">
        <f t="shared" ca="1" si="36"/>
        <v>00:15:41,360</v>
      </c>
      <c r="E286" t="str">
        <f t="shared" ca="1" si="37"/>
        <v>00:15:44,400</v>
      </c>
      <c r="F286" s="5" t="str">
        <f t="shared" ca="1" si="38"/>
        <v>00:15:41.360</v>
      </c>
      <c r="G286" s="1" t="str">
        <f t="shared" ca="1" si="39"/>
        <v>00:15:44.400</v>
      </c>
      <c r="H286" s="2">
        <f t="shared" ca="1" si="40"/>
        <v>3.5185185185183238E-5</v>
      </c>
      <c r="I286">
        <f t="shared" ca="1" si="41"/>
        <v>18</v>
      </c>
      <c r="J286" s="2">
        <f t="shared" ca="1" si="42"/>
        <v>1.9547325102879578E-6</v>
      </c>
      <c r="K286">
        <f ca="1">MATCH(ROW(),sub!D:D,0)</f>
        <v>103</v>
      </c>
      <c r="L286" t="b">
        <f t="shared" ca="1" si="43"/>
        <v>0</v>
      </c>
      <c r="M286" s="2">
        <f t="shared" ca="1" si="44"/>
        <v>0</v>
      </c>
    </row>
    <row r="287" spans="1:13" x14ac:dyDescent="0.3">
      <c r="A287">
        <f ca="1">OFFSET(srt_raw!$A$1,(ROW()-1)*4+COLUMN()-1,0)</f>
        <v>287</v>
      </c>
      <c r="B287" t="str">
        <f ca="1">OFFSET(srt_raw!$A$1,(ROW()-1)*4+COLUMN()-1,0)</f>
        <v>00:15:44,560 --&gt; 00:15:49,960</v>
      </c>
      <c r="C287" t="str">
        <f ca="1">OFFSET(srt_raw!$A$1,(ROW()-1)*4+COLUMN()-1,0)</f>
        <v>我们只需要open的时间复杂度便可求出B同样。</v>
      </c>
      <c r="D287" t="str">
        <f t="shared" ca="1" si="36"/>
        <v>00:15:44,560</v>
      </c>
      <c r="E287" t="str">
        <f t="shared" ca="1" si="37"/>
        <v>00:15:49,960</v>
      </c>
      <c r="F287" s="5" t="str">
        <f t="shared" ca="1" si="38"/>
        <v>00:15:44.560</v>
      </c>
      <c r="G287" s="1" t="str">
        <f t="shared" ca="1" si="39"/>
        <v>00:15:49.960</v>
      </c>
      <c r="H287" s="2">
        <f t="shared" ca="1" si="40"/>
        <v>6.250000000000179E-5</v>
      </c>
      <c r="I287">
        <f t="shared" ca="1" si="41"/>
        <v>23</v>
      </c>
      <c r="J287" s="2">
        <f t="shared" ca="1" si="42"/>
        <v>2.7173913043479038E-6</v>
      </c>
      <c r="K287">
        <f ca="1">MATCH(ROW(),sub!D:D,0)</f>
        <v>104</v>
      </c>
      <c r="L287" t="b">
        <f t="shared" ca="1" si="43"/>
        <v>1</v>
      </c>
      <c r="M287" s="2">
        <f t="shared" ca="1" si="44"/>
        <v>2.7173913043479038E-6</v>
      </c>
    </row>
    <row r="288" spans="1:13" x14ac:dyDescent="0.3">
      <c r="A288">
        <f ca="1">OFFSET(srt_raw!$A$1,(ROW()-1)*4+COLUMN()-1,0)</f>
        <v>288</v>
      </c>
      <c r="B288" t="str">
        <f ca="1">OFFSET(srt_raw!$A$1,(ROW()-1)*4+COLUMN()-1,0)</f>
        <v>00:15:50,240 --&gt; 00:15:52,800</v>
      </c>
      <c r="C288" t="str">
        <f ca="1">OFFSET(srt_raw!$A$1,(ROW()-1)*4+COLUMN()-1,0)</f>
        <v>计算K和F也是如此，</v>
      </c>
      <c r="D288" t="str">
        <f t="shared" ca="1" si="36"/>
        <v>00:15:50,240</v>
      </c>
      <c r="E288" t="str">
        <f t="shared" ca="1" si="37"/>
        <v>00:15:52,800</v>
      </c>
      <c r="F288" s="5" t="str">
        <f t="shared" ca="1" si="38"/>
        <v>00:15:50.240</v>
      </c>
      <c r="G288" s="1" t="str">
        <f t="shared" ca="1" si="39"/>
        <v>00:15:52.800</v>
      </c>
      <c r="H288" s="2">
        <f t="shared" ca="1" si="40"/>
        <v>2.962962962962945E-5</v>
      </c>
      <c r="I288">
        <f t="shared" ca="1" si="41"/>
        <v>10</v>
      </c>
      <c r="J288" s="2">
        <f t="shared" ca="1" si="42"/>
        <v>2.9629629629629451E-6</v>
      </c>
      <c r="K288" t="e">
        <f ca="1">MATCH(ROW(),sub!D:D,0)</f>
        <v>#N/A</v>
      </c>
      <c r="L288" t="b">
        <f t="shared" ca="1" si="43"/>
        <v>1</v>
      </c>
      <c r="M288" s="2">
        <f t="shared" ca="1" si="44"/>
        <v>2.9629629629629451E-6</v>
      </c>
    </row>
    <row r="289" spans="1:13" x14ac:dyDescent="0.3">
      <c r="A289">
        <f ca="1">OFFSET(srt_raw!$A$1,(ROW()-1)*4+COLUMN()-1,0)</f>
        <v>289</v>
      </c>
      <c r="B289" t="str">
        <f ca="1">OFFSET(srt_raw!$A$1,(ROW()-1)*4+COLUMN()-1,0)</f>
        <v>00:15:52,800 --&gt; 00:15:54,560</v>
      </c>
      <c r="C289" t="str">
        <f ca="1">OFFSET(srt_raw!$A$1,(ROW()-1)*4+COLUMN()-1,0)</f>
        <v>因为每行之间有递推公式，</v>
      </c>
      <c r="D289" t="str">
        <f t="shared" ca="1" si="36"/>
        <v>00:15:52,800</v>
      </c>
      <c r="E289" t="str">
        <f t="shared" ca="1" si="37"/>
        <v>00:15:54,560</v>
      </c>
      <c r="F289" s="5" t="str">
        <f t="shared" ca="1" si="38"/>
        <v>00:15:52.800</v>
      </c>
      <c r="G289" s="1" t="str">
        <f t="shared" ca="1" si="39"/>
        <v>00:15:54.560</v>
      </c>
      <c r="H289" s="2">
        <f t="shared" ca="1" si="40"/>
        <v>2.0370370370370247E-5</v>
      </c>
      <c r="I289">
        <f t="shared" ca="1" si="41"/>
        <v>12</v>
      </c>
      <c r="J289" s="2">
        <f t="shared" ca="1" si="42"/>
        <v>1.6975308641975207E-6</v>
      </c>
      <c r="K289" t="e">
        <f ca="1">MATCH(ROW(),sub!D:D,0)</f>
        <v>#N/A</v>
      </c>
      <c r="L289" t="b">
        <f t="shared" ca="1" si="43"/>
        <v>1</v>
      </c>
      <c r="M289" s="2">
        <f t="shared" ca="1" si="44"/>
        <v>1.6975308641975207E-6</v>
      </c>
    </row>
    <row r="290" spans="1:13" x14ac:dyDescent="0.3">
      <c r="A290">
        <f ca="1">OFFSET(srt_raw!$A$1,(ROW()-1)*4+COLUMN()-1,0)</f>
        <v>290</v>
      </c>
      <c r="B290" t="str">
        <f ca="1">OFFSET(srt_raw!$A$1,(ROW()-1)*4+COLUMN()-1,0)</f>
        <v>00:15:54,720 --&gt; 00:15:56,880</v>
      </c>
      <c r="C290" t="str">
        <f ca="1">OFFSET(srt_raw!$A$1,(ROW()-1)*4+COLUMN()-1,0)</f>
        <v>如果从N等于0开始计算，</v>
      </c>
      <c r="D290" t="str">
        <f t="shared" ca="1" si="36"/>
        <v>00:15:54,720</v>
      </c>
      <c r="E290" t="str">
        <f t="shared" ca="1" si="37"/>
        <v>00:15:56,880</v>
      </c>
      <c r="F290" s="5" t="str">
        <f t="shared" ca="1" si="38"/>
        <v>00:15:54.720</v>
      </c>
      <c r="G290" s="1" t="str">
        <f t="shared" ca="1" si="39"/>
        <v>00:15:56.880</v>
      </c>
      <c r="H290" s="2">
        <f t="shared" ca="1" si="40"/>
        <v>2.4999999999998981E-5</v>
      </c>
      <c r="I290">
        <f t="shared" ca="1" si="41"/>
        <v>12</v>
      </c>
      <c r="J290" s="2">
        <f t="shared" ca="1" si="42"/>
        <v>2.0833333333332483E-6</v>
      </c>
      <c r="K290" t="e">
        <f ca="1">MATCH(ROW(),sub!D:D,0)</f>
        <v>#N/A</v>
      </c>
      <c r="L290" t="b">
        <f t="shared" ca="1" si="43"/>
        <v>1</v>
      </c>
      <c r="M290" s="2">
        <f t="shared" ca="1" si="44"/>
        <v>2.0833333333332483E-6</v>
      </c>
    </row>
    <row r="291" spans="1:13" x14ac:dyDescent="0.3">
      <c r="A291">
        <f ca="1">OFFSET(srt_raw!$A$1,(ROW()-1)*4+COLUMN()-1,0)</f>
        <v>291</v>
      </c>
      <c r="B291" t="str">
        <f ca="1">OFFSET(srt_raw!$A$1,(ROW()-1)*4+COLUMN()-1,0)</f>
        <v>00:15:56,880 --&gt; 00:16:00,880</v>
      </c>
      <c r="C291" t="str">
        <f ca="1">OFFSET(srt_raw!$A$1,(ROW()-1)*4+COLUMN()-1,0)</f>
        <v>也可以在ON时间内求出。</v>
      </c>
      <c r="D291" t="str">
        <f t="shared" ca="1" si="36"/>
        <v>00:15:56,880</v>
      </c>
      <c r="E291" t="str">
        <f t="shared" ca="1" si="37"/>
        <v>00:16:00,880</v>
      </c>
      <c r="F291" s="5" t="str">
        <f t="shared" ca="1" si="38"/>
        <v>00:15:56.880</v>
      </c>
      <c r="G291" s="1" t="str">
        <f t="shared" ca="1" si="39"/>
        <v>00:16:00.880</v>
      </c>
      <c r="H291" s="2">
        <f t="shared" ca="1" si="40"/>
        <v>4.6296296296296016E-5</v>
      </c>
      <c r="I291">
        <f t="shared" ca="1" si="41"/>
        <v>12</v>
      </c>
      <c r="J291" s="2">
        <f t="shared" ca="1" si="42"/>
        <v>3.8580246913580011E-6</v>
      </c>
      <c r="K291" t="e">
        <f ca="1">MATCH(ROW(),sub!D:D,0)</f>
        <v>#N/A</v>
      </c>
      <c r="L291" t="b">
        <f t="shared" ca="1" si="43"/>
        <v>0</v>
      </c>
      <c r="M291" s="2">
        <f t="shared" ca="1" si="44"/>
        <v>0</v>
      </c>
    </row>
    <row r="292" spans="1:13" x14ac:dyDescent="0.3">
      <c r="A292">
        <f ca="1">OFFSET(srt_raw!$A$1,(ROW()-1)*4+COLUMN()-1,0)</f>
        <v>292</v>
      </c>
      <c r="B292" t="str">
        <f ca="1">OFFSET(srt_raw!$A$1,(ROW()-1)*4+COLUMN()-1,0)</f>
        <v>00:16:00,880 --&gt; 00:16:02,800</v>
      </c>
      <c r="C292" t="str">
        <f ca="1">OFFSET(srt_raw!$A$1,(ROW()-1)*4+COLUMN()-1,0)</f>
        <v>如果需要直接计算特定N，</v>
      </c>
      <c r="D292" t="str">
        <f t="shared" ca="1" si="36"/>
        <v>00:16:00,880</v>
      </c>
      <c r="E292" t="str">
        <f t="shared" ca="1" si="37"/>
        <v>00:16:02,800</v>
      </c>
      <c r="F292" s="5" t="str">
        <f t="shared" ca="1" si="38"/>
        <v>00:16:00.880</v>
      </c>
      <c r="G292" s="1" t="str">
        <f t="shared" ca="1" si="39"/>
        <v>00:16:02.800</v>
      </c>
      <c r="H292" s="2">
        <f t="shared" ca="1" si="40"/>
        <v>2.2222222222222088E-5</v>
      </c>
      <c r="I292">
        <f t="shared" ca="1" si="41"/>
        <v>12</v>
      </c>
      <c r="J292" s="2">
        <f t="shared" ca="1" si="42"/>
        <v>1.8518518518518406E-6</v>
      </c>
      <c r="K292">
        <f ca="1">MATCH(ROW(),sub!D:D,0)</f>
        <v>105</v>
      </c>
      <c r="L292" t="b">
        <f t="shared" ca="1" si="43"/>
        <v>1</v>
      </c>
      <c r="M292" s="2">
        <f t="shared" ca="1" si="44"/>
        <v>1.8518518518518406E-6</v>
      </c>
    </row>
    <row r="293" spans="1:13" x14ac:dyDescent="0.3">
      <c r="A293">
        <f ca="1">OFFSET(srt_raw!$A$1,(ROW()-1)*4+COLUMN()-1,0)</f>
        <v>293</v>
      </c>
      <c r="B293" t="str">
        <f ca="1">OFFSET(srt_raw!$A$1,(ROW()-1)*4+COLUMN()-1,0)</f>
        <v>00:16:02,800 --&gt; 00:16:05,920</v>
      </c>
      <c r="C293" t="str">
        <f ca="1">OFFSET(srt_raw!$A$1,(ROW()-1)*4+COLUMN()-1,0)</f>
        <v>可以用其他方法优化到ON乘logN，</v>
      </c>
      <c r="D293" t="str">
        <f t="shared" ca="1" si="36"/>
        <v>00:16:02,800</v>
      </c>
      <c r="E293" t="str">
        <f t="shared" ca="1" si="37"/>
        <v>00:16:05,920</v>
      </c>
      <c r="F293" s="5" t="str">
        <f t="shared" ca="1" si="38"/>
        <v>00:16:02.800</v>
      </c>
      <c r="G293" s="1" t="str">
        <f t="shared" ca="1" si="39"/>
        <v>00:16:05.920</v>
      </c>
      <c r="H293" s="2">
        <f t="shared" ca="1" si="40"/>
        <v>3.611111111111176E-5</v>
      </c>
      <c r="I293">
        <f t="shared" ca="1" si="41"/>
        <v>18</v>
      </c>
      <c r="J293" s="2">
        <f t="shared" ca="1" si="42"/>
        <v>2.0061728395062087E-6</v>
      </c>
      <c r="K293" t="e">
        <f ca="1">MATCH(ROW(),sub!D:D,0)</f>
        <v>#N/A</v>
      </c>
      <c r="L293" t="b">
        <f t="shared" ca="1" si="43"/>
        <v>1</v>
      </c>
      <c r="M293" s="2">
        <f t="shared" ca="1" si="44"/>
        <v>2.0061728395062087E-6</v>
      </c>
    </row>
    <row r="294" spans="1:13" x14ac:dyDescent="0.3">
      <c r="A294">
        <f ca="1">OFFSET(srt_raw!$A$1,(ROW()-1)*4+COLUMN()-1,0)</f>
        <v>294</v>
      </c>
      <c r="B294" t="str">
        <f ca="1">OFFSET(srt_raw!$A$1,(ROW()-1)*4+COLUMN()-1,0)</f>
        <v>00:16:06,480 --&gt; 00:16:08,720</v>
      </c>
      <c r="C294" t="str">
        <f ca="1">OFFSET(srt_raw!$A$1,(ROW()-1)*4+COLUMN()-1,0)</f>
        <v>因为这里的算法不涉及这个优化，</v>
      </c>
      <c r="D294" t="str">
        <f t="shared" ca="1" si="36"/>
        <v>00:16:06,480</v>
      </c>
      <c r="E294" t="str">
        <f t="shared" ca="1" si="37"/>
        <v>00:16:08,720</v>
      </c>
      <c r="F294" s="5" t="str">
        <f t="shared" ca="1" si="38"/>
        <v>00:16:06.480</v>
      </c>
      <c r="G294" s="1" t="str">
        <f t="shared" ca="1" si="39"/>
        <v>00:16:08.720</v>
      </c>
      <c r="H294" s="2">
        <f t="shared" ca="1" si="40"/>
        <v>2.5925925925925769E-5</v>
      </c>
      <c r="I294">
        <f t="shared" ca="1" si="41"/>
        <v>15</v>
      </c>
      <c r="J294" s="2">
        <f t="shared" ca="1" si="42"/>
        <v>1.7283950617283846E-6</v>
      </c>
      <c r="K294" t="e">
        <f ca="1">MATCH(ROW(),sub!D:D,0)</f>
        <v>#N/A</v>
      </c>
      <c r="L294" t="b">
        <f t="shared" ca="1" si="43"/>
        <v>1</v>
      </c>
      <c r="M294" s="2">
        <f t="shared" ca="1" si="44"/>
        <v>1.7283950617283846E-6</v>
      </c>
    </row>
    <row r="295" spans="1:13" x14ac:dyDescent="0.3">
      <c r="A295">
        <f ca="1">OFFSET(srt_raw!$A$1,(ROW()-1)*4+COLUMN()-1,0)</f>
        <v>295</v>
      </c>
      <c r="B295" t="str">
        <f ca="1">OFFSET(srt_raw!$A$1,(ROW()-1)*4+COLUMN()-1,0)</f>
        <v>00:16:08,800 --&gt; 00:16:11,920</v>
      </c>
      <c r="C295" t="str">
        <f ca="1">OFFSET(srt_raw!$A$1,(ROW()-1)*4+COLUMN()-1,0)</f>
        <v>因此就不展开了。</v>
      </c>
      <c r="D295" t="str">
        <f t="shared" ca="1" si="36"/>
        <v>00:16:08,800</v>
      </c>
      <c r="E295" t="str">
        <f t="shared" ca="1" si="37"/>
        <v>00:16:11,920</v>
      </c>
      <c r="F295" s="5" t="str">
        <f t="shared" ca="1" si="38"/>
        <v>00:16:08.800</v>
      </c>
      <c r="G295" s="1" t="str">
        <f t="shared" ca="1" si="39"/>
        <v>00:16:11.920</v>
      </c>
      <c r="H295" s="2">
        <f t="shared" ca="1" si="40"/>
        <v>3.6111111111110025E-5</v>
      </c>
      <c r="I295">
        <f t="shared" ca="1" si="41"/>
        <v>8</v>
      </c>
      <c r="J295" s="2">
        <f t="shared" ca="1" si="42"/>
        <v>4.5138888888887532E-6</v>
      </c>
      <c r="K295" t="e">
        <f ca="1">MATCH(ROW(),sub!D:D,0)</f>
        <v>#N/A</v>
      </c>
      <c r="L295" t="b">
        <f t="shared" ca="1" si="43"/>
        <v>0</v>
      </c>
      <c r="M295" s="2">
        <f t="shared" ca="1" si="44"/>
        <v>0</v>
      </c>
    </row>
    <row r="296" spans="1:13" x14ac:dyDescent="0.3">
      <c r="A296">
        <f ca="1">OFFSET(srt_raw!$A$1,(ROW()-1)*4+COLUMN()-1,0)</f>
        <v>296</v>
      </c>
      <c r="B296" t="str">
        <f ca="1">OFFSET(srt_raw!$A$1,(ROW()-1)*4+COLUMN()-1,0)</f>
        <v>00:16:11,920 --&gt; 00:16:13,680</v>
      </c>
      <c r="C296" t="str">
        <f ca="1">OFFSET(srt_raw!$A$1,(ROW()-1)*4+COLUMN()-1,0)</f>
        <v>为了求出P等于FB，</v>
      </c>
      <c r="D296" t="str">
        <f t="shared" ca="1" si="36"/>
        <v>00:16:11,920</v>
      </c>
      <c r="E296" t="str">
        <f t="shared" ca="1" si="37"/>
        <v>00:16:13,680</v>
      </c>
      <c r="F296" s="5" t="str">
        <f t="shared" ca="1" si="38"/>
        <v>00:16:11.920</v>
      </c>
      <c r="G296" s="1" t="str">
        <f t="shared" ca="1" si="39"/>
        <v>00:16:13.680</v>
      </c>
      <c r="H296" s="2">
        <f t="shared" ca="1" si="40"/>
        <v>2.0370370370370247E-5</v>
      </c>
      <c r="I296">
        <f t="shared" ca="1" si="41"/>
        <v>10</v>
      </c>
      <c r="J296" s="2">
        <f t="shared" ca="1" si="42"/>
        <v>2.0370370370370248E-6</v>
      </c>
      <c r="K296">
        <f ca="1">MATCH(ROW(),sub!D:D,0)</f>
        <v>106</v>
      </c>
      <c r="L296" t="b">
        <f t="shared" ca="1" si="43"/>
        <v>1</v>
      </c>
      <c r="M296" s="2">
        <f t="shared" ca="1" si="44"/>
        <v>2.0370370370370248E-6</v>
      </c>
    </row>
    <row r="297" spans="1:13" x14ac:dyDescent="0.3">
      <c r="A297">
        <f ca="1">OFFSET(srt_raw!$A$1,(ROW()-1)*4+COLUMN()-1,0)</f>
        <v>297</v>
      </c>
      <c r="B297" t="str">
        <f ca="1">OFFSET(srt_raw!$A$1,(ROW()-1)*4+COLUMN()-1,0)</f>
        <v>00:16:13,760 --&gt; 00:16:16,200</v>
      </c>
      <c r="C297" t="str">
        <f ca="1">OFFSET(srt_raw!$A$1,(ROW()-1)*4+COLUMN()-1,0)</f>
        <v>我们需要将向量和矩阵相乘。</v>
      </c>
      <c r="D297" t="str">
        <f t="shared" ca="1" si="36"/>
        <v>00:16:13,760</v>
      </c>
      <c r="E297" t="str">
        <f t="shared" ca="1" si="37"/>
        <v>00:16:16,200</v>
      </c>
      <c r="F297" s="5" t="str">
        <f t="shared" ca="1" si="38"/>
        <v>00:16:13.760</v>
      </c>
      <c r="G297" s="1" t="str">
        <f t="shared" ca="1" si="39"/>
        <v>00:16:16.200</v>
      </c>
      <c r="H297" s="2">
        <f t="shared" ca="1" si="40"/>
        <v>2.8240740740741871E-5</v>
      </c>
      <c r="I297">
        <f t="shared" ca="1" si="41"/>
        <v>13</v>
      </c>
      <c r="J297" s="2">
        <f t="shared" ca="1" si="42"/>
        <v>2.1723646723647594E-6</v>
      </c>
      <c r="K297" t="e">
        <f ca="1">MATCH(ROW(),sub!D:D,0)</f>
        <v>#N/A</v>
      </c>
      <c r="L297" t="b">
        <f t="shared" ca="1" si="43"/>
        <v>1</v>
      </c>
      <c r="M297" s="2">
        <f t="shared" ca="1" si="44"/>
        <v>2.1723646723647594E-6</v>
      </c>
    </row>
    <row r="298" spans="1:13" x14ac:dyDescent="0.3">
      <c r="A298">
        <f ca="1">OFFSET(srt_raw!$A$1,(ROW()-1)*4+COLUMN()-1,0)</f>
        <v>298</v>
      </c>
      <c r="B298" t="str">
        <f ca="1">OFFSET(srt_raw!$A$1,(ROW()-1)*4+COLUMN()-1,0)</f>
        <v>00:16:16,400 --&gt; 00:16:17,400</v>
      </c>
      <c r="C298" t="str">
        <f ca="1">OFFSET(srt_raw!$A$1,(ROW()-1)*4+COLUMN()-1,0)</f>
        <v>一般情况下，</v>
      </c>
      <c r="D298" t="str">
        <f t="shared" ca="1" si="36"/>
        <v>00:16:16,400</v>
      </c>
      <c r="E298" t="str">
        <f t="shared" ca="1" si="37"/>
        <v>00:16:17,400</v>
      </c>
      <c r="F298" s="5" t="str">
        <f t="shared" ca="1" si="38"/>
        <v>00:16:16.400</v>
      </c>
      <c r="G298" s="1" t="str">
        <f t="shared" ca="1" si="39"/>
        <v>00:16:17.400</v>
      </c>
      <c r="H298" s="2">
        <f t="shared" ca="1" si="40"/>
        <v>1.157407407407357E-5</v>
      </c>
      <c r="I298">
        <f t="shared" ca="1" si="41"/>
        <v>6</v>
      </c>
      <c r="J298" s="2">
        <f t="shared" ca="1" si="42"/>
        <v>1.9290123456789285E-6</v>
      </c>
      <c r="K298" t="e">
        <f ca="1">MATCH(ROW(),sub!D:D,0)</f>
        <v>#N/A</v>
      </c>
      <c r="L298" t="b">
        <f t="shared" ca="1" si="43"/>
        <v>1</v>
      </c>
      <c r="M298" s="2">
        <f t="shared" ca="1" si="44"/>
        <v>1.9290123456789285E-6</v>
      </c>
    </row>
    <row r="299" spans="1:13" x14ac:dyDescent="0.3">
      <c r="A299">
        <f ca="1">OFFSET(srt_raw!$A$1,(ROW()-1)*4+COLUMN()-1,0)</f>
        <v>299</v>
      </c>
      <c r="B299" t="str">
        <f ca="1">OFFSET(srt_raw!$A$1,(ROW()-1)*4+COLUMN()-1,0)</f>
        <v>00:16:17,400 --&gt; 00:16:21,760</v>
      </c>
      <c r="C299" t="str">
        <f ca="1">OFFSET(srt_raw!$A$1,(ROW()-1)*4+COLUMN()-1,0)</f>
        <v>其时间复杂度是ON的二次方，</v>
      </c>
      <c r="D299" t="str">
        <f t="shared" ca="1" si="36"/>
        <v>00:16:17,400</v>
      </c>
      <c r="E299" t="str">
        <f t="shared" ca="1" si="37"/>
        <v>00:16:21,760</v>
      </c>
      <c r="F299" s="5" t="str">
        <f t="shared" ca="1" si="38"/>
        <v>00:16:17.400</v>
      </c>
      <c r="G299" s="1" t="str">
        <f t="shared" ca="1" si="39"/>
        <v>00:16:21.760</v>
      </c>
      <c r="H299" s="2">
        <f t="shared" ca="1" si="40"/>
        <v>5.0462962962963959E-5</v>
      </c>
      <c r="I299">
        <f t="shared" ca="1" si="41"/>
        <v>14</v>
      </c>
      <c r="J299" s="2">
        <f t="shared" ca="1" si="42"/>
        <v>3.6044973544974255E-6</v>
      </c>
      <c r="K299" t="e">
        <f ca="1">MATCH(ROW(),sub!D:D,0)</f>
        <v>#N/A</v>
      </c>
      <c r="L299" t="b">
        <f t="shared" ca="1" si="43"/>
        <v>0</v>
      </c>
      <c r="M299" s="2">
        <f t="shared" ca="1" si="44"/>
        <v>0</v>
      </c>
    </row>
    <row r="300" spans="1:13" x14ac:dyDescent="0.3">
      <c r="A300">
        <f ca="1">OFFSET(srt_raw!$A$1,(ROW()-1)*4+COLUMN()-1,0)</f>
        <v>300</v>
      </c>
      <c r="B300" t="str">
        <f ca="1">OFFSET(srt_raw!$A$1,(ROW()-1)*4+COLUMN()-1,0)</f>
        <v>00:16:21,760 --&gt; 00:16:24,120</v>
      </c>
      <c r="C300" t="str">
        <f ca="1">OFFSET(srt_raw!$A$1,(ROW()-1)*4+COLUMN()-1,0)</f>
        <v>因为矩阵F是有递推规律的，</v>
      </c>
      <c r="D300" t="str">
        <f t="shared" ca="1" si="36"/>
        <v>00:16:21,760</v>
      </c>
      <c r="E300" t="str">
        <f t="shared" ca="1" si="37"/>
        <v>00:16:24,120</v>
      </c>
      <c r="F300" s="5" t="str">
        <f t="shared" ca="1" si="38"/>
        <v>00:16:21.760</v>
      </c>
      <c r="G300" s="1" t="str">
        <f t="shared" ca="1" si="39"/>
        <v>00:16:24.120</v>
      </c>
      <c r="H300" s="2">
        <f t="shared" ca="1" si="40"/>
        <v>2.7314814814815083E-5</v>
      </c>
      <c r="I300">
        <f t="shared" ca="1" si="41"/>
        <v>13</v>
      </c>
      <c r="J300" s="2">
        <f t="shared" ca="1" si="42"/>
        <v>2.1011396011396216E-6</v>
      </c>
      <c r="K300">
        <f ca="1">MATCH(ROW(),sub!D:D,0)</f>
        <v>107</v>
      </c>
      <c r="L300" t="b">
        <f t="shared" ca="1" si="43"/>
        <v>1</v>
      </c>
      <c r="M300" s="2">
        <f t="shared" ca="1" si="44"/>
        <v>2.1011396011396216E-6</v>
      </c>
    </row>
    <row r="301" spans="1:13" x14ac:dyDescent="0.3">
      <c r="A301">
        <f ca="1">OFFSET(srt_raw!$A$1,(ROW()-1)*4+COLUMN()-1,0)</f>
        <v>301</v>
      </c>
      <c r="B301" t="str">
        <f ca="1">OFFSET(srt_raw!$A$1,(ROW()-1)*4+COLUMN()-1,0)</f>
        <v>00:16:24,120 --&gt; 00:16:28,880</v>
      </c>
      <c r="C301" t="str">
        <f ca="1">OFFSET(srt_raw!$A$1,(ROW()-1)*4+COLUMN()-1,0)</f>
        <v>理论上使用FFT等算法可以把乘法优化到ON乘logN。</v>
      </c>
      <c r="D301" t="str">
        <f t="shared" ca="1" si="36"/>
        <v>00:16:24,120</v>
      </c>
      <c r="E301" t="str">
        <f t="shared" ca="1" si="37"/>
        <v>00:16:28,880</v>
      </c>
      <c r="F301" s="5" t="str">
        <f t="shared" ca="1" si="38"/>
        <v>00:16:24.120</v>
      </c>
      <c r="G301" s="1" t="str">
        <f t="shared" ca="1" si="39"/>
        <v>00:16:28.880</v>
      </c>
      <c r="H301" s="2">
        <f t="shared" ca="1" si="40"/>
        <v>5.5092592592590958E-5</v>
      </c>
      <c r="I301">
        <f t="shared" ca="1" si="41"/>
        <v>27</v>
      </c>
      <c r="J301" s="2">
        <f t="shared" ca="1" si="42"/>
        <v>2.0404663923181835E-6</v>
      </c>
      <c r="K301" t="e">
        <f ca="1">MATCH(ROW(),sub!D:D,0)</f>
        <v>#N/A</v>
      </c>
      <c r="L301" t="b">
        <f t="shared" ca="1" si="43"/>
        <v>0</v>
      </c>
      <c r="M301" s="2">
        <f t="shared" ca="1" si="44"/>
        <v>0</v>
      </c>
    </row>
    <row r="302" spans="1:13" x14ac:dyDescent="0.3">
      <c r="A302">
        <f ca="1">OFFSET(srt_raw!$A$1,(ROW()-1)*4+COLUMN()-1,0)</f>
        <v>302</v>
      </c>
      <c r="B302" t="str">
        <f ca="1">OFFSET(srt_raw!$A$1,(ROW()-1)*4+COLUMN()-1,0)</f>
        <v>00:16:28,880 --&gt; 00:16:31,400</v>
      </c>
      <c r="C302" t="str">
        <f ca="1">OFFSET(srt_raw!$A$1,(ROW()-1)*4+COLUMN()-1,0)</f>
        <v>另一方面，</v>
      </c>
      <c r="D302" t="str">
        <f t="shared" ca="1" si="36"/>
        <v>00:16:28,880</v>
      </c>
      <c r="E302" t="str">
        <f t="shared" ca="1" si="37"/>
        <v>00:16:31,400</v>
      </c>
      <c r="F302" s="5" t="str">
        <f t="shared" ca="1" si="38"/>
        <v>00:16:28.880</v>
      </c>
      <c r="G302" s="1" t="str">
        <f t="shared" ca="1" si="39"/>
        <v>00:16:31.400</v>
      </c>
      <c r="H302" s="2">
        <f t="shared" ca="1" si="40"/>
        <v>2.9166666666666924E-5</v>
      </c>
      <c r="I302">
        <f t="shared" ca="1" si="41"/>
        <v>5</v>
      </c>
      <c r="J302" s="2">
        <f t="shared" ca="1" si="42"/>
        <v>5.8333333333333848E-6</v>
      </c>
      <c r="K302">
        <f ca="1">MATCH(ROW(),sub!D:D,0)</f>
        <v>108</v>
      </c>
      <c r="L302" t="b">
        <f t="shared" ca="1" si="43"/>
        <v>1</v>
      </c>
      <c r="M302" s="2">
        <f t="shared" ca="1" si="44"/>
        <v>5.8333333333333848E-6</v>
      </c>
    </row>
    <row r="303" spans="1:13" x14ac:dyDescent="0.3">
      <c r="A303">
        <f ca="1">OFFSET(srt_raw!$A$1,(ROW()-1)*4+COLUMN()-1,0)</f>
        <v>303</v>
      </c>
      <c r="B303" t="str">
        <f ca="1">OFFSET(srt_raw!$A$1,(ROW()-1)*4+COLUMN()-1,0)</f>
        <v>00:16:31,400 --&gt; 00:16:33,040</v>
      </c>
      <c r="C303" t="str">
        <f ca="1">OFFSET(srt_raw!$A$1,(ROW()-1)*4+COLUMN()-1,0)</f>
        <v>这里在计算P的时候，</v>
      </c>
      <c r="D303" t="str">
        <f t="shared" ca="1" si="36"/>
        <v>00:16:31,400</v>
      </c>
      <c r="E303" t="str">
        <f t="shared" ca="1" si="37"/>
        <v>00:16:33,040</v>
      </c>
      <c r="F303" s="5" t="str">
        <f t="shared" ca="1" si="38"/>
        <v>00:16:31.400</v>
      </c>
      <c r="G303" s="1" t="str">
        <f t="shared" ca="1" si="39"/>
        <v>00:16:33.040</v>
      </c>
      <c r="H303" s="2">
        <f t="shared" ca="1" si="40"/>
        <v>1.8981481481480933E-5</v>
      </c>
      <c r="I303">
        <f t="shared" ca="1" si="41"/>
        <v>10</v>
      </c>
      <c r="J303" s="2">
        <f t="shared" ca="1" si="42"/>
        <v>1.8981481481480934E-6</v>
      </c>
      <c r="K303" t="e">
        <f ca="1">MATCH(ROW(),sub!D:D,0)</f>
        <v>#N/A</v>
      </c>
      <c r="L303" t="b">
        <f t="shared" ca="1" si="43"/>
        <v>1</v>
      </c>
      <c r="M303" s="2">
        <f t="shared" ca="1" si="44"/>
        <v>1.8981481481480934E-6</v>
      </c>
    </row>
    <row r="304" spans="1:13" x14ac:dyDescent="0.3">
      <c r="A304">
        <f ca="1">OFFSET(srt_raw!$A$1,(ROW()-1)*4+COLUMN()-1,0)</f>
        <v>304</v>
      </c>
      <c r="B304" t="str">
        <f ca="1">OFFSET(srt_raw!$A$1,(ROW()-1)*4+COLUMN()-1,0)</f>
        <v>00:16:33,040 --&gt; 00:16:35,520</v>
      </c>
      <c r="C304" t="str">
        <f ca="1">OFFSET(srt_raw!$A$1,(ROW()-1)*4+COLUMN()-1,0)</f>
        <v>我们将B撇撇的对角线去除了，</v>
      </c>
      <c r="D304" t="str">
        <f t="shared" ca="1" si="36"/>
        <v>00:16:33,040</v>
      </c>
      <c r="E304" t="str">
        <f t="shared" ca="1" si="37"/>
        <v>00:16:35,520</v>
      </c>
      <c r="F304" s="5" t="str">
        <f t="shared" ca="1" si="38"/>
        <v>00:16:33.040</v>
      </c>
      <c r="G304" s="1" t="str">
        <f t="shared" ca="1" si="39"/>
        <v>00:16:35.520</v>
      </c>
      <c r="H304" s="2">
        <f t="shared" ca="1" si="40"/>
        <v>2.8703703703704397E-5</v>
      </c>
      <c r="I304">
        <f t="shared" ca="1" si="41"/>
        <v>14</v>
      </c>
      <c r="J304" s="2">
        <f t="shared" ca="1" si="42"/>
        <v>2.0502645502646E-6</v>
      </c>
      <c r="K304" t="e">
        <f ca="1">MATCH(ROW(),sub!D:D,0)</f>
        <v>#N/A</v>
      </c>
      <c r="L304" t="b">
        <f t="shared" ca="1" si="43"/>
        <v>1</v>
      </c>
      <c r="M304" s="2">
        <f t="shared" ca="1" si="44"/>
        <v>2.0502645502646E-6</v>
      </c>
    </row>
    <row r="305" spans="1:13" x14ac:dyDescent="0.3">
      <c r="A305">
        <f ca="1">OFFSET(srt_raw!$A$1,(ROW()-1)*4+COLUMN()-1,0)</f>
        <v>305</v>
      </c>
      <c r="B305" t="str">
        <f ca="1">OFFSET(srt_raw!$A$1,(ROW()-1)*4+COLUMN()-1,0)</f>
        <v>00:16:35,520 --&gt; 00:16:37,440</v>
      </c>
      <c r="C305" t="str">
        <f ca="1">OFFSET(srt_raw!$A$1,(ROW()-1)*4+COLUMN()-1,0)</f>
        <v>即P等于B撇撇F。</v>
      </c>
      <c r="D305" t="str">
        <f t="shared" ca="1" si="36"/>
        <v>00:16:35,520</v>
      </c>
      <c r="E305" t="str">
        <f t="shared" ca="1" si="37"/>
        <v>00:16:37,440</v>
      </c>
      <c r="F305" s="5" t="str">
        <f t="shared" ca="1" si="38"/>
        <v>00:16:35.520</v>
      </c>
      <c r="G305" s="1" t="str">
        <f t="shared" ca="1" si="39"/>
        <v>00:16:37.440</v>
      </c>
      <c r="H305" s="2">
        <f t="shared" ca="1" si="40"/>
        <v>2.2222222222223822E-5</v>
      </c>
      <c r="I305">
        <f t="shared" ca="1" si="41"/>
        <v>9</v>
      </c>
      <c r="J305" s="2">
        <f t="shared" ca="1" si="42"/>
        <v>2.4691358024693137E-6</v>
      </c>
      <c r="K305" t="e">
        <f ca="1">MATCH(ROW(),sub!D:D,0)</f>
        <v>#N/A</v>
      </c>
      <c r="L305" t="b">
        <f t="shared" ca="1" si="43"/>
        <v>1</v>
      </c>
      <c r="M305" s="2">
        <f t="shared" ca="1" si="44"/>
        <v>2.4691358024693137E-6</v>
      </c>
    </row>
    <row r="306" spans="1:13" x14ac:dyDescent="0.3">
      <c r="A306">
        <f ca="1">OFFSET(srt_raw!$A$1,(ROW()-1)*4+COLUMN()-1,0)</f>
        <v>306</v>
      </c>
      <c r="B306" t="str">
        <f ca="1">OFFSET(srt_raw!$A$1,(ROW()-1)*4+COLUMN()-1,0)</f>
        <v>00:16:38,080 --&gt; 00:16:40,480</v>
      </c>
      <c r="C306" t="str">
        <f ca="1">OFFSET(srt_raw!$A$1,(ROW()-1)*4+COLUMN()-1,0)</f>
        <v>假如我们保留B撇撇的对角线，</v>
      </c>
      <c r="D306" t="str">
        <f t="shared" ca="1" si="36"/>
        <v>00:16:38,080</v>
      </c>
      <c r="E306" t="str">
        <f t="shared" ca="1" si="37"/>
        <v>00:16:40,480</v>
      </c>
      <c r="F306" s="5" t="str">
        <f t="shared" ca="1" si="38"/>
        <v>00:16:38.080</v>
      </c>
      <c r="G306" s="1" t="str">
        <f t="shared" ca="1" si="39"/>
        <v>00:16:40.480</v>
      </c>
      <c r="H306" s="2">
        <f t="shared" ca="1" si="40"/>
        <v>2.777777777777761E-5</v>
      </c>
      <c r="I306">
        <f t="shared" ca="1" si="41"/>
        <v>14</v>
      </c>
      <c r="J306" s="2">
        <f t="shared" ca="1" si="42"/>
        <v>1.9841269841269722E-6</v>
      </c>
      <c r="K306" t="e">
        <f ca="1">MATCH(ROW(),sub!D:D,0)</f>
        <v>#N/A</v>
      </c>
      <c r="L306" t="b">
        <f t="shared" ca="1" si="43"/>
        <v>1</v>
      </c>
      <c r="M306" s="2">
        <f t="shared" ca="1" si="44"/>
        <v>1.9841269841269722E-6</v>
      </c>
    </row>
    <row r="307" spans="1:13" x14ac:dyDescent="0.3">
      <c r="A307">
        <f ca="1">OFFSET(srt_raw!$A$1,(ROW()-1)*4+COLUMN()-1,0)</f>
        <v>307</v>
      </c>
      <c r="B307" t="str">
        <f ca="1">OFFSET(srt_raw!$A$1,(ROW()-1)*4+COLUMN()-1,0)</f>
        <v>00:16:40,480 --&gt; 00:16:42,400</v>
      </c>
      <c r="C307" t="str">
        <f ca="1">OFFSET(srt_raw!$A$1,(ROW()-1)*4+COLUMN()-1,0)</f>
        <v>则有C等于B撇F。</v>
      </c>
      <c r="D307" t="str">
        <f t="shared" ca="1" si="36"/>
        <v>00:16:40,480</v>
      </c>
      <c r="E307" t="str">
        <f t="shared" ca="1" si="37"/>
        <v>00:16:42,400</v>
      </c>
      <c r="F307" s="5" t="str">
        <f t="shared" ca="1" si="38"/>
        <v>00:16:40.480</v>
      </c>
      <c r="G307" s="1" t="str">
        <f t="shared" ca="1" si="39"/>
        <v>00:16:42.400</v>
      </c>
      <c r="H307" s="2">
        <f t="shared" ca="1" si="40"/>
        <v>2.2222222222220353E-5</v>
      </c>
      <c r="I307">
        <f t="shared" ca="1" si="41"/>
        <v>9</v>
      </c>
      <c r="J307" s="2">
        <f t="shared" ca="1" si="42"/>
        <v>2.4691358024689283E-6</v>
      </c>
      <c r="K307" t="e">
        <f ca="1">MATCH(ROW(),sub!D:D,0)</f>
        <v>#N/A</v>
      </c>
      <c r="L307" t="b">
        <f t="shared" ca="1" si="43"/>
        <v>0</v>
      </c>
      <c r="M307" s="2">
        <f t="shared" ca="1" si="44"/>
        <v>0</v>
      </c>
    </row>
    <row r="308" spans="1:13" x14ac:dyDescent="0.3">
      <c r="A308">
        <f ca="1">OFFSET(srt_raw!$A$1,(ROW()-1)*4+COLUMN()-1,0)</f>
        <v>308</v>
      </c>
      <c r="B308" t="str">
        <f ca="1">OFFSET(srt_raw!$A$1,(ROW()-1)*4+COLUMN()-1,0)</f>
        <v>00:16:44,040 --&gt; 00:16:45,160</v>
      </c>
      <c r="C308" t="str">
        <f ca="1">OFFSET(srt_raw!$A$1,(ROW()-1)*4+COLUMN()-1,0)</f>
        <v>为了证明这一点，</v>
      </c>
      <c r="D308" t="str">
        <f t="shared" ca="1" si="36"/>
        <v>00:16:44,040</v>
      </c>
      <c r="E308" t="str">
        <f t="shared" ca="1" si="37"/>
        <v>00:16:45,160</v>
      </c>
      <c r="F308" s="5" t="str">
        <f t="shared" ca="1" si="38"/>
        <v>00:16:44.040</v>
      </c>
      <c r="G308" s="1" t="str">
        <f t="shared" ca="1" si="39"/>
        <v>00:16:45.160</v>
      </c>
      <c r="H308" s="2">
        <f t="shared" ca="1" si="40"/>
        <v>1.2962962962962885E-5</v>
      </c>
      <c r="I308">
        <f t="shared" ca="1" si="41"/>
        <v>8</v>
      </c>
      <c r="J308" s="2">
        <f t="shared" ca="1" si="42"/>
        <v>1.6203703703703606E-6</v>
      </c>
      <c r="K308">
        <f ca="1">MATCH(ROW(),sub!D:D,0)</f>
        <v>109</v>
      </c>
      <c r="L308" t="b">
        <f t="shared" ca="1" si="43"/>
        <v>1</v>
      </c>
      <c r="M308" s="2">
        <f t="shared" ca="1" si="44"/>
        <v>1.6203703703703606E-6</v>
      </c>
    </row>
    <row r="309" spans="1:13" x14ac:dyDescent="0.3">
      <c r="A309">
        <f ca="1">OFFSET(srt_raw!$A$1,(ROW()-1)*4+COLUMN()-1,0)</f>
        <v>309</v>
      </c>
      <c r="B309" t="str">
        <f ca="1">OFFSET(srt_raw!$A$1,(ROW()-1)*4+COLUMN()-1,0)</f>
        <v>00:16:45,160 --&gt; 00:16:49,680</v>
      </c>
      <c r="C309" t="str">
        <f ca="1">OFFSET(srt_raw!$A$1,(ROW()-1)*4+COLUMN()-1,0)</f>
        <v>我们假定B撇F等于C撇得出以上递推公式。</v>
      </c>
      <c r="D309" t="str">
        <f t="shared" ca="1" si="36"/>
        <v>00:16:45,160</v>
      </c>
      <c r="E309" t="str">
        <f t="shared" ca="1" si="37"/>
        <v>00:16:49,680</v>
      </c>
      <c r="F309" s="5" t="str">
        <f t="shared" ca="1" si="38"/>
        <v>00:16:45.160</v>
      </c>
      <c r="G309" s="1" t="str">
        <f t="shared" ca="1" si="39"/>
        <v>00:16:49.680</v>
      </c>
      <c r="H309" s="2">
        <f t="shared" ca="1" si="40"/>
        <v>5.2314814814814065E-5</v>
      </c>
      <c r="I309">
        <f t="shared" ca="1" si="41"/>
        <v>20</v>
      </c>
      <c r="J309" s="2">
        <f t="shared" ca="1" si="42"/>
        <v>2.6157407407407034E-6</v>
      </c>
      <c r="K309" t="e">
        <f ca="1">MATCH(ROW(),sub!D:D,0)</f>
        <v>#N/A</v>
      </c>
      <c r="L309" t="b">
        <f t="shared" ca="1" si="43"/>
        <v>1</v>
      </c>
      <c r="M309" s="2">
        <f t="shared" ca="1" si="44"/>
        <v>2.6157407407407034E-6</v>
      </c>
    </row>
    <row r="310" spans="1:13" x14ac:dyDescent="0.3">
      <c r="A310">
        <f ca="1">OFFSET(srt_raw!$A$1,(ROW()-1)*4+COLUMN()-1,0)</f>
        <v>310</v>
      </c>
      <c r="B310" t="str">
        <f ca="1">OFFSET(srt_raw!$A$1,(ROW()-1)*4+COLUMN()-1,0)</f>
        <v>00:16:49,680 --&gt; 00:16:52,800</v>
      </c>
      <c r="C310" t="str">
        <f ca="1">OFFSET(srt_raw!$A$1,(ROW()-1)*4+COLUMN()-1,0)</f>
        <v>由于C撇的递推公式和C是相同的，</v>
      </c>
      <c r="D310" t="str">
        <f t="shared" ca="1" si="36"/>
        <v>00:16:49,680</v>
      </c>
      <c r="E310" t="str">
        <f t="shared" ca="1" si="37"/>
        <v>00:16:52,800</v>
      </c>
      <c r="F310" s="5" t="str">
        <f t="shared" ca="1" si="38"/>
        <v>00:16:49.680</v>
      </c>
      <c r="G310" s="1" t="str">
        <f t="shared" ca="1" si="39"/>
        <v>00:16:52.800</v>
      </c>
      <c r="H310" s="2">
        <f t="shared" ca="1" si="40"/>
        <v>3.611111111111176E-5</v>
      </c>
      <c r="I310">
        <f t="shared" ca="1" si="41"/>
        <v>16</v>
      </c>
      <c r="J310" s="2">
        <f t="shared" ca="1" si="42"/>
        <v>2.256944444444485E-6</v>
      </c>
      <c r="K310" t="e">
        <f ca="1">MATCH(ROW(),sub!D:D,0)</f>
        <v>#N/A</v>
      </c>
      <c r="L310" t="b">
        <f t="shared" ca="1" si="43"/>
        <v>1</v>
      </c>
      <c r="M310" s="2">
        <f t="shared" ca="1" si="44"/>
        <v>2.256944444444485E-6</v>
      </c>
    </row>
    <row r="311" spans="1:13" x14ac:dyDescent="0.3">
      <c r="A311">
        <f ca="1">OFFSET(srt_raw!$A$1,(ROW()-1)*4+COLUMN()-1,0)</f>
        <v>311</v>
      </c>
      <c r="B311" t="str">
        <f ca="1">OFFSET(srt_raw!$A$1,(ROW()-1)*4+COLUMN()-1,0)</f>
        <v>00:16:52,800 --&gt; 00:16:55,040</v>
      </c>
      <c r="C311" t="str">
        <f ca="1">OFFSET(srt_raw!$A$1,(ROW()-1)*4+COLUMN()-1,0)</f>
        <v>因此这里的C撇就是C，</v>
      </c>
      <c r="D311" t="str">
        <f t="shared" ca="1" si="36"/>
        <v>00:16:52,800</v>
      </c>
      <c r="E311" t="str">
        <f t="shared" ca="1" si="37"/>
        <v>00:16:55,040</v>
      </c>
      <c r="F311" s="5" t="str">
        <f t="shared" ca="1" si="38"/>
        <v>00:16:52.800</v>
      </c>
      <c r="G311" s="1" t="str">
        <f t="shared" ca="1" si="39"/>
        <v>00:16:55.040</v>
      </c>
      <c r="H311" s="2">
        <f t="shared" ca="1" si="40"/>
        <v>2.5925925925925769E-5</v>
      </c>
      <c r="I311">
        <f t="shared" ca="1" si="41"/>
        <v>11</v>
      </c>
      <c r="J311" s="2">
        <f t="shared" ca="1" si="42"/>
        <v>2.3569023569023428E-6</v>
      </c>
      <c r="K311" t="e">
        <f ca="1">MATCH(ROW(),sub!D:D,0)</f>
        <v>#N/A</v>
      </c>
      <c r="L311" t="b">
        <f t="shared" ca="1" si="43"/>
        <v>1</v>
      </c>
      <c r="M311" s="2">
        <f t="shared" ca="1" si="44"/>
        <v>2.3569023569023428E-6</v>
      </c>
    </row>
    <row r="312" spans="1:13" x14ac:dyDescent="0.3">
      <c r="A312">
        <f ca="1">OFFSET(srt_raw!$A$1,(ROW()-1)*4+COLUMN()-1,0)</f>
        <v>312</v>
      </c>
      <c r="B312" t="str">
        <f ca="1">OFFSET(srt_raw!$A$1,(ROW()-1)*4+COLUMN()-1,0)</f>
        <v>00:16:55,040 --&gt; 00:16:57,520</v>
      </c>
      <c r="C312" t="str">
        <f ca="1">OFFSET(srt_raw!$A$1,(ROW()-1)*4+COLUMN()-1,0)</f>
        <v>即C撇等于C等于B撇F。</v>
      </c>
      <c r="D312" t="str">
        <f t="shared" ca="1" si="36"/>
        <v>00:16:55,040</v>
      </c>
      <c r="E312" t="str">
        <f t="shared" ca="1" si="37"/>
        <v>00:16:57,520</v>
      </c>
      <c r="F312" s="5" t="str">
        <f t="shared" ca="1" si="38"/>
        <v>00:16:55.040</v>
      </c>
      <c r="G312" s="1" t="str">
        <f t="shared" ca="1" si="39"/>
        <v>00:16:57.520</v>
      </c>
      <c r="H312" s="2">
        <f t="shared" ca="1" si="40"/>
        <v>2.8703703703702663E-5</v>
      </c>
      <c r="I312">
        <f t="shared" ca="1" si="41"/>
        <v>12</v>
      </c>
      <c r="J312" s="2">
        <f t="shared" ca="1" si="42"/>
        <v>2.3919753086418887E-6</v>
      </c>
      <c r="K312" t="e">
        <f ca="1">MATCH(ROW(),sub!D:D,0)</f>
        <v>#N/A</v>
      </c>
      <c r="L312" t="b">
        <f t="shared" ca="1" si="43"/>
        <v>0</v>
      </c>
      <c r="M312" s="2">
        <f t="shared" ca="1" si="44"/>
        <v>0</v>
      </c>
    </row>
    <row r="313" spans="1:13" x14ac:dyDescent="0.3">
      <c r="A313">
        <f ca="1">OFFSET(srt_raw!$A$1,(ROW()-1)*4+COLUMN()-1,0)</f>
        <v>313</v>
      </c>
      <c r="B313" t="str">
        <f ca="1">OFFSET(srt_raw!$A$1,(ROW()-1)*4+COLUMN()-1,0)</f>
        <v>00:16:59,040 --&gt; 00:17:00,840</v>
      </c>
      <c r="C313" t="str">
        <f ca="1">OFFSET(srt_raw!$A$1,(ROW()-1)*4+COLUMN()-1,0)</f>
        <v>由于C等于B撇F，</v>
      </c>
      <c r="D313" t="str">
        <f t="shared" ca="1" si="36"/>
        <v>00:16:59,040</v>
      </c>
      <c r="E313" t="str">
        <f t="shared" ca="1" si="37"/>
        <v>00:17:00,840</v>
      </c>
      <c r="F313" s="5" t="str">
        <f t="shared" ca="1" si="38"/>
        <v>00:16:59.040</v>
      </c>
      <c r="G313" s="1" t="str">
        <f t="shared" ca="1" si="39"/>
        <v>00:17:00.840</v>
      </c>
      <c r="H313" s="2">
        <f t="shared" ca="1" si="40"/>
        <v>2.0833333333334508E-5</v>
      </c>
      <c r="I313">
        <f t="shared" ca="1" si="41"/>
        <v>9</v>
      </c>
      <c r="J313" s="2">
        <f t="shared" ca="1" si="42"/>
        <v>2.3148148148149452E-6</v>
      </c>
      <c r="K313">
        <f ca="1">MATCH(ROW(),sub!D:D,0)</f>
        <v>110</v>
      </c>
      <c r="L313" t="b">
        <f t="shared" ca="1" si="43"/>
        <v>1</v>
      </c>
      <c r="M313" s="2">
        <f t="shared" ca="1" si="44"/>
        <v>2.3148148148149452E-6</v>
      </c>
    </row>
    <row r="314" spans="1:13" x14ac:dyDescent="0.3">
      <c r="A314">
        <f ca="1">OFFSET(srt_raw!$A$1,(ROW()-1)*4+COLUMN()-1,0)</f>
        <v>314</v>
      </c>
      <c r="B314" t="str">
        <f ca="1">OFFSET(srt_raw!$A$1,(ROW()-1)*4+COLUMN()-1,0)</f>
        <v>00:17:00,960 --&gt; 00:17:03,400</v>
      </c>
      <c r="C314" t="str">
        <f ca="1">OFFSET(srt_raw!$A$1,(ROW()-1)*4+COLUMN()-1,0)</f>
        <v>我们可以推得P等于C加F。</v>
      </c>
      <c r="D314" t="str">
        <f t="shared" ca="1" si="36"/>
        <v>00:17:00,960</v>
      </c>
      <c r="E314" t="str">
        <f t="shared" ca="1" si="37"/>
        <v>00:17:03,400</v>
      </c>
      <c r="F314" s="5" t="str">
        <f t="shared" ca="1" si="38"/>
        <v>00:17:00.960</v>
      </c>
      <c r="G314" s="1" t="str">
        <f t="shared" ca="1" si="39"/>
        <v>00:17:03.400</v>
      </c>
      <c r="H314" s="2">
        <f t="shared" ca="1" si="40"/>
        <v>2.8240740740740136E-5</v>
      </c>
      <c r="I314">
        <f t="shared" ca="1" si="41"/>
        <v>13</v>
      </c>
      <c r="J314" s="2">
        <f t="shared" ca="1" si="42"/>
        <v>2.172364672364626E-6</v>
      </c>
      <c r="K314" t="e">
        <f ca="1">MATCH(ROW(),sub!D:D,0)</f>
        <v>#N/A</v>
      </c>
      <c r="L314" t="b">
        <f t="shared" ca="1" si="43"/>
        <v>1</v>
      </c>
      <c r="M314" s="2">
        <f t="shared" ca="1" si="44"/>
        <v>2.172364672364626E-6</v>
      </c>
    </row>
    <row r="315" spans="1:13" x14ac:dyDescent="0.3">
      <c r="A315">
        <f ca="1">OFFSET(srt_raw!$A$1,(ROW()-1)*4+COLUMN()-1,0)</f>
        <v>315</v>
      </c>
      <c r="B315" t="str">
        <f ca="1">OFFSET(srt_raw!$A$1,(ROW()-1)*4+COLUMN()-1,0)</f>
        <v>00:17:04,000 --&gt; 00:17:04,520</v>
      </c>
      <c r="C315" t="str">
        <f ca="1">OFFSET(srt_raw!$A$1,(ROW()-1)*4+COLUMN()-1,0)</f>
        <v>因此，</v>
      </c>
      <c r="D315" t="str">
        <f t="shared" ca="1" si="36"/>
        <v>00:17:04,000</v>
      </c>
      <c r="E315" t="str">
        <f t="shared" ca="1" si="37"/>
        <v>00:17:04,520</v>
      </c>
      <c r="F315" s="5" t="str">
        <f t="shared" ca="1" si="38"/>
        <v>00:17:04.000</v>
      </c>
      <c r="G315" s="1" t="str">
        <f t="shared" ca="1" si="39"/>
        <v>00:17:04.520</v>
      </c>
      <c r="H315" s="2">
        <f t="shared" ca="1" si="40"/>
        <v>6.0185185185180484E-6</v>
      </c>
      <c r="I315">
        <f t="shared" ca="1" si="41"/>
        <v>3</v>
      </c>
      <c r="J315" s="2">
        <f t="shared" ca="1" si="42"/>
        <v>2.006172839506016E-6</v>
      </c>
      <c r="K315" t="e">
        <f ca="1">MATCH(ROW(),sub!D:D,0)</f>
        <v>#N/A</v>
      </c>
      <c r="L315" t="b">
        <f t="shared" ca="1" si="43"/>
        <v>1</v>
      </c>
      <c r="M315" s="2">
        <f t="shared" ca="1" si="44"/>
        <v>2.006172839506016E-6</v>
      </c>
    </row>
    <row r="316" spans="1:13" x14ac:dyDescent="0.3">
      <c r="A316">
        <f ca="1">OFFSET(srt_raw!$A$1,(ROW()-1)*4+COLUMN()-1,0)</f>
        <v>316</v>
      </c>
      <c r="B316" t="str">
        <f ca="1">OFFSET(srt_raw!$A$1,(ROW()-1)*4+COLUMN()-1,0)</f>
        <v>00:17:04,520 --&gt; 00:17:08,280</v>
      </c>
      <c r="C316" t="str">
        <f ca="1">OFFSET(srt_raw!$A$1,(ROW()-1)*4+COLUMN()-1,0)</f>
        <v>我们可以计算出C和F叠加后直接求得P，</v>
      </c>
      <c r="D316" t="str">
        <f t="shared" ca="1" si="36"/>
        <v>00:17:04,520</v>
      </c>
      <c r="E316" t="str">
        <f t="shared" ca="1" si="37"/>
        <v>00:17:08,280</v>
      </c>
      <c r="F316" s="5" t="str">
        <f t="shared" ca="1" si="38"/>
        <v>00:17:04.520</v>
      </c>
      <c r="G316" s="1" t="str">
        <f t="shared" ca="1" si="39"/>
        <v>00:17:08.280</v>
      </c>
      <c r="H316" s="2">
        <f t="shared" ca="1" si="40"/>
        <v>4.3518518518519123E-5</v>
      </c>
      <c r="I316">
        <f t="shared" ca="1" si="41"/>
        <v>19</v>
      </c>
      <c r="J316" s="2">
        <f t="shared" ca="1" si="42"/>
        <v>2.2904483430799538E-6</v>
      </c>
      <c r="K316" t="e">
        <f ca="1">MATCH(ROW(),sub!D:D,0)</f>
        <v>#N/A</v>
      </c>
      <c r="L316" t="b">
        <f t="shared" ca="1" si="43"/>
        <v>1</v>
      </c>
      <c r="M316" s="2">
        <f t="shared" ca="1" si="44"/>
        <v>2.2904483430799538E-6</v>
      </c>
    </row>
    <row r="317" spans="1:13" x14ac:dyDescent="0.3">
      <c r="A317">
        <f ca="1">OFFSET(srt_raw!$A$1,(ROW()-1)*4+COLUMN()-1,0)</f>
        <v>317</v>
      </c>
      <c r="B317" t="str">
        <f ca="1">OFFSET(srt_raw!$A$1,(ROW()-1)*4+COLUMN()-1,0)</f>
        <v>00:17:08,280 --&gt; 00:17:09,720</v>
      </c>
      <c r="C317" t="str">
        <f ca="1">OFFSET(srt_raw!$A$1,(ROW()-1)*4+COLUMN()-1,0)</f>
        <v>无需使用矩阵乘法。</v>
      </c>
      <c r="D317" t="str">
        <f t="shared" ca="1" si="36"/>
        <v>00:17:08,280</v>
      </c>
      <c r="E317" t="str">
        <f t="shared" ca="1" si="37"/>
        <v>00:17:09,720</v>
      </c>
      <c r="F317" s="5" t="str">
        <f t="shared" ca="1" si="38"/>
        <v>00:17:08.280</v>
      </c>
      <c r="G317" s="1" t="str">
        <f t="shared" ca="1" si="39"/>
        <v>00:17:09.720</v>
      </c>
      <c r="H317" s="2">
        <f t="shared" ca="1" si="40"/>
        <v>1.6666666666668301E-5</v>
      </c>
      <c r="I317">
        <f t="shared" ca="1" si="41"/>
        <v>9</v>
      </c>
      <c r="J317" s="2">
        <f t="shared" ca="1" si="42"/>
        <v>1.8518518518520333E-6</v>
      </c>
      <c r="K317" t="e">
        <f ca="1">MATCH(ROW(),sub!D:D,0)</f>
        <v>#N/A</v>
      </c>
      <c r="L317" t="b">
        <f t="shared" ca="1" si="43"/>
        <v>0</v>
      </c>
      <c r="M317" s="2">
        <f t="shared" ca="1" si="44"/>
        <v>0</v>
      </c>
    </row>
    <row r="318" spans="1:13" x14ac:dyDescent="0.3">
      <c r="A318">
        <f ca="1">OFFSET(srt_raw!$A$1,(ROW()-1)*4+COLUMN()-1,0)</f>
        <v>318</v>
      </c>
      <c r="B318" t="str">
        <f ca="1">OFFSET(srt_raw!$A$1,(ROW()-1)*4+COLUMN()-1,0)</f>
        <v>00:17:11,200 --&gt; 00:17:11,800</v>
      </c>
      <c r="C318" t="str">
        <f ca="1">OFFSET(srt_raw!$A$1,(ROW()-1)*4+COLUMN()-1,0)</f>
        <v>同时，</v>
      </c>
      <c r="D318" t="str">
        <f t="shared" ca="1" si="36"/>
        <v>00:17:11,200</v>
      </c>
      <c r="E318" t="str">
        <f t="shared" ca="1" si="37"/>
        <v>00:17:11,800</v>
      </c>
      <c r="F318" s="5" t="str">
        <f t="shared" ca="1" si="38"/>
        <v>00:17:11.200</v>
      </c>
      <c r="G318" s="1" t="str">
        <f t="shared" ca="1" si="39"/>
        <v>00:17:11.800</v>
      </c>
      <c r="H318" s="2">
        <f t="shared" ca="1" si="40"/>
        <v>6.9444444444431014E-6</v>
      </c>
      <c r="I318">
        <f t="shared" ca="1" si="41"/>
        <v>3</v>
      </c>
      <c r="J318" s="2">
        <f t="shared" ca="1" si="42"/>
        <v>2.3148148148143671E-6</v>
      </c>
      <c r="K318">
        <f ca="1">MATCH(ROW(),sub!D:D,0)</f>
        <v>111</v>
      </c>
      <c r="L318" t="b">
        <f t="shared" ca="1" si="43"/>
        <v>1</v>
      </c>
      <c r="M318" s="2">
        <f t="shared" ca="1" si="44"/>
        <v>2.3148148148143671E-6</v>
      </c>
    </row>
    <row r="319" spans="1:13" x14ac:dyDescent="0.3">
      <c r="A319">
        <f ca="1">OFFSET(srt_raw!$A$1,(ROW()-1)*4+COLUMN()-1,0)</f>
        <v>319</v>
      </c>
      <c r="B319" t="str">
        <f ca="1">OFFSET(srt_raw!$A$1,(ROW()-1)*4+COLUMN()-1,0)</f>
        <v>00:17:11,800 --&gt; 00:17:13,720</v>
      </c>
      <c r="C319" t="str">
        <f ca="1">OFFSET(srt_raw!$A$1,(ROW()-1)*4+COLUMN()-1,0)</f>
        <v>由于P等于C加F。</v>
      </c>
      <c r="D319" t="str">
        <f t="shared" ca="1" si="36"/>
        <v>00:17:11,800</v>
      </c>
      <c r="E319" t="str">
        <f t="shared" ca="1" si="37"/>
        <v>00:17:13,720</v>
      </c>
      <c r="F319" s="5" t="str">
        <f t="shared" ca="1" si="38"/>
        <v>00:17:11.800</v>
      </c>
      <c r="G319" s="1" t="str">
        <f t="shared" ca="1" si="39"/>
        <v>00:17:13.720</v>
      </c>
      <c r="H319" s="2">
        <f t="shared" ca="1" si="40"/>
        <v>2.2222222222223822E-5</v>
      </c>
      <c r="I319">
        <f t="shared" ca="1" si="41"/>
        <v>9</v>
      </c>
      <c r="J319" s="2">
        <f t="shared" ca="1" si="42"/>
        <v>2.4691358024693137E-6</v>
      </c>
      <c r="K319" t="e">
        <f ca="1">MATCH(ROW(),sub!D:D,0)</f>
        <v>#N/A</v>
      </c>
      <c r="L319" t="b">
        <f t="shared" ca="1" si="43"/>
        <v>1</v>
      </c>
      <c r="M319" s="2">
        <f t="shared" ca="1" si="44"/>
        <v>2.4691358024693137E-6</v>
      </c>
    </row>
    <row r="320" spans="1:13" x14ac:dyDescent="0.3">
      <c r="A320">
        <f ca="1">OFFSET(srt_raw!$A$1,(ROW()-1)*4+COLUMN()-1,0)</f>
        <v>320</v>
      </c>
      <c r="B320" t="str">
        <f ca="1">OFFSET(srt_raw!$A$1,(ROW()-1)*4+COLUMN()-1,0)</f>
        <v>00:17:13,920 --&gt; 00:17:16,200</v>
      </c>
      <c r="C320" t="str">
        <f ca="1">OFFSET(srt_raw!$A$1,(ROW()-1)*4+COLUMN()-1,0)</f>
        <v>P也可以写成这个递推公式，</v>
      </c>
      <c r="D320" t="str">
        <f t="shared" ca="1" si="36"/>
        <v>00:17:13,920</v>
      </c>
      <c r="E320" t="str">
        <f t="shared" ca="1" si="37"/>
        <v>00:17:16,200</v>
      </c>
      <c r="F320" s="5" t="str">
        <f t="shared" ca="1" si="38"/>
        <v>00:17:13.920</v>
      </c>
      <c r="G320" s="1" t="str">
        <f t="shared" ca="1" si="39"/>
        <v>00:17:16.200</v>
      </c>
      <c r="H320" s="2">
        <f t="shared" ca="1" si="40"/>
        <v>2.6388888888888296E-5</v>
      </c>
      <c r="I320">
        <f t="shared" ca="1" si="41"/>
        <v>13</v>
      </c>
      <c r="J320" s="2">
        <f t="shared" ca="1" si="42"/>
        <v>2.0299145299144842E-6</v>
      </c>
      <c r="K320" t="e">
        <f ca="1">MATCH(ROW(),sub!D:D,0)</f>
        <v>#N/A</v>
      </c>
      <c r="L320" t="b">
        <f t="shared" ca="1" si="43"/>
        <v>1</v>
      </c>
      <c r="M320" s="2">
        <f t="shared" ca="1" si="44"/>
        <v>2.0299145299144842E-6</v>
      </c>
    </row>
    <row r="321" spans="1:13" x14ac:dyDescent="0.3">
      <c r="A321">
        <f ca="1">OFFSET(srt_raw!$A$1,(ROW()-1)*4+COLUMN()-1,0)</f>
        <v>321</v>
      </c>
      <c r="B321" t="str">
        <f ca="1">OFFSET(srt_raw!$A$1,(ROW()-1)*4+COLUMN()-1,0)</f>
        <v>00:17:16,200 --&gt; 00:17:22,400</v>
      </c>
      <c r="C321" t="str">
        <f ca="1">OFFSET(srt_raw!$A$1,(ROW()-1)*4+COLUMN()-1,0)</f>
        <v>从而无需BC或F在ON的时间内由P的递推公式直接推得。</v>
      </c>
      <c r="D321" t="str">
        <f t="shared" ref="D321:D384" ca="1" si="45">LEFT(B321,12)</f>
        <v>00:17:16,200</v>
      </c>
      <c r="E321" t="str">
        <f t="shared" ref="E321:E384" ca="1" si="46">RIGHT(B321,12)</f>
        <v>00:17:22,400</v>
      </c>
      <c r="F321" s="5" t="str">
        <f t="shared" ref="F321:F384" ca="1" si="47">SUBSTITUTE(D321,",",".")</f>
        <v>00:17:16.200</v>
      </c>
      <c r="G321" s="1" t="str">
        <f t="shared" ref="G321:G384" ca="1" si="48">SUBSTITUTE(E321,",",".")</f>
        <v>00:17:22.400</v>
      </c>
      <c r="H321" s="2">
        <f t="shared" ref="H321:H384" ca="1" si="49">G321-F321</f>
        <v>7.1759259259260993E-5</v>
      </c>
      <c r="I321">
        <f t="shared" ref="I321:I384" ca="1" si="50">LEN(C321)</f>
        <v>27</v>
      </c>
      <c r="J321" s="2">
        <f t="shared" ref="J321:J384" ca="1" si="51">H321/I321</f>
        <v>2.6577503429355922E-6</v>
      </c>
      <c r="K321" t="e">
        <f ca="1">MATCH(ROW(),sub!D:D,0)</f>
        <v>#N/A</v>
      </c>
      <c r="L321" t="b">
        <f t="shared" ref="L321:L384" ca="1" si="52">ISERROR(K322)</f>
        <v>0</v>
      </c>
      <c r="M321" s="2">
        <f t="shared" ref="M321:M384" ca="1" si="53">IF(L321,J321,0)</f>
        <v>0</v>
      </c>
    </row>
    <row r="322" spans="1:13" x14ac:dyDescent="0.3">
      <c r="A322">
        <f ca="1">OFFSET(srt_raw!$A$1,(ROW()-1)*4+COLUMN()-1,0)</f>
        <v>322</v>
      </c>
      <c r="B322" t="str">
        <f ca="1">OFFSET(srt_raw!$A$1,(ROW()-1)*4+COLUMN()-1,0)</f>
        <v>00:17:24,000 --&gt; 00:17:25,600</v>
      </c>
      <c r="C322" t="str">
        <f ca="1">OFFSET(srt_raw!$A$1,(ROW()-1)*4+COLUMN()-1,0)</f>
        <v>由于这个证明较长，</v>
      </c>
      <c r="D322" t="str">
        <f t="shared" ca="1" si="45"/>
        <v>00:17:24,000</v>
      </c>
      <c r="E322" t="str">
        <f t="shared" ca="1" si="46"/>
        <v>00:17:25,600</v>
      </c>
      <c r="F322" s="5" t="str">
        <f t="shared" ca="1" si="47"/>
        <v>00:17:24.000</v>
      </c>
      <c r="G322" s="1" t="str">
        <f t="shared" ca="1" si="48"/>
        <v>00:17:25.600</v>
      </c>
      <c r="H322" s="2">
        <f t="shared" ca="1" si="49"/>
        <v>1.8518518518518406E-5</v>
      </c>
      <c r="I322">
        <f t="shared" ca="1" si="50"/>
        <v>9</v>
      </c>
      <c r="J322" s="2">
        <f t="shared" ca="1" si="51"/>
        <v>2.0576131687242673E-6</v>
      </c>
      <c r="K322">
        <f ca="1">MATCH(ROW(),sub!D:D,0)</f>
        <v>112</v>
      </c>
      <c r="L322" t="b">
        <f t="shared" ca="1" si="52"/>
        <v>1</v>
      </c>
      <c r="M322" s="2">
        <f t="shared" ca="1" si="53"/>
        <v>2.0576131687242673E-6</v>
      </c>
    </row>
    <row r="323" spans="1:13" x14ac:dyDescent="0.3">
      <c r="A323">
        <f ca="1">OFFSET(srt_raw!$A$1,(ROW()-1)*4+COLUMN()-1,0)</f>
        <v>323</v>
      </c>
      <c r="B323" t="str">
        <f ca="1">OFFSET(srt_raw!$A$1,(ROW()-1)*4+COLUMN()-1,0)</f>
        <v>00:17:25,600 --&gt; 00:17:28,160</v>
      </c>
      <c r="C323" t="str">
        <f ca="1">OFFSET(srt_raw!$A$1,(ROW()-1)*4+COLUMN()-1,0)</f>
        <v>因此这里就不展示出来了。</v>
      </c>
      <c r="D323" t="str">
        <f t="shared" ca="1" si="45"/>
        <v>00:17:25,600</v>
      </c>
      <c r="E323" t="str">
        <f t="shared" ca="1" si="46"/>
        <v>00:17:28,160</v>
      </c>
      <c r="F323" s="5" t="str">
        <f t="shared" ca="1" si="47"/>
        <v>00:17:25.600</v>
      </c>
      <c r="G323" s="1" t="str">
        <f t="shared" ca="1" si="48"/>
        <v>00:17:28.160</v>
      </c>
      <c r="H323" s="2">
        <f t="shared" ca="1" si="49"/>
        <v>2.9629629629631185E-5</v>
      </c>
      <c r="I323">
        <f t="shared" ca="1" si="50"/>
        <v>12</v>
      </c>
      <c r="J323" s="2">
        <f t="shared" ca="1" si="51"/>
        <v>2.4691358024692654E-6</v>
      </c>
      <c r="K323" t="e">
        <f ca="1">MATCH(ROW(),sub!D:D,0)</f>
        <v>#N/A</v>
      </c>
      <c r="L323" t="b">
        <f t="shared" ca="1" si="52"/>
        <v>1</v>
      </c>
      <c r="M323" s="2">
        <f t="shared" ca="1" si="53"/>
        <v>2.4691358024692654E-6</v>
      </c>
    </row>
    <row r="324" spans="1:13" x14ac:dyDescent="0.3">
      <c r="A324">
        <f ca="1">OFFSET(srt_raw!$A$1,(ROW()-1)*4+COLUMN()-1,0)</f>
        <v>324</v>
      </c>
      <c r="B324" t="str">
        <f ca="1">OFFSET(srt_raw!$A$1,(ROW()-1)*4+COLUMN()-1,0)</f>
        <v>00:17:28,160 --&gt; 00:17:34,040</v>
      </c>
      <c r="C324" t="str">
        <f ca="1">OFFSET(srt_raw!$A$1,(ROW()-1)*4+COLUMN()-1,0)</f>
        <v>有兴趣的小伙伴可以从C和F的递推公式自行证明。</v>
      </c>
      <c r="D324" t="str">
        <f t="shared" ca="1" si="45"/>
        <v>00:17:28,160</v>
      </c>
      <c r="E324" t="str">
        <f t="shared" ca="1" si="46"/>
        <v>00:17:34,040</v>
      </c>
      <c r="F324" s="5" t="str">
        <f t="shared" ca="1" si="47"/>
        <v>00:17:28.160</v>
      </c>
      <c r="G324" s="1" t="str">
        <f t="shared" ca="1" si="48"/>
        <v>00:17:34.040</v>
      </c>
      <c r="H324" s="2">
        <f t="shared" ca="1" si="49"/>
        <v>6.8055555555553843E-5</v>
      </c>
      <c r="I324">
        <f t="shared" ca="1" si="50"/>
        <v>23</v>
      </c>
      <c r="J324" s="2">
        <f t="shared" ca="1" si="51"/>
        <v>2.9589371980675583E-6</v>
      </c>
      <c r="K324" t="e">
        <f ca="1">MATCH(ROW(),sub!D:D,0)</f>
        <v>#N/A</v>
      </c>
      <c r="L324" t="b">
        <f t="shared" ca="1" si="52"/>
        <v>0</v>
      </c>
      <c r="M324" s="2">
        <f t="shared" ca="1" si="53"/>
        <v>0</v>
      </c>
    </row>
    <row r="325" spans="1:13" x14ac:dyDescent="0.3">
      <c r="A325">
        <f ca="1">OFFSET(srt_raw!$A$1,(ROW()-1)*4+COLUMN()-1,0)</f>
        <v>325</v>
      </c>
      <c r="B325" t="str">
        <f ca="1">OFFSET(srt_raw!$A$1,(ROW()-1)*4+COLUMN()-1,0)</f>
        <v>00:17:34,040 --&gt; 00:17:36,480</v>
      </c>
      <c r="C325" t="str">
        <f ca="1">OFFSET(srt_raw!$A$1,(ROW()-1)*4+COLUMN()-1,0)</f>
        <v>现在我们已用多种方法求得了P，</v>
      </c>
      <c r="D325" t="str">
        <f t="shared" ca="1" si="45"/>
        <v>00:17:34,040</v>
      </c>
      <c r="E325" t="str">
        <f t="shared" ca="1" si="46"/>
        <v>00:17:36,480</v>
      </c>
      <c r="F325" s="5" t="str">
        <f t="shared" ca="1" si="47"/>
        <v>00:17:34.040</v>
      </c>
      <c r="G325" s="1" t="str">
        <f t="shared" ca="1" si="48"/>
        <v>00:17:36.480</v>
      </c>
      <c r="H325" s="2">
        <f t="shared" ca="1" si="49"/>
        <v>2.8240740740741871E-5</v>
      </c>
      <c r="I325">
        <f t="shared" ca="1" si="50"/>
        <v>15</v>
      </c>
      <c r="J325" s="2">
        <f t="shared" ca="1" si="51"/>
        <v>1.8827160493827914E-6</v>
      </c>
      <c r="K325">
        <f ca="1">MATCH(ROW(),sub!D:D,0)</f>
        <v>113</v>
      </c>
      <c r="L325" t="b">
        <f t="shared" ca="1" si="52"/>
        <v>1</v>
      </c>
      <c r="M325" s="2">
        <f t="shared" ca="1" si="53"/>
        <v>1.8827160493827914E-6</v>
      </c>
    </row>
    <row r="326" spans="1:13" x14ac:dyDescent="0.3">
      <c r="A326">
        <f ca="1">OFFSET(srt_raw!$A$1,(ROW()-1)*4+COLUMN()-1,0)</f>
        <v>326</v>
      </c>
      <c r="B326" t="str">
        <f ca="1">OFFSET(srt_raw!$A$1,(ROW()-1)*4+COLUMN()-1,0)</f>
        <v>00:17:36,640 --&gt; 00:17:40,160</v>
      </c>
      <c r="C326" t="str">
        <f ca="1">OFFSET(srt_raw!$A$1,(ROW()-1)*4+COLUMN()-1,0)</f>
        <v>并将原始问题转化为了PHX等于Y，</v>
      </c>
      <c r="D326" t="str">
        <f t="shared" ca="1" si="45"/>
        <v>00:17:36,640</v>
      </c>
      <c r="E326" t="str">
        <f t="shared" ca="1" si="46"/>
        <v>00:17:40,160</v>
      </c>
      <c r="F326" s="5" t="str">
        <f t="shared" ca="1" si="47"/>
        <v>00:17:36.640</v>
      </c>
      <c r="G326" s="1" t="str">
        <f t="shared" ca="1" si="48"/>
        <v>00:17:40.160</v>
      </c>
      <c r="H326" s="2">
        <f t="shared" ca="1" si="49"/>
        <v>4.0740740740740494E-5</v>
      </c>
      <c r="I326">
        <f t="shared" ca="1" si="50"/>
        <v>17</v>
      </c>
      <c r="J326" s="2">
        <f t="shared" ca="1" si="51"/>
        <v>2.3965141612200289E-6</v>
      </c>
      <c r="K326" t="e">
        <f ca="1">MATCH(ROW(),sub!D:D,0)</f>
        <v>#N/A</v>
      </c>
      <c r="L326" t="b">
        <f t="shared" ca="1" si="52"/>
        <v>1</v>
      </c>
      <c r="M326" s="2">
        <f t="shared" ca="1" si="53"/>
        <v>2.3965141612200289E-6</v>
      </c>
    </row>
    <row r="327" spans="1:13" x14ac:dyDescent="0.3">
      <c r="A327">
        <f ca="1">OFFSET(srt_raw!$A$1,(ROW()-1)*4+COLUMN()-1,0)</f>
        <v>327</v>
      </c>
      <c r="B327" t="str">
        <f ca="1">OFFSET(srt_raw!$A$1,(ROW()-1)*4+COLUMN()-1,0)</f>
        <v>00:17:40,320 --&gt; 00:17:41,520</v>
      </c>
      <c r="C327" t="str">
        <f ca="1">OFFSET(srt_raw!$A$1,(ROW()-1)*4+COLUMN()-1,0)</f>
        <v>可这又有什么用呢？</v>
      </c>
      <c r="D327" t="str">
        <f t="shared" ca="1" si="45"/>
        <v>00:17:40,320</v>
      </c>
      <c r="E327" t="str">
        <f t="shared" ca="1" si="46"/>
        <v>00:17:41,520</v>
      </c>
      <c r="F327" s="5" t="str">
        <f t="shared" ca="1" si="47"/>
        <v>00:17:40.320</v>
      </c>
      <c r="G327" s="1" t="str">
        <f t="shared" ca="1" si="48"/>
        <v>00:17:41.520</v>
      </c>
      <c r="H327" s="2">
        <f t="shared" ca="1" si="49"/>
        <v>1.3888888888889672E-5</v>
      </c>
      <c r="I327">
        <f t="shared" ca="1" si="50"/>
        <v>9</v>
      </c>
      <c r="J327" s="2">
        <f t="shared" ca="1" si="51"/>
        <v>1.5432098765432968E-6</v>
      </c>
      <c r="K327" t="e">
        <f ca="1">MATCH(ROW(),sub!D:D,0)</f>
        <v>#N/A</v>
      </c>
      <c r="L327" t="b">
        <f t="shared" ca="1" si="52"/>
        <v>0</v>
      </c>
      <c r="M327" s="2">
        <f t="shared" ca="1" si="53"/>
        <v>0</v>
      </c>
    </row>
    <row r="328" spans="1:13" x14ac:dyDescent="0.3">
      <c r="A328">
        <f ca="1">OFFSET(srt_raw!$A$1,(ROW()-1)*4+COLUMN()-1,0)</f>
        <v>328</v>
      </c>
      <c r="B328" t="str">
        <f ca="1">OFFSET(srt_raw!$A$1,(ROW()-1)*4+COLUMN()-1,0)</f>
        <v>00:17:43,040 --&gt; 00:17:43,840</v>
      </c>
      <c r="C328" t="str">
        <f ca="1">OFFSET(srt_raw!$A$1,(ROW()-1)*4+COLUMN()-1,0)</f>
        <v>试想一下，</v>
      </c>
      <c r="D328" t="str">
        <f t="shared" ca="1" si="45"/>
        <v>00:17:43,040</v>
      </c>
      <c r="E328" t="str">
        <f t="shared" ca="1" si="46"/>
        <v>00:17:43,840</v>
      </c>
      <c r="F328" s="5" t="str">
        <f t="shared" ca="1" si="47"/>
        <v>00:17:43.040</v>
      </c>
      <c r="G328" s="1" t="str">
        <f t="shared" ca="1" si="48"/>
        <v>00:17:43.840</v>
      </c>
      <c r="H328" s="2">
        <f t="shared" ca="1" si="49"/>
        <v>9.2592592592574685E-6</v>
      </c>
      <c r="I328">
        <f t="shared" ca="1" si="50"/>
        <v>5</v>
      </c>
      <c r="J328" s="2">
        <f t="shared" ca="1" si="51"/>
        <v>1.8518518518514938E-6</v>
      </c>
      <c r="K328">
        <f ca="1">MATCH(ROW(),sub!D:D,0)</f>
        <v>114</v>
      </c>
      <c r="L328" t="b">
        <f t="shared" ca="1" si="52"/>
        <v>1</v>
      </c>
      <c r="M328" s="2">
        <f t="shared" ca="1" si="53"/>
        <v>1.8518518518514938E-6</v>
      </c>
    </row>
    <row r="329" spans="1:13" x14ac:dyDescent="0.3">
      <c r="A329">
        <f ca="1">OFFSET(srt_raw!$A$1,(ROW()-1)*4+COLUMN()-1,0)</f>
        <v>329</v>
      </c>
      <c r="B329" t="str">
        <f ca="1">OFFSET(srt_raw!$A$1,(ROW()-1)*4+COLUMN()-1,0)</f>
        <v>00:17:43,840 --&gt; 00:17:49,080</v>
      </c>
      <c r="C329" t="str">
        <f ca="1">OFFSET(srt_raw!$A$1,(ROW()-1)*4+COLUMN()-1,0)</f>
        <v>如果有一个多项式QX满足QXPX等于一modFX，</v>
      </c>
      <c r="D329" t="str">
        <f t="shared" ca="1" si="45"/>
        <v>00:17:43,840</v>
      </c>
      <c r="E329" t="str">
        <f t="shared" ca="1" si="46"/>
        <v>00:17:49,080</v>
      </c>
      <c r="F329" s="5" t="str">
        <f t="shared" ca="1" si="47"/>
        <v>00:17:43.840</v>
      </c>
      <c r="G329" s="1" t="str">
        <f t="shared" ca="1" si="48"/>
        <v>00:17:49.080</v>
      </c>
      <c r="H329" s="2">
        <f t="shared" ca="1" si="49"/>
        <v>6.0648148148148215E-5</v>
      </c>
      <c r="I329">
        <f t="shared" ca="1" si="50"/>
        <v>25</v>
      </c>
      <c r="J329" s="2">
        <f t="shared" ca="1" si="51"/>
        <v>2.4259259259259284E-6</v>
      </c>
      <c r="K329" t="e">
        <f ca="1">MATCH(ROW(),sub!D:D,0)</f>
        <v>#N/A</v>
      </c>
      <c r="L329" t="b">
        <f t="shared" ca="1" si="52"/>
        <v>1</v>
      </c>
      <c r="M329" s="2">
        <f t="shared" ca="1" si="53"/>
        <v>2.4259259259259284E-6</v>
      </c>
    </row>
    <row r="330" spans="1:13" x14ac:dyDescent="0.3">
      <c r="A330">
        <f ca="1">OFFSET(srt_raw!$A$1,(ROW()-1)*4+COLUMN()-1,0)</f>
        <v>330</v>
      </c>
      <c r="B330" t="str">
        <f ca="1">OFFSET(srt_raw!$A$1,(ROW()-1)*4+COLUMN()-1,0)</f>
        <v>00:17:49,600 --&gt; 00:17:55,000</v>
      </c>
      <c r="C330" t="str">
        <f ca="1">OFFSET(srt_raw!$A$1,(ROW()-1)*4+COLUMN()-1,0)</f>
        <v>这里的FX就是前面提到的多项式FNX，</v>
      </c>
      <c r="D330" t="str">
        <f t="shared" ca="1" si="45"/>
        <v>00:17:49,600</v>
      </c>
      <c r="E330" t="str">
        <f t="shared" ca="1" si="46"/>
        <v>00:17:55,000</v>
      </c>
      <c r="F330" s="5" t="str">
        <f t="shared" ca="1" si="47"/>
        <v>00:17:49.600</v>
      </c>
      <c r="G330" s="1" t="str">
        <f t="shared" ca="1" si="48"/>
        <v>00:17:55.000</v>
      </c>
      <c r="H330" s="2">
        <f t="shared" ca="1" si="49"/>
        <v>6.2500000000000056E-5</v>
      </c>
      <c r="I330">
        <f t="shared" ca="1" si="50"/>
        <v>19</v>
      </c>
      <c r="J330" s="2">
        <f t="shared" ca="1" si="51"/>
        <v>3.289473684210529E-6</v>
      </c>
      <c r="K330" t="e">
        <f ca="1">MATCH(ROW(),sub!D:D,0)</f>
        <v>#N/A</v>
      </c>
      <c r="L330" t="b">
        <f t="shared" ca="1" si="52"/>
        <v>0</v>
      </c>
      <c r="M330" s="2">
        <f t="shared" ca="1" si="53"/>
        <v>0</v>
      </c>
    </row>
    <row r="331" spans="1:13" x14ac:dyDescent="0.3">
      <c r="A331">
        <f ca="1">OFFSET(srt_raw!$A$1,(ROW()-1)*4+COLUMN()-1,0)</f>
        <v>331</v>
      </c>
      <c r="B331" t="str">
        <f ca="1">OFFSET(srt_raw!$A$1,(ROW()-1)*4+COLUMN()-1,0)</f>
        <v>00:17:55,000 --&gt; 00:18:00,320</v>
      </c>
      <c r="C331" t="str">
        <f ca="1">OFFSET(srt_raw!$A$1,(ROW()-1)*4+COLUMN()-1,0)</f>
        <v>那么将式子两边同时乘以QH便有X等于QHY，</v>
      </c>
      <c r="D331" t="str">
        <f t="shared" ca="1" si="45"/>
        <v>00:17:55,000</v>
      </c>
      <c r="E331" t="str">
        <f t="shared" ca="1" si="46"/>
        <v>00:18:00,320</v>
      </c>
      <c r="F331" s="5" t="str">
        <f t="shared" ca="1" si="47"/>
        <v>00:17:55.000</v>
      </c>
      <c r="G331" s="1" t="str">
        <f t="shared" ca="1" si="48"/>
        <v>00:18:00.320</v>
      </c>
      <c r="H331" s="2">
        <f t="shared" ca="1" si="49"/>
        <v>6.1574074074073268E-5</v>
      </c>
      <c r="I331">
        <f t="shared" ca="1" si="50"/>
        <v>22</v>
      </c>
      <c r="J331" s="2">
        <f t="shared" ca="1" si="51"/>
        <v>2.7988215488215123E-6</v>
      </c>
      <c r="K331">
        <f ca="1">MATCH(ROW(),sub!D:D,0)</f>
        <v>115</v>
      </c>
      <c r="L331" t="b">
        <f t="shared" ca="1" si="52"/>
        <v>1</v>
      </c>
      <c r="M331" s="2">
        <f t="shared" ca="1" si="53"/>
        <v>2.7988215488215123E-6</v>
      </c>
    </row>
    <row r="332" spans="1:13" x14ac:dyDescent="0.3">
      <c r="A332">
        <f ca="1">OFFSET(srt_raw!$A$1,(ROW()-1)*4+COLUMN()-1,0)</f>
        <v>332</v>
      </c>
      <c r="B332" t="str">
        <f ca="1">OFFSET(srt_raw!$A$1,(ROW()-1)*4+COLUMN()-1,0)</f>
        <v>00:18:00,800 --&gt; 00:18:03,000</v>
      </c>
      <c r="C332" t="str">
        <f ca="1">OFFSET(srt_raw!$A$1,(ROW()-1)*4+COLUMN()-1,0)</f>
        <v>这样我们就能立即求出X，</v>
      </c>
      <c r="D332" t="str">
        <f t="shared" ca="1" si="45"/>
        <v>00:18:00,800</v>
      </c>
      <c r="E332" t="str">
        <f t="shared" ca="1" si="46"/>
        <v>00:18:03,000</v>
      </c>
      <c r="F332" s="5" t="str">
        <f t="shared" ca="1" si="47"/>
        <v>00:18:00.800</v>
      </c>
      <c r="G332" s="1" t="str">
        <f t="shared" ca="1" si="48"/>
        <v>00:18:03.000</v>
      </c>
      <c r="H332" s="2">
        <f t="shared" ca="1" si="49"/>
        <v>2.5462962962963243E-5</v>
      </c>
      <c r="I332">
        <f t="shared" ca="1" si="50"/>
        <v>12</v>
      </c>
      <c r="J332" s="2">
        <f t="shared" ca="1" si="51"/>
        <v>2.1219135802469369E-6</v>
      </c>
      <c r="K332" t="e">
        <f ca="1">MATCH(ROW(),sub!D:D,0)</f>
        <v>#N/A</v>
      </c>
      <c r="L332" t="b">
        <f t="shared" ca="1" si="52"/>
        <v>0</v>
      </c>
      <c r="M332" s="2">
        <f t="shared" ca="1" si="53"/>
        <v>0</v>
      </c>
    </row>
    <row r="333" spans="1:13" x14ac:dyDescent="0.3">
      <c r="A333">
        <f ca="1">OFFSET(srt_raw!$A$1,(ROW()-1)*4+COLUMN()-1,0)</f>
        <v>333</v>
      </c>
      <c r="B333" t="str">
        <f ca="1">OFFSET(srt_raw!$A$1,(ROW()-1)*4+COLUMN()-1,0)</f>
        <v>00:18:04,480 --&gt; 00:18:08,880</v>
      </c>
      <c r="C333" t="str">
        <f ca="1">OFFSET(srt_raw!$A$1,(ROW()-1)*4+COLUMN()-1,0)</f>
        <v>我们把这样的多项式QX称之为PX的逆多项式，</v>
      </c>
      <c r="D333" t="str">
        <f t="shared" ca="1" si="45"/>
        <v>00:18:04,480</v>
      </c>
      <c r="E333" t="str">
        <f t="shared" ca="1" si="46"/>
        <v>00:18:08,880</v>
      </c>
      <c r="F333" s="5" t="str">
        <f t="shared" ca="1" si="47"/>
        <v>00:18:04.480</v>
      </c>
      <c r="G333" s="1" t="str">
        <f t="shared" ca="1" si="48"/>
        <v>00:18:08.880</v>
      </c>
      <c r="H333" s="2">
        <f t="shared" ca="1" si="49"/>
        <v>5.0925925925926485E-5</v>
      </c>
      <c r="I333">
        <f t="shared" ca="1" si="50"/>
        <v>22</v>
      </c>
      <c r="J333" s="2">
        <f t="shared" ca="1" si="51"/>
        <v>2.3148148148148402E-6</v>
      </c>
      <c r="K333">
        <f ca="1">MATCH(ROW(),sub!D:D,0)</f>
        <v>116</v>
      </c>
      <c r="L333" t="b">
        <f t="shared" ca="1" si="52"/>
        <v>1</v>
      </c>
      <c r="M333" s="2">
        <f t="shared" ca="1" si="53"/>
        <v>2.3148148148148402E-6</v>
      </c>
    </row>
    <row r="334" spans="1:13" x14ac:dyDescent="0.3">
      <c r="A334">
        <f ca="1">OFFSET(srt_raw!$A$1,(ROW()-1)*4+COLUMN()-1,0)</f>
        <v>334</v>
      </c>
      <c r="B334" t="str">
        <f ca="1">OFFSET(srt_raw!$A$1,(ROW()-1)*4+COLUMN()-1,0)</f>
        <v>00:18:09,360 --&gt; 00:18:12,320</v>
      </c>
      <c r="C334" t="str">
        <f ca="1">OFFSET(srt_raw!$A$1,(ROW()-1)*4+COLUMN()-1,0)</f>
        <v>那么如何求出逆多项式QX呢？</v>
      </c>
      <c r="D334" t="str">
        <f t="shared" ca="1" si="45"/>
        <v>00:18:09,360</v>
      </c>
      <c r="E334" t="str">
        <f t="shared" ca="1" si="46"/>
        <v>00:18:12,320</v>
      </c>
      <c r="F334" s="5" t="str">
        <f t="shared" ca="1" si="47"/>
        <v>00:18:09.360</v>
      </c>
      <c r="G334" s="1" t="str">
        <f t="shared" ca="1" si="48"/>
        <v>00:18:12.320</v>
      </c>
      <c r="H334" s="2">
        <f t="shared" ca="1" si="49"/>
        <v>3.4259259259259919E-5</v>
      </c>
      <c r="I334">
        <f t="shared" ca="1" si="50"/>
        <v>14</v>
      </c>
      <c r="J334" s="2">
        <f t="shared" ca="1" si="51"/>
        <v>2.4470899470899942E-6</v>
      </c>
      <c r="K334" t="e">
        <f ca="1">MATCH(ROW(),sub!D:D,0)</f>
        <v>#N/A</v>
      </c>
      <c r="L334" t="b">
        <f t="shared" ca="1" si="52"/>
        <v>0</v>
      </c>
      <c r="M334" s="2">
        <f t="shared" ca="1" si="53"/>
        <v>0</v>
      </c>
    </row>
    <row r="335" spans="1:13" x14ac:dyDescent="0.3">
      <c r="A335">
        <f ca="1">OFFSET(srt_raw!$A$1,(ROW()-1)*4+COLUMN()-1,0)</f>
        <v>335</v>
      </c>
      <c r="B335" t="str">
        <f ca="1">OFFSET(srt_raw!$A$1,(ROW()-1)*4+COLUMN()-1,0)</f>
        <v>00:18:13,680 --&gt; 00:18:16,280</v>
      </c>
      <c r="C335" t="str">
        <f ca="1">OFFSET(srt_raw!$A$1,(ROW()-1)*4+COLUMN()-1,0)</f>
        <v>我们可以使用扩展欧几里德算法，</v>
      </c>
      <c r="D335" t="str">
        <f t="shared" ca="1" si="45"/>
        <v>00:18:13,680</v>
      </c>
      <c r="E335" t="str">
        <f t="shared" ca="1" si="46"/>
        <v>00:18:16,280</v>
      </c>
      <c r="F335" s="5" t="str">
        <f t="shared" ca="1" si="47"/>
        <v>00:18:13.680</v>
      </c>
      <c r="G335" s="1" t="str">
        <f t="shared" ca="1" si="48"/>
        <v>00:18:16.280</v>
      </c>
      <c r="H335" s="2">
        <f t="shared" ca="1" si="49"/>
        <v>3.0092592592591977E-5</v>
      </c>
      <c r="I335">
        <f t="shared" ca="1" si="50"/>
        <v>15</v>
      </c>
      <c r="J335" s="2">
        <f t="shared" ca="1" si="51"/>
        <v>2.0061728395061316E-6</v>
      </c>
      <c r="K335">
        <f ca="1">MATCH(ROW(),sub!D:D,0)</f>
        <v>117</v>
      </c>
      <c r="L335" t="b">
        <f t="shared" ca="1" si="52"/>
        <v>1</v>
      </c>
      <c r="M335" s="2">
        <f t="shared" ca="1" si="53"/>
        <v>2.0061728395061316E-6</v>
      </c>
    </row>
    <row r="336" spans="1:13" x14ac:dyDescent="0.3">
      <c r="A336">
        <f ca="1">OFFSET(srt_raw!$A$1,(ROW()-1)*4+COLUMN()-1,0)</f>
        <v>336</v>
      </c>
      <c r="B336" t="str">
        <f ca="1">OFFSET(srt_raw!$A$1,(ROW()-1)*4+COLUMN()-1,0)</f>
        <v>00:18:16,280 --&gt; 00:18:19,360</v>
      </c>
      <c r="C336" t="str">
        <f ca="1">OFFSET(srt_raw!$A$1,(ROW()-1)*4+COLUMN()-1,0)</f>
        <v>通过FX和PX来求QX。</v>
      </c>
      <c r="D336" t="str">
        <f t="shared" ca="1" si="45"/>
        <v>00:18:16,280</v>
      </c>
      <c r="E336" t="str">
        <f t="shared" ca="1" si="46"/>
        <v>00:18:19,360</v>
      </c>
      <c r="F336" s="5" t="str">
        <f t="shared" ca="1" si="47"/>
        <v>00:18:16.280</v>
      </c>
      <c r="G336" s="1" t="str">
        <f t="shared" ca="1" si="48"/>
        <v>00:18:19.360</v>
      </c>
      <c r="H336" s="2">
        <f t="shared" ca="1" si="49"/>
        <v>3.5648148148147499E-5</v>
      </c>
      <c r="I336">
        <f t="shared" ca="1" si="50"/>
        <v>12</v>
      </c>
      <c r="J336" s="2">
        <f t="shared" ca="1" si="51"/>
        <v>2.9706790123456249E-6</v>
      </c>
      <c r="K336" t="e">
        <f ca="1">MATCH(ROW(),sub!D:D,0)</f>
        <v>#N/A</v>
      </c>
      <c r="L336" t="b">
        <f t="shared" ca="1" si="52"/>
        <v>0</v>
      </c>
      <c r="M336" s="2">
        <f t="shared" ca="1" si="53"/>
        <v>0</v>
      </c>
    </row>
    <row r="337" spans="1:13" x14ac:dyDescent="0.3">
      <c r="A337">
        <f ca="1">OFFSET(srt_raw!$A$1,(ROW()-1)*4+COLUMN()-1,0)</f>
        <v>337</v>
      </c>
      <c r="B337" t="str">
        <f ca="1">OFFSET(srt_raw!$A$1,(ROW()-1)*4+COLUMN()-1,0)</f>
        <v>00:18:21,040 --&gt; 00:18:26,360</v>
      </c>
      <c r="C337" t="str">
        <f ca="1">OFFSET(srt_raw!$A$1,(ROW()-1)*4+COLUMN()-1,0)</f>
        <v>这里我们同时定义一个零多项式OX和单位多项式EX，</v>
      </c>
      <c r="D337" t="str">
        <f t="shared" ca="1" si="45"/>
        <v>00:18:21,040</v>
      </c>
      <c r="E337" t="str">
        <f t="shared" ca="1" si="46"/>
        <v>00:18:26,360</v>
      </c>
      <c r="F337" s="5" t="str">
        <f t="shared" ca="1" si="47"/>
        <v>00:18:21.040</v>
      </c>
      <c r="G337" s="1" t="str">
        <f t="shared" ca="1" si="48"/>
        <v>00:18:26.360</v>
      </c>
      <c r="H337" s="2">
        <f t="shared" ca="1" si="49"/>
        <v>6.1574074074073268E-5</v>
      </c>
      <c r="I337">
        <f t="shared" ca="1" si="50"/>
        <v>25</v>
      </c>
      <c r="J337" s="2">
        <f t="shared" ca="1" si="51"/>
        <v>2.4629629629629308E-6</v>
      </c>
      <c r="K337">
        <f ca="1">MATCH(ROW(),sub!D:D,0)</f>
        <v>118</v>
      </c>
      <c r="L337" t="b">
        <f t="shared" ca="1" si="52"/>
        <v>1</v>
      </c>
      <c r="M337" s="2">
        <f t="shared" ca="1" si="53"/>
        <v>2.4629629629629308E-6</v>
      </c>
    </row>
    <row r="338" spans="1:13" x14ac:dyDescent="0.3">
      <c r="A338">
        <f ca="1">OFFSET(srt_raw!$A$1,(ROW()-1)*4+COLUMN()-1,0)</f>
        <v>338</v>
      </c>
      <c r="B338" t="str">
        <f ca="1">OFFSET(srt_raw!$A$1,(ROW()-1)*4+COLUMN()-1,0)</f>
        <v>00:18:26,360 --&gt; 00:18:29,120</v>
      </c>
      <c r="C338" t="str">
        <f ca="1">OFFSET(srt_raw!$A$1,(ROW()-1)*4+COLUMN()-1,0)</f>
        <v>在对FX和PX操作的同时，</v>
      </c>
      <c r="D338" t="str">
        <f t="shared" ca="1" si="45"/>
        <v>00:18:26,360</v>
      </c>
      <c r="E338" t="str">
        <f t="shared" ca="1" si="46"/>
        <v>00:18:29,120</v>
      </c>
      <c r="F338" s="5" t="str">
        <f t="shared" ca="1" si="47"/>
        <v>00:18:26.360</v>
      </c>
      <c r="G338" s="1" t="str">
        <f t="shared" ca="1" si="48"/>
        <v>00:18:29.120</v>
      </c>
      <c r="H338" s="2">
        <f t="shared" ca="1" si="49"/>
        <v>3.1944444444443817E-5</v>
      </c>
      <c r="I338">
        <f t="shared" ca="1" si="50"/>
        <v>13</v>
      </c>
      <c r="J338" s="2">
        <f t="shared" ca="1" si="51"/>
        <v>2.4572649572649091E-6</v>
      </c>
      <c r="K338" t="e">
        <f ca="1">MATCH(ROW(),sub!D:D,0)</f>
        <v>#N/A</v>
      </c>
      <c r="L338" t="b">
        <f t="shared" ca="1" si="52"/>
        <v>1</v>
      </c>
      <c r="M338" s="2">
        <f t="shared" ca="1" si="53"/>
        <v>2.4572649572649091E-6</v>
      </c>
    </row>
    <row r="339" spans="1:13" x14ac:dyDescent="0.3">
      <c r="A339">
        <f ca="1">OFFSET(srt_raw!$A$1,(ROW()-1)*4+COLUMN()-1,0)</f>
        <v>339</v>
      </c>
      <c r="B339" t="str">
        <f ca="1">OFFSET(srt_raw!$A$1,(ROW()-1)*4+COLUMN()-1,0)</f>
        <v>00:18:29,120 --&gt; 00:18:33,560</v>
      </c>
      <c r="C339" t="str">
        <f ca="1">OFFSET(srt_raw!$A$1,(ROW()-1)*4+COLUMN()-1,0)</f>
        <v>对OX和EX做相同的操作。</v>
      </c>
      <c r="D339" t="str">
        <f t="shared" ca="1" si="45"/>
        <v>00:18:29,120</v>
      </c>
      <c r="E339" t="str">
        <f t="shared" ca="1" si="46"/>
        <v>00:18:33,560</v>
      </c>
      <c r="F339" s="5" t="str">
        <f t="shared" ca="1" si="47"/>
        <v>00:18:29.120</v>
      </c>
      <c r="G339" s="1" t="str">
        <f t="shared" ca="1" si="48"/>
        <v>00:18:33.560</v>
      </c>
      <c r="H339" s="2">
        <f t="shared" ca="1" si="49"/>
        <v>5.1388888888889012E-5</v>
      </c>
      <c r="I339">
        <f t="shared" ca="1" si="50"/>
        <v>13</v>
      </c>
      <c r="J339" s="2">
        <f t="shared" ca="1" si="51"/>
        <v>3.9529914529914622E-6</v>
      </c>
      <c r="K339" t="e">
        <f ca="1">MATCH(ROW(),sub!D:D,0)</f>
        <v>#N/A</v>
      </c>
      <c r="L339" t="b">
        <f t="shared" ca="1" si="52"/>
        <v>0</v>
      </c>
      <c r="M339" s="2">
        <f t="shared" ca="1" si="53"/>
        <v>0</v>
      </c>
    </row>
    <row r="340" spans="1:13" x14ac:dyDescent="0.3">
      <c r="A340">
        <f ca="1">OFFSET(srt_raw!$A$1,(ROW()-1)*4+COLUMN()-1,0)</f>
        <v>340</v>
      </c>
      <c r="B340" t="str">
        <f ca="1">OFFSET(srt_raw!$A$1,(ROW()-1)*4+COLUMN()-1,0)</f>
        <v>00:18:33,560 --&gt; 00:18:34,760</v>
      </c>
      <c r="C340" t="str">
        <f ca="1">OFFSET(srt_raw!$A$1,(ROW()-1)*4+COLUMN()-1,0)</f>
        <v>类似矩阵求逆，</v>
      </c>
      <c r="D340" t="str">
        <f t="shared" ca="1" si="45"/>
        <v>00:18:33,560</v>
      </c>
      <c r="E340" t="str">
        <f t="shared" ca="1" si="46"/>
        <v>00:18:34,760</v>
      </c>
      <c r="F340" s="5" t="str">
        <f t="shared" ca="1" si="47"/>
        <v>00:18:33.560</v>
      </c>
      <c r="G340" s="1" t="str">
        <f t="shared" ca="1" si="48"/>
        <v>00:18:34.760</v>
      </c>
      <c r="H340" s="2">
        <f t="shared" ca="1" si="49"/>
        <v>1.3888888888889672E-5</v>
      </c>
      <c r="I340">
        <f t="shared" ca="1" si="50"/>
        <v>7</v>
      </c>
      <c r="J340" s="2">
        <f t="shared" ca="1" si="51"/>
        <v>1.9841269841270958E-6</v>
      </c>
      <c r="K340">
        <f ca="1">MATCH(ROW(),sub!D:D,0)</f>
        <v>119</v>
      </c>
      <c r="L340" t="b">
        <f t="shared" ca="1" si="52"/>
        <v>1</v>
      </c>
      <c r="M340" s="2">
        <f t="shared" ca="1" si="53"/>
        <v>1.9841269841270958E-6</v>
      </c>
    </row>
    <row r="341" spans="1:13" x14ac:dyDescent="0.3">
      <c r="A341">
        <f ca="1">OFFSET(srt_raw!$A$1,(ROW()-1)*4+COLUMN()-1,0)</f>
        <v>341</v>
      </c>
      <c r="B341" t="str">
        <f ca="1">OFFSET(srt_raw!$A$1,(ROW()-1)*4+COLUMN()-1,0)</f>
        <v>00:18:34,760 --&gt; 00:18:40,360</v>
      </c>
      <c r="C341" t="str">
        <f ca="1">OFFSET(srt_raw!$A$1,(ROW()-1)*4+COLUMN()-1,0)</f>
        <v>我们的目标是将FX变为零多项式PX变为单位多项式。</v>
      </c>
      <c r="D341" t="str">
        <f t="shared" ca="1" si="45"/>
        <v>00:18:34,760</v>
      </c>
      <c r="E341" t="str">
        <f t="shared" ca="1" si="46"/>
        <v>00:18:40,360</v>
      </c>
      <c r="F341" s="5" t="str">
        <f t="shared" ca="1" si="47"/>
        <v>00:18:34.760</v>
      </c>
      <c r="G341" s="1" t="str">
        <f t="shared" ca="1" si="48"/>
        <v>00:18:40.360</v>
      </c>
      <c r="H341" s="2">
        <f t="shared" ca="1" si="49"/>
        <v>6.4814814814814423E-5</v>
      </c>
      <c r="I341">
        <f t="shared" ca="1" si="50"/>
        <v>25</v>
      </c>
      <c r="J341" s="2">
        <f t="shared" ca="1" si="51"/>
        <v>2.5925925925925768E-6</v>
      </c>
      <c r="K341" t="e">
        <f ca="1">MATCH(ROW(),sub!D:D,0)</f>
        <v>#N/A</v>
      </c>
      <c r="L341" t="b">
        <f t="shared" ca="1" si="52"/>
        <v>0</v>
      </c>
      <c r="M341" s="2">
        <f t="shared" ca="1" si="53"/>
        <v>0</v>
      </c>
    </row>
    <row r="342" spans="1:13" x14ac:dyDescent="0.3">
      <c r="A342">
        <f ca="1">OFFSET(srt_raw!$A$1,(ROW()-1)*4+COLUMN()-1,0)</f>
        <v>342</v>
      </c>
      <c r="B342" t="str">
        <f ca="1">OFFSET(srt_raw!$A$1,(ROW()-1)*4+COLUMN()-1,0)</f>
        <v>00:18:41,880 --&gt; 00:18:43,600</v>
      </c>
      <c r="C342" t="str">
        <f ca="1">OFFSET(srt_raw!$A$1,(ROW()-1)*4+COLUMN()-1,0)</f>
        <v>我们使用辗转相减法，</v>
      </c>
      <c r="D342" t="str">
        <f t="shared" ca="1" si="45"/>
        <v>00:18:41,880</v>
      </c>
      <c r="E342" t="str">
        <f t="shared" ca="1" si="46"/>
        <v>00:18:43,600</v>
      </c>
      <c r="F342" s="5" t="str">
        <f t="shared" ca="1" si="47"/>
        <v>00:18:41.880</v>
      </c>
      <c r="G342" s="1" t="str">
        <f t="shared" ca="1" si="48"/>
        <v>00:18:43.600</v>
      </c>
      <c r="H342" s="2">
        <f t="shared" ca="1" si="49"/>
        <v>1.9907407407404251E-5</v>
      </c>
      <c r="I342">
        <f t="shared" ca="1" si="50"/>
        <v>10</v>
      </c>
      <c r="J342" s="2">
        <f t="shared" ca="1" si="51"/>
        <v>1.9907407407404252E-6</v>
      </c>
      <c r="K342">
        <f ca="1">MATCH(ROW(),sub!D:D,0)</f>
        <v>120</v>
      </c>
      <c r="L342" t="b">
        <f t="shared" ca="1" si="52"/>
        <v>1</v>
      </c>
      <c r="M342" s="2">
        <f t="shared" ca="1" si="53"/>
        <v>1.9907407407404252E-6</v>
      </c>
    </row>
    <row r="343" spans="1:13" x14ac:dyDescent="0.3">
      <c r="A343">
        <f ca="1">OFFSET(srt_raw!$A$1,(ROW()-1)*4+COLUMN()-1,0)</f>
        <v>343</v>
      </c>
      <c r="B343" t="str">
        <f ca="1">OFFSET(srt_raw!$A$1,(ROW()-1)*4+COLUMN()-1,0)</f>
        <v>00:18:43,600 --&gt; 00:18:47,920</v>
      </c>
      <c r="C343" t="str">
        <f ca="1">OFFSET(srt_raw!$A$1,(ROW()-1)*4+COLUMN()-1,0)</f>
        <v>将PX右移使其最高次项和FX对齐，</v>
      </c>
      <c r="D343" t="str">
        <f t="shared" ca="1" si="45"/>
        <v>00:18:43,600</v>
      </c>
      <c r="E343" t="str">
        <f t="shared" ca="1" si="46"/>
        <v>00:18:47,920</v>
      </c>
      <c r="F343" s="5" t="str">
        <f t="shared" ca="1" si="47"/>
        <v>00:18:43.600</v>
      </c>
      <c r="G343" s="1" t="str">
        <f t="shared" ca="1" si="48"/>
        <v>00:18:47.920</v>
      </c>
      <c r="H343" s="2">
        <f t="shared" ca="1" si="49"/>
        <v>5.0000000000003167E-5</v>
      </c>
      <c r="I343">
        <f t="shared" ca="1" si="50"/>
        <v>17</v>
      </c>
      <c r="J343" s="2">
        <f t="shared" ca="1" si="51"/>
        <v>2.9411764705884214E-6</v>
      </c>
      <c r="K343" t="e">
        <f ca="1">MATCH(ROW(),sub!D:D,0)</f>
        <v>#N/A</v>
      </c>
      <c r="L343" t="b">
        <f t="shared" ca="1" si="52"/>
        <v>1</v>
      </c>
      <c r="M343" s="2">
        <f t="shared" ca="1" si="53"/>
        <v>2.9411764705884214E-6</v>
      </c>
    </row>
    <row r="344" spans="1:13" x14ac:dyDescent="0.3">
      <c r="A344">
        <f ca="1">OFFSET(srt_raw!$A$1,(ROW()-1)*4+COLUMN()-1,0)</f>
        <v>344</v>
      </c>
      <c r="B344" t="str">
        <f ca="1">OFFSET(srt_raw!$A$1,(ROW()-1)*4+COLUMN()-1,0)</f>
        <v>00:18:47,920 --&gt; 00:18:49,840</v>
      </c>
      <c r="C344" t="str">
        <f ca="1">OFFSET(srt_raw!$A$1,(ROW()-1)*4+COLUMN()-1,0)</f>
        <v>然后叠加到FX上，</v>
      </c>
      <c r="D344" t="str">
        <f t="shared" ca="1" si="45"/>
        <v>00:18:47,920</v>
      </c>
      <c r="E344" t="str">
        <f t="shared" ca="1" si="46"/>
        <v>00:18:49,840</v>
      </c>
      <c r="F344" s="5" t="str">
        <f t="shared" ca="1" si="47"/>
        <v>00:18:47.920</v>
      </c>
      <c r="G344" s="1" t="str">
        <f t="shared" ca="1" si="48"/>
        <v>00:18:49.840</v>
      </c>
      <c r="H344" s="2">
        <f t="shared" ca="1" si="49"/>
        <v>2.2222222222220353E-5</v>
      </c>
      <c r="I344">
        <f t="shared" ca="1" si="50"/>
        <v>9</v>
      </c>
      <c r="J344" s="2">
        <f t="shared" ca="1" si="51"/>
        <v>2.4691358024689283E-6</v>
      </c>
      <c r="K344" t="e">
        <f ca="1">MATCH(ROW(),sub!D:D,0)</f>
        <v>#N/A</v>
      </c>
      <c r="L344" t="b">
        <f t="shared" ca="1" si="52"/>
        <v>1</v>
      </c>
      <c r="M344" s="2">
        <f t="shared" ca="1" si="53"/>
        <v>2.4691358024689283E-6</v>
      </c>
    </row>
    <row r="345" spans="1:13" x14ac:dyDescent="0.3">
      <c r="A345">
        <f ca="1">OFFSET(srt_raw!$A$1,(ROW()-1)*4+COLUMN()-1,0)</f>
        <v>345</v>
      </c>
      <c r="B345" t="str">
        <f ca="1">OFFSET(srt_raw!$A$1,(ROW()-1)*4+COLUMN()-1,0)</f>
        <v>00:18:49,840 --&gt; 00:18:53,680</v>
      </c>
      <c r="C345" t="str">
        <f ca="1">OFFSET(srt_raw!$A$1,(ROW()-1)*4+COLUMN()-1,0)</f>
        <v>从而消去FX的最高次项。</v>
      </c>
      <c r="D345" t="str">
        <f t="shared" ca="1" si="45"/>
        <v>00:18:49,840</v>
      </c>
      <c r="E345" t="str">
        <f t="shared" ca="1" si="46"/>
        <v>00:18:53,680</v>
      </c>
      <c r="F345" s="5" t="str">
        <f t="shared" ca="1" si="47"/>
        <v>00:18:49.840</v>
      </c>
      <c r="G345" s="1" t="str">
        <f t="shared" ca="1" si="48"/>
        <v>00:18:53.680</v>
      </c>
      <c r="H345" s="2">
        <f t="shared" ca="1" si="49"/>
        <v>4.444444444444591E-5</v>
      </c>
      <c r="I345">
        <f t="shared" ca="1" si="50"/>
        <v>12</v>
      </c>
      <c r="J345" s="2">
        <f t="shared" ca="1" si="51"/>
        <v>3.7037037037038257E-6</v>
      </c>
      <c r="K345" t="e">
        <f ca="1">MATCH(ROW(),sub!D:D,0)</f>
        <v>#N/A</v>
      </c>
      <c r="L345" t="b">
        <f t="shared" ca="1" si="52"/>
        <v>0</v>
      </c>
      <c r="M345" s="2">
        <f t="shared" ca="1" si="53"/>
        <v>0</v>
      </c>
    </row>
    <row r="346" spans="1:13" x14ac:dyDescent="0.3">
      <c r="A346">
        <f ca="1">OFFSET(srt_raw!$A$1,(ROW()-1)*4+COLUMN()-1,0)</f>
        <v>346</v>
      </c>
      <c r="B346" t="str">
        <f ca="1">OFFSET(srt_raw!$A$1,(ROW()-1)*4+COLUMN()-1,0)</f>
        <v>00:18:53,680 --&gt; 00:18:54,320</v>
      </c>
      <c r="C346" t="str">
        <f ca="1">OFFSET(srt_raw!$A$1,(ROW()-1)*4+COLUMN()-1,0)</f>
        <v>叠加后，</v>
      </c>
      <c r="D346" t="str">
        <f t="shared" ca="1" si="45"/>
        <v>00:18:53,680</v>
      </c>
      <c r="E346" t="str">
        <f t="shared" ca="1" si="46"/>
        <v>00:18:54,320</v>
      </c>
      <c r="F346" s="5" t="str">
        <f t="shared" ca="1" si="47"/>
        <v>00:18:53.680</v>
      </c>
      <c r="G346" s="1" t="str">
        <f t="shared" ca="1" si="48"/>
        <v>00:18:54.320</v>
      </c>
      <c r="H346" s="2">
        <f t="shared" ca="1" si="49"/>
        <v>7.4074074074056279E-6</v>
      </c>
      <c r="I346">
        <f t="shared" ca="1" si="50"/>
        <v>4</v>
      </c>
      <c r="J346" s="2">
        <f t="shared" ca="1" si="51"/>
        <v>1.851851851851407E-6</v>
      </c>
      <c r="K346">
        <f ca="1">MATCH(ROW(),sub!D:D,0)</f>
        <v>121</v>
      </c>
      <c r="L346" t="b">
        <f t="shared" ca="1" si="52"/>
        <v>1</v>
      </c>
      <c r="M346" s="2">
        <f t="shared" ca="1" si="53"/>
        <v>1.851851851851407E-6</v>
      </c>
    </row>
    <row r="347" spans="1:13" x14ac:dyDescent="0.3">
      <c r="A347">
        <f ca="1">OFFSET(srt_raw!$A$1,(ROW()-1)*4+COLUMN()-1,0)</f>
        <v>347</v>
      </c>
      <c r="B347" t="str">
        <f ca="1">OFFSET(srt_raw!$A$1,(ROW()-1)*4+COLUMN()-1,0)</f>
        <v>00:18:54,320 --&gt; 00:18:58,080</v>
      </c>
      <c r="C347" t="str">
        <f ca="1">OFFSET(srt_raw!$A$1,(ROW()-1)*4+COLUMN()-1,0)</f>
        <v>如果FX的最高次数仍旧大于等于PX，</v>
      </c>
      <c r="D347" t="str">
        <f t="shared" ca="1" si="45"/>
        <v>00:18:54,320</v>
      </c>
      <c r="E347" t="str">
        <f t="shared" ca="1" si="46"/>
        <v>00:18:58,080</v>
      </c>
      <c r="F347" s="5" t="str">
        <f t="shared" ca="1" si="47"/>
        <v>00:18:54.320</v>
      </c>
      <c r="G347" s="1" t="str">
        <f t="shared" ca="1" si="48"/>
        <v>00:18:58.080</v>
      </c>
      <c r="H347" s="2">
        <f t="shared" ca="1" si="49"/>
        <v>4.3518518518517388E-5</v>
      </c>
      <c r="I347">
        <f t="shared" ca="1" si="50"/>
        <v>18</v>
      </c>
      <c r="J347" s="2">
        <f t="shared" ca="1" si="51"/>
        <v>2.4176954732509658E-6</v>
      </c>
      <c r="K347" t="e">
        <f ca="1">MATCH(ROW(),sub!D:D,0)</f>
        <v>#N/A</v>
      </c>
      <c r="L347" t="b">
        <f t="shared" ca="1" si="52"/>
        <v>1</v>
      </c>
      <c r="M347" s="2">
        <f t="shared" ca="1" si="53"/>
        <v>2.4176954732509658E-6</v>
      </c>
    </row>
    <row r="348" spans="1:13" x14ac:dyDescent="0.3">
      <c r="A348">
        <f ca="1">OFFSET(srt_raw!$A$1,(ROW()-1)*4+COLUMN()-1,0)</f>
        <v>348</v>
      </c>
      <c r="B348" t="str">
        <f ca="1">OFFSET(srt_raw!$A$1,(ROW()-1)*4+COLUMN()-1,0)</f>
        <v>00:18:58,080 --&gt; 00:19:02,920</v>
      </c>
      <c r="C348" t="str">
        <f ca="1">OFFSET(srt_raw!$A$1,(ROW()-1)*4+COLUMN()-1,0)</f>
        <v>则继续右移PX并叠加到FX上。</v>
      </c>
      <c r="D348" t="str">
        <f t="shared" ca="1" si="45"/>
        <v>00:18:58,080</v>
      </c>
      <c r="E348" t="str">
        <f t="shared" ca="1" si="46"/>
        <v>00:19:02,920</v>
      </c>
      <c r="F348" s="5" t="str">
        <f t="shared" ca="1" si="47"/>
        <v>00:18:58.080</v>
      </c>
      <c r="G348" s="1" t="str">
        <f t="shared" ca="1" si="48"/>
        <v>00:19:02.920</v>
      </c>
      <c r="H348" s="2">
        <f t="shared" ca="1" si="49"/>
        <v>5.6018518518521215E-5</v>
      </c>
      <c r="I348">
        <f t="shared" ca="1" si="50"/>
        <v>15</v>
      </c>
      <c r="J348" s="2">
        <f t="shared" ca="1" si="51"/>
        <v>3.7345679012347477E-6</v>
      </c>
      <c r="K348" t="e">
        <f ca="1">MATCH(ROW(),sub!D:D,0)</f>
        <v>#N/A</v>
      </c>
      <c r="L348" t="b">
        <f t="shared" ca="1" si="52"/>
        <v>0</v>
      </c>
      <c r="M348" s="2">
        <f t="shared" ca="1" si="53"/>
        <v>0</v>
      </c>
    </row>
    <row r="349" spans="1:13" x14ac:dyDescent="0.3">
      <c r="A349">
        <f ca="1">OFFSET(srt_raw!$A$1,(ROW()-1)*4+COLUMN()-1,0)</f>
        <v>349</v>
      </c>
      <c r="B349" t="str">
        <f ca="1">OFFSET(srt_raw!$A$1,(ROW()-1)*4+COLUMN()-1,0)</f>
        <v>00:19:02,920 --&gt; 00:19:03,440</v>
      </c>
      <c r="C349" t="str">
        <f ca="1">OFFSET(srt_raw!$A$1,(ROW()-1)*4+COLUMN()-1,0)</f>
        <v>否则，</v>
      </c>
      <c r="D349" t="str">
        <f t="shared" ca="1" si="45"/>
        <v>00:19:02,920</v>
      </c>
      <c r="E349" t="str">
        <f t="shared" ca="1" si="46"/>
        <v>00:19:03,440</v>
      </c>
      <c r="F349" s="5" t="str">
        <f t="shared" ca="1" si="47"/>
        <v>00:19:02.920</v>
      </c>
      <c r="G349" s="1" t="str">
        <f t="shared" ca="1" si="48"/>
        <v>00:19:03.440</v>
      </c>
      <c r="H349" s="2">
        <f t="shared" ca="1" si="49"/>
        <v>6.0185185185180484E-6</v>
      </c>
      <c r="I349">
        <f t="shared" ca="1" si="50"/>
        <v>3</v>
      </c>
      <c r="J349" s="2">
        <f t="shared" ca="1" si="51"/>
        <v>2.006172839506016E-6</v>
      </c>
      <c r="K349">
        <f ca="1">MATCH(ROW(),sub!D:D,0)</f>
        <v>122</v>
      </c>
      <c r="L349" t="b">
        <f t="shared" ca="1" si="52"/>
        <v>1</v>
      </c>
      <c r="M349" s="2">
        <f t="shared" ca="1" si="53"/>
        <v>2.006172839506016E-6</v>
      </c>
    </row>
    <row r="350" spans="1:13" x14ac:dyDescent="0.3">
      <c r="A350">
        <f ca="1">OFFSET(srt_raw!$A$1,(ROW()-1)*4+COLUMN()-1,0)</f>
        <v>350</v>
      </c>
      <c r="B350" t="str">
        <f ca="1">OFFSET(srt_raw!$A$1,(ROW()-1)*4+COLUMN()-1,0)</f>
        <v>00:19:03,440 --&gt; 00:19:06,480</v>
      </c>
      <c r="C350" t="str">
        <f ca="1">OFFSET(srt_raw!$A$1,(ROW()-1)*4+COLUMN()-1,0)</f>
        <v>当FX的最高次数小于PX时，</v>
      </c>
      <c r="D350" t="str">
        <f t="shared" ca="1" si="45"/>
        <v>00:19:03,440</v>
      </c>
      <c r="E350" t="str">
        <f t="shared" ca="1" si="46"/>
        <v>00:19:06,480</v>
      </c>
      <c r="F350" s="5" t="str">
        <f t="shared" ca="1" si="47"/>
        <v>00:19:03.440</v>
      </c>
      <c r="G350" s="1" t="str">
        <f t="shared" ca="1" si="48"/>
        <v>00:19:06.480</v>
      </c>
      <c r="H350" s="2">
        <f t="shared" ca="1" si="49"/>
        <v>3.5185185185184972E-5</v>
      </c>
      <c r="I350">
        <f t="shared" ca="1" si="50"/>
        <v>14</v>
      </c>
      <c r="J350" s="2">
        <f t="shared" ca="1" si="51"/>
        <v>2.5132275132274979E-6</v>
      </c>
      <c r="K350" t="e">
        <f ca="1">MATCH(ROW(),sub!D:D,0)</f>
        <v>#N/A</v>
      </c>
      <c r="L350" t="b">
        <f t="shared" ca="1" si="52"/>
        <v>1</v>
      </c>
      <c r="M350" s="2">
        <f t="shared" ca="1" si="53"/>
        <v>2.5132275132274979E-6</v>
      </c>
    </row>
    <row r="351" spans="1:13" x14ac:dyDescent="0.3">
      <c r="A351">
        <f ca="1">OFFSET(srt_raw!$A$1,(ROW()-1)*4+COLUMN()-1,0)</f>
        <v>351</v>
      </c>
      <c r="B351" t="str">
        <f ca="1">OFFSET(srt_raw!$A$1,(ROW()-1)*4+COLUMN()-1,0)</f>
        <v>00:19:06,480 --&gt; 00:19:08,640</v>
      </c>
      <c r="C351" t="str">
        <f ca="1">OFFSET(srt_raw!$A$1,(ROW()-1)*4+COLUMN()-1,0)</f>
        <v>将PX和FX互换。</v>
      </c>
      <c r="D351" t="str">
        <f t="shared" ca="1" si="45"/>
        <v>00:19:06,480</v>
      </c>
      <c r="E351" t="str">
        <f t="shared" ca="1" si="46"/>
        <v>00:19:08,640</v>
      </c>
      <c r="F351" s="5" t="str">
        <f t="shared" ca="1" si="47"/>
        <v>00:19:06.480</v>
      </c>
      <c r="G351" s="1" t="str">
        <f t="shared" ca="1" si="48"/>
        <v>00:19:08.640</v>
      </c>
      <c r="H351" s="2">
        <f t="shared" ca="1" si="49"/>
        <v>2.5000000000000716E-5</v>
      </c>
      <c r="I351">
        <f t="shared" ca="1" si="50"/>
        <v>9</v>
      </c>
      <c r="J351" s="2">
        <f t="shared" ca="1" si="51"/>
        <v>2.7777777777778575E-6</v>
      </c>
      <c r="K351" t="e">
        <f ca="1">MATCH(ROW(),sub!D:D,0)</f>
        <v>#N/A</v>
      </c>
      <c r="L351" t="b">
        <f t="shared" ca="1" si="52"/>
        <v>1</v>
      </c>
      <c r="M351" s="2">
        <f t="shared" ca="1" si="53"/>
        <v>2.7777777777778575E-6</v>
      </c>
    </row>
    <row r="352" spans="1:13" x14ac:dyDescent="0.3">
      <c r="A352">
        <f ca="1">OFFSET(srt_raw!$A$1,(ROW()-1)*4+COLUMN()-1,0)</f>
        <v>352</v>
      </c>
      <c r="B352" t="str">
        <f ca="1">OFFSET(srt_raw!$A$1,(ROW()-1)*4+COLUMN()-1,0)</f>
        <v>00:19:08,880 --&gt; 00:19:12,840</v>
      </c>
      <c r="C352" t="str">
        <f ca="1">OFFSET(srt_raw!$A$1,(ROW()-1)*4+COLUMN()-1,0)</f>
        <v>使得FX的最高次数始终大于或等于PX，</v>
      </c>
      <c r="D352" t="str">
        <f t="shared" ca="1" si="45"/>
        <v>00:19:08,880</v>
      </c>
      <c r="E352" t="str">
        <f t="shared" ca="1" si="46"/>
        <v>00:19:12,840</v>
      </c>
      <c r="F352" s="5" t="str">
        <f t="shared" ca="1" si="47"/>
        <v>00:19:08.880</v>
      </c>
      <c r="G352" s="1" t="str">
        <f t="shared" ca="1" si="48"/>
        <v>00:19:12.840</v>
      </c>
      <c r="H352" s="2">
        <f t="shared" ca="1" si="49"/>
        <v>4.583333333333002E-5</v>
      </c>
      <c r="I352">
        <f t="shared" ca="1" si="50"/>
        <v>19</v>
      </c>
      <c r="J352" s="2">
        <f t="shared" ca="1" si="51"/>
        <v>2.4122807017542116E-6</v>
      </c>
      <c r="K352" t="e">
        <f ca="1">MATCH(ROW(),sub!D:D,0)</f>
        <v>#N/A</v>
      </c>
      <c r="L352" t="b">
        <f t="shared" ca="1" si="52"/>
        <v>1</v>
      </c>
      <c r="M352" s="2">
        <f t="shared" ca="1" si="53"/>
        <v>2.4122807017542116E-6</v>
      </c>
    </row>
    <row r="353" spans="1:13" x14ac:dyDescent="0.3">
      <c r="A353">
        <f ca="1">OFFSET(srt_raw!$A$1,(ROW()-1)*4+COLUMN()-1,0)</f>
        <v>353</v>
      </c>
      <c r="B353" t="str">
        <f ca="1">OFFSET(srt_raw!$A$1,(ROW()-1)*4+COLUMN()-1,0)</f>
        <v>00:19:12,840 --&gt; 00:19:16,400</v>
      </c>
      <c r="C353" t="str">
        <f ca="1">OFFSET(srt_raw!$A$1,(ROW()-1)*4+COLUMN()-1,0)</f>
        <v>让叠加操作可以继续下去。</v>
      </c>
      <c r="D353" t="str">
        <f t="shared" ca="1" si="45"/>
        <v>00:19:12,840</v>
      </c>
      <c r="E353" t="str">
        <f t="shared" ca="1" si="46"/>
        <v>00:19:16,400</v>
      </c>
      <c r="F353" s="5" t="str">
        <f t="shared" ca="1" si="47"/>
        <v>00:19:12.840</v>
      </c>
      <c r="G353" s="1" t="str">
        <f t="shared" ca="1" si="48"/>
        <v>00:19:16.400</v>
      </c>
      <c r="H353" s="2">
        <f t="shared" ca="1" si="49"/>
        <v>4.120370370370649E-5</v>
      </c>
      <c r="I353">
        <f t="shared" ca="1" si="50"/>
        <v>12</v>
      </c>
      <c r="J353" s="2">
        <f t="shared" ca="1" si="51"/>
        <v>3.4336419753088743E-6</v>
      </c>
      <c r="K353" t="e">
        <f ca="1">MATCH(ROW(),sub!D:D,0)</f>
        <v>#N/A</v>
      </c>
      <c r="L353" t="b">
        <f t="shared" ca="1" si="52"/>
        <v>0</v>
      </c>
      <c r="M353" s="2">
        <f t="shared" ca="1" si="53"/>
        <v>0</v>
      </c>
    </row>
    <row r="354" spans="1:13" x14ac:dyDescent="0.3">
      <c r="A354">
        <f ca="1">OFFSET(srt_raw!$A$1,(ROW()-1)*4+COLUMN()-1,0)</f>
        <v>354</v>
      </c>
      <c r="B354" t="str">
        <f ca="1">OFFSET(srt_raw!$A$1,(ROW()-1)*4+COLUMN()-1,0)</f>
        <v>00:19:16,400 --&gt; 00:19:17,600</v>
      </c>
      <c r="C354" t="str">
        <f ca="1">OFFSET(srt_raw!$A$1,(ROW()-1)*4+COLUMN()-1,0)</f>
        <v>重复这样的操作，</v>
      </c>
      <c r="D354" t="str">
        <f t="shared" ca="1" si="45"/>
        <v>00:19:16,400</v>
      </c>
      <c r="E354" t="str">
        <f t="shared" ca="1" si="46"/>
        <v>00:19:17,600</v>
      </c>
      <c r="F354" s="5" t="str">
        <f t="shared" ca="1" si="47"/>
        <v>00:19:16.400</v>
      </c>
      <c r="G354" s="1" t="str">
        <f t="shared" ca="1" si="48"/>
        <v>00:19:17.600</v>
      </c>
      <c r="H354" s="2">
        <f t="shared" ca="1" si="49"/>
        <v>1.3888888888886203E-5</v>
      </c>
      <c r="I354">
        <f t="shared" ca="1" si="50"/>
        <v>8</v>
      </c>
      <c r="J354" s="2">
        <f t="shared" ca="1" si="51"/>
        <v>1.7361111111107753E-6</v>
      </c>
      <c r="K354">
        <f ca="1">MATCH(ROW(),sub!D:D,0)</f>
        <v>123</v>
      </c>
      <c r="L354" t="b">
        <f t="shared" ca="1" si="52"/>
        <v>1</v>
      </c>
      <c r="M354" s="2">
        <f t="shared" ca="1" si="53"/>
        <v>1.7361111111107753E-6</v>
      </c>
    </row>
    <row r="355" spans="1:13" x14ac:dyDescent="0.3">
      <c r="A355">
        <f ca="1">OFFSET(srt_raw!$A$1,(ROW()-1)*4+COLUMN()-1,0)</f>
        <v>355</v>
      </c>
      <c r="B355" t="str">
        <f ca="1">OFFSET(srt_raw!$A$1,(ROW()-1)*4+COLUMN()-1,0)</f>
        <v>00:19:17,680 --&gt; 00:19:20,200</v>
      </c>
      <c r="C355" t="str">
        <f ca="1">OFFSET(srt_raw!$A$1,(ROW()-1)*4+COLUMN()-1,0)</f>
        <v>直到FX最终被叠加为零。</v>
      </c>
      <c r="D355" t="str">
        <f t="shared" ca="1" si="45"/>
        <v>00:19:17,680</v>
      </c>
      <c r="E355" t="str">
        <f t="shared" ca="1" si="46"/>
        <v>00:19:20,200</v>
      </c>
      <c r="F355" s="5" t="str">
        <f t="shared" ca="1" si="47"/>
        <v>00:19:17.680</v>
      </c>
      <c r="G355" s="1" t="str">
        <f t="shared" ca="1" si="48"/>
        <v>00:19:20.200</v>
      </c>
      <c r="H355" s="2">
        <f t="shared" ca="1" si="49"/>
        <v>2.9166666666665189E-5</v>
      </c>
      <c r="I355">
        <f t="shared" ca="1" si="50"/>
        <v>12</v>
      </c>
      <c r="J355" s="2">
        <f t="shared" ca="1" si="51"/>
        <v>2.4305555555554324E-6</v>
      </c>
      <c r="K355" t="e">
        <f ca="1">MATCH(ROW(),sub!D:D,0)</f>
        <v>#N/A</v>
      </c>
      <c r="L355" t="b">
        <f t="shared" ca="1" si="52"/>
        <v>0</v>
      </c>
      <c r="M355" s="2">
        <f t="shared" ca="1" si="53"/>
        <v>0</v>
      </c>
    </row>
    <row r="356" spans="1:13" x14ac:dyDescent="0.3">
      <c r="A356">
        <f ca="1">OFFSET(srt_raw!$A$1,(ROW()-1)*4+COLUMN()-1,0)</f>
        <v>356</v>
      </c>
      <c r="B356" t="str">
        <f ca="1">OFFSET(srt_raw!$A$1,(ROW()-1)*4+COLUMN()-1,0)</f>
        <v>00:19:21,680 --&gt; 00:19:25,480</v>
      </c>
      <c r="C356" t="str">
        <f ca="1">OFFSET(srt_raw!$A$1,(ROW()-1)*4+COLUMN()-1,0)</f>
        <v>最后剩下的PX为两个多项式的最大公因子，</v>
      </c>
      <c r="D356" t="str">
        <f t="shared" ca="1" si="45"/>
        <v>00:19:21,680</v>
      </c>
      <c r="E356" t="str">
        <f t="shared" ca="1" si="46"/>
        <v>00:19:25,480</v>
      </c>
      <c r="F356" s="5" t="str">
        <f t="shared" ca="1" si="47"/>
        <v>00:19:21.680</v>
      </c>
      <c r="G356" s="1" t="str">
        <f t="shared" ca="1" si="48"/>
        <v>00:19:25.480</v>
      </c>
      <c r="H356" s="2">
        <f t="shared" ca="1" si="49"/>
        <v>4.3981481481479914E-5</v>
      </c>
      <c r="I356">
        <f t="shared" ca="1" si="50"/>
        <v>20</v>
      </c>
      <c r="J356" s="2">
        <f t="shared" ca="1" si="51"/>
        <v>2.1990740740739955E-6</v>
      </c>
      <c r="K356">
        <f ca="1">MATCH(ROW(),sub!D:D,0)</f>
        <v>124</v>
      </c>
      <c r="L356" t="b">
        <f t="shared" ca="1" si="52"/>
        <v>1</v>
      </c>
      <c r="M356" s="2">
        <f t="shared" ca="1" si="53"/>
        <v>2.1990740740739955E-6</v>
      </c>
    </row>
    <row r="357" spans="1:13" x14ac:dyDescent="0.3">
      <c r="A357">
        <f ca="1">OFFSET(srt_raw!$A$1,(ROW()-1)*4+COLUMN()-1,0)</f>
        <v>357</v>
      </c>
      <c r="B357" t="str">
        <f ca="1">OFFSET(srt_raw!$A$1,(ROW()-1)*4+COLUMN()-1,0)</f>
        <v>00:19:25,600 --&gt; 00:19:26,800</v>
      </c>
      <c r="C357" t="str">
        <f ca="1">OFFSET(srt_raw!$A$1,(ROW()-1)*4+COLUMN()-1,0)</f>
        <v>即为GX。</v>
      </c>
      <c r="D357" t="str">
        <f t="shared" ca="1" si="45"/>
        <v>00:19:25,600</v>
      </c>
      <c r="E357" t="str">
        <f t="shared" ca="1" si="46"/>
        <v>00:19:26,800</v>
      </c>
      <c r="F357" s="5" t="str">
        <f t="shared" ca="1" si="47"/>
        <v>00:19:25.600</v>
      </c>
      <c r="G357" s="1" t="str">
        <f t="shared" ca="1" si="48"/>
        <v>00:19:26.800</v>
      </c>
      <c r="H357" s="2">
        <f t="shared" ca="1" si="49"/>
        <v>1.3888888888889672E-5</v>
      </c>
      <c r="I357">
        <f t="shared" ca="1" si="50"/>
        <v>5</v>
      </c>
      <c r="J357" s="2">
        <f t="shared" ca="1" si="51"/>
        <v>2.7777777777779346E-6</v>
      </c>
      <c r="K357" t="e">
        <f ca="1">MATCH(ROW(),sub!D:D,0)</f>
        <v>#N/A</v>
      </c>
      <c r="L357" t="b">
        <f t="shared" ca="1" si="52"/>
        <v>1</v>
      </c>
      <c r="M357" s="2">
        <f t="shared" ca="1" si="53"/>
        <v>2.7777777777779346E-6</v>
      </c>
    </row>
    <row r="358" spans="1:13" x14ac:dyDescent="0.3">
      <c r="A358">
        <f ca="1">OFFSET(srt_raw!$A$1,(ROW()-1)*4+COLUMN()-1,0)</f>
        <v>358</v>
      </c>
      <c r="B358" t="str">
        <f ca="1">OFFSET(srt_raw!$A$1,(ROW()-1)*4+COLUMN()-1,0)</f>
        <v>00:19:26,800 --&gt; 00:19:30,040</v>
      </c>
      <c r="C358" t="str">
        <f ca="1">OFFSET(srt_raw!$A$1,(ROW()-1)*4+COLUMN()-1,0)</f>
        <v>同时剩下的EX为PX的逆，</v>
      </c>
      <c r="D358" t="str">
        <f t="shared" ca="1" si="45"/>
        <v>00:19:26,800</v>
      </c>
      <c r="E358" t="str">
        <f t="shared" ca="1" si="46"/>
        <v>00:19:30,040</v>
      </c>
      <c r="F358" s="5" t="str">
        <f t="shared" ca="1" si="47"/>
        <v>00:19:26.800</v>
      </c>
      <c r="G358" s="1" t="str">
        <f t="shared" ca="1" si="48"/>
        <v>00:19:30.040</v>
      </c>
      <c r="H358" s="2">
        <f t="shared" ca="1" si="49"/>
        <v>3.7500000000001074E-5</v>
      </c>
      <c r="I358">
        <f t="shared" ca="1" si="50"/>
        <v>13</v>
      </c>
      <c r="J358" s="2">
        <f t="shared" ca="1" si="51"/>
        <v>2.884615384615467E-6</v>
      </c>
      <c r="K358" t="e">
        <f ca="1">MATCH(ROW(),sub!D:D,0)</f>
        <v>#N/A</v>
      </c>
      <c r="L358" t="b">
        <f t="shared" ca="1" si="52"/>
        <v>1</v>
      </c>
      <c r="M358" s="2">
        <f t="shared" ca="1" si="53"/>
        <v>2.884615384615467E-6</v>
      </c>
    </row>
    <row r="359" spans="1:13" x14ac:dyDescent="0.3">
      <c r="A359">
        <f ca="1">OFFSET(srt_raw!$A$1,(ROW()-1)*4+COLUMN()-1,0)</f>
        <v>359</v>
      </c>
      <c r="B359" t="str">
        <f ca="1">OFFSET(srt_raw!$A$1,(ROW()-1)*4+COLUMN()-1,0)</f>
        <v>00:19:30,040 --&gt; 00:19:31,360</v>
      </c>
      <c r="C359" t="str">
        <f ca="1">OFFSET(srt_raw!$A$1,(ROW()-1)*4+COLUMN()-1,0)</f>
        <v>也就是QX。</v>
      </c>
      <c r="D359" t="str">
        <f t="shared" ca="1" si="45"/>
        <v>00:19:30,040</v>
      </c>
      <c r="E359" t="str">
        <f t="shared" ca="1" si="46"/>
        <v>00:19:31,360</v>
      </c>
      <c r="F359" s="5" t="str">
        <f t="shared" ca="1" si="47"/>
        <v>00:19:30.040</v>
      </c>
      <c r="G359" s="1" t="str">
        <f t="shared" ca="1" si="48"/>
        <v>00:19:31.360</v>
      </c>
      <c r="H359" s="2">
        <f t="shared" ca="1" si="49"/>
        <v>1.5277777777777252E-5</v>
      </c>
      <c r="I359">
        <f t="shared" ca="1" si="50"/>
        <v>6</v>
      </c>
      <c r="J359" s="2">
        <f t="shared" ca="1" si="51"/>
        <v>2.5462962962962085E-6</v>
      </c>
      <c r="K359" t="e">
        <f ca="1">MATCH(ROW(),sub!D:D,0)</f>
        <v>#N/A</v>
      </c>
      <c r="L359" t="b">
        <f t="shared" ca="1" si="52"/>
        <v>0</v>
      </c>
      <c r="M359" s="2">
        <f t="shared" ca="1" si="53"/>
        <v>0</v>
      </c>
    </row>
    <row r="360" spans="1:13" x14ac:dyDescent="0.3">
      <c r="A360">
        <f ca="1">OFFSET(srt_raw!$A$1,(ROW()-1)*4+COLUMN()-1,0)</f>
        <v>360</v>
      </c>
      <c r="B360" t="str">
        <f ca="1">OFFSET(srt_raw!$A$1,(ROW()-1)*4+COLUMN()-1,0)</f>
        <v>00:19:32,800 --&gt; 00:19:35,120</v>
      </c>
      <c r="C360" t="str">
        <f ca="1">OFFSET(srt_raw!$A$1,(ROW()-1)*4+COLUMN()-1,0)</f>
        <v>我们将QX写成矩阵Q。</v>
      </c>
      <c r="D360" t="str">
        <f t="shared" ca="1" si="45"/>
        <v>00:19:32,800</v>
      </c>
      <c r="E360" t="str">
        <f t="shared" ca="1" si="46"/>
        <v>00:19:35,120</v>
      </c>
      <c r="F360" s="5" t="str">
        <f t="shared" ca="1" si="47"/>
        <v>00:19:32.800</v>
      </c>
      <c r="G360" s="1" t="str">
        <f t="shared" ca="1" si="48"/>
        <v>00:19:35.120</v>
      </c>
      <c r="H360" s="2">
        <f t="shared" ca="1" si="49"/>
        <v>2.6851851851850822E-5</v>
      </c>
      <c r="I360">
        <f t="shared" ca="1" si="50"/>
        <v>11</v>
      </c>
      <c r="J360" s="2">
        <f t="shared" ca="1" si="51"/>
        <v>2.4410774410773473E-6</v>
      </c>
      <c r="K360">
        <f ca="1">MATCH(ROW(),sub!D:D,0)</f>
        <v>125</v>
      </c>
      <c r="L360" t="b">
        <f t="shared" ca="1" si="52"/>
        <v>1</v>
      </c>
      <c r="M360" s="2">
        <f t="shared" ca="1" si="53"/>
        <v>2.4410774410773473E-6</v>
      </c>
    </row>
    <row r="361" spans="1:13" x14ac:dyDescent="0.3">
      <c r="A361">
        <f ca="1">OFFSET(srt_raw!$A$1,(ROW()-1)*4+COLUMN()-1,0)</f>
        <v>361</v>
      </c>
      <c r="B361" t="str">
        <f ca="1">OFFSET(srt_raw!$A$1,(ROW()-1)*4+COLUMN()-1,0)</f>
        <v>00:19:35,760 --&gt; 00:19:39,520</v>
      </c>
      <c r="C361" t="str">
        <f ca="1">OFFSET(srt_raw!$A$1,(ROW()-1)*4+COLUMN()-1,0)</f>
        <v>注意这里的矩阵Q不是前面的完整逆矩阵Q撇，</v>
      </c>
      <c r="D361" t="str">
        <f t="shared" ca="1" si="45"/>
        <v>00:19:35,760</v>
      </c>
      <c r="E361" t="str">
        <f t="shared" ca="1" si="46"/>
        <v>00:19:39,520</v>
      </c>
      <c r="F361" s="5" t="str">
        <f t="shared" ca="1" si="47"/>
        <v>00:19:35.760</v>
      </c>
      <c r="G361" s="1" t="str">
        <f t="shared" ca="1" si="48"/>
        <v>00:19:39.520</v>
      </c>
      <c r="H361" s="2">
        <f t="shared" ca="1" si="49"/>
        <v>4.3518518518517388E-5</v>
      </c>
      <c r="I361">
        <f t="shared" ca="1" si="50"/>
        <v>21</v>
      </c>
      <c r="J361" s="2">
        <f t="shared" ca="1" si="51"/>
        <v>2.0723104056436853E-6</v>
      </c>
      <c r="K361" t="e">
        <f ca="1">MATCH(ROW(),sub!D:D,0)</f>
        <v>#N/A</v>
      </c>
      <c r="L361" t="b">
        <f t="shared" ca="1" si="52"/>
        <v>1</v>
      </c>
      <c r="M361" s="2">
        <f t="shared" ca="1" si="53"/>
        <v>2.0723104056436853E-6</v>
      </c>
    </row>
    <row r="362" spans="1:13" x14ac:dyDescent="0.3">
      <c r="A362">
        <f ca="1">OFFSET(srt_raw!$A$1,(ROW()-1)*4+COLUMN()-1,0)</f>
        <v>362</v>
      </c>
      <c r="B362" t="str">
        <f ca="1">OFFSET(srt_raw!$A$1,(ROW()-1)*4+COLUMN()-1,0)</f>
        <v>00:19:39,680 --&gt; 00:19:43,800</v>
      </c>
      <c r="C362" t="str">
        <f ca="1">OFFSET(srt_raw!$A$1,(ROW()-1)*4+COLUMN()-1,0)</f>
        <v>而是把多个QX拼接起来的结果。</v>
      </c>
      <c r="D362" t="str">
        <f t="shared" ca="1" si="45"/>
        <v>00:19:39,680</v>
      </c>
      <c r="E362" t="str">
        <f t="shared" ca="1" si="46"/>
        <v>00:19:43,800</v>
      </c>
      <c r="F362" s="5" t="str">
        <f t="shared" ca="1" si="47"/>
        <v>00:19:39.680</v>
      </c>
      <c r="G362" s="1" t="str">
        <f t="shared" ca="1" si="48"/>
        <v>00:19:43.800</v>
      </c>
      <c r="H362" s="2">
        <f t="shared" ca="1" si="49"/>
        <v>4.7685185185183596E-5</v>
      </c>
      <c r="I362">
        <f t="shared" ca="1" si="50"/>
        <v>15</v>
      </c>
      <c r="J362" s="2">
        <f t="shared" ca="1" si="51"/>
        <v>3.1790123456789064E-6</v>
      </c>
      <c r="K362" t="e">
        <f ca="1">MATCH(ROW(),sub!D:D,0)</f>
        <v>#N/A</v>
      </c>
      <c r="L362" t="b">
        <f t="shared" ca="1" si="52"/>
        <v>0</v>
      </c>
      <c r="M362" s="2">
        <f t="shared" ca="1" si="53"/>
        <v>0</v>
      </c>
    </row>
    <row r="363" spans="1:13" x14ac:dyDescent="0.3">
      <c r="A363">
        <f ca="1">OFFSET(srt_raw!$A$1,(ROW()-1)*4+COLUMN()-1,0)</f>
        <v>363</v>
      </c>
      <c r="B363" t="str">
        <f ca="1">OFFSET(srt_raw!$A$1,(ROW()-1)*4+COLUMN()-1,0)</f>
        <v>00:19:43,800 --&gt; 00:19:45,880</v>
      </c>
      <c r="C363" t="str">
        <f ca="1">OFFSET(srt_raw!$A$1,(ROW()-1)*4+COLUMN()-1,0)</f>
        <v>现在我们已求得QX，</v>
      </c>
      <c r="D363" t="str">
        <f t="shared" ca="1" si="45"/>
        <v>00:19:43,800</v>
      </c>
      <c r="E363" t="str">
        <f t="shared" ca="1" si="46"/>
        <v>00:19:45,880</v>
      </c>
      <c r="F363" s="5" t="str">
        <f t="shared" ca="1" si="47"/>
        <v>00:19:43.800</v>
      </c>
      <c r="G363" s="1" t="str">
        <f t="shared" ca="1" si="48"/>
        <v>00:19:45.880</v>
      </c>
      <c r="H363" s="2">
        <f t="shared" ca="1" si="49"/>
        <v>2.4074074074075663E-5</v>
      </c>
      <c r="I363">
        <f t="shared" ca="1" si="50"/>
        <v>10</v>
      </c>
      <c r="J363" s="2">
        <f t="shared" ca="1" si="51"/>
        <v>2.4074074074075663E-6</v>
      </c>
      <c r="K363">
        <f ca="1">MATCH(ROW(),sub!D:D,0)</f>
        <v>126</v>
      </c>
      <c r="L363" t="b">
        <f t="shared" ca="1" si="52"/>
        <v>1</v>
      </c>
      <c r="M363" s="2">
        <f t="shared" ca="1" si="53"/>
        <v>2.4074074074075663E-6</v>
      </c>
    </row>
    <row r="364" spans="1:13" x14ac:dyDescent="0.3">
      <c r="A364">
        <f ca="1">OFFSET(srt_raw!$A$1,(ROW()-1)*4+COLUMN()-1,0)</f>
        <v>364</v>
      </c>
      <c r="B364" t="str">
        <f ca="1">OFFSET(srt_raw!$A$1,(ROW()-1)*4+COLUMN()-1,0)</f>
        <v>00:19:45,880 --&gt; 00:19:48,640</v>
      </c>
      <c r="C364" t="str">
        <f ca="1">OFFSET(srt_raw!$A$1,(ROW()-1)*4+COLUMN()-1,0)</f>
        <v>接着我们可以根据QHY的定义，</v>
      </c>
      <c r="D364" t="str">
        <f t="shared" ca="1" si="45"/>
        <v>00:19:45,880</v>
      </c>
      <c r="E364" t="str">
        <f t="shared" ca="1" si="46"/>
        <v>00:19:48,640</v>
      </c>
      <c r="F364" s="5" t="str">
        <f t="shared" ca="1" si="47"/>
        <v>00:19:45.880</v>
      </c>
      <c r="G364" s="1" t="str">
        <f t="shared" ca="1" si="48"/>
        <v>00:19:48.640</v>
      </c>
      <c r="H364" s="2">
        <f t="shared" ca="1" si="49"/>
        <v>3.1944444444445552E-5</v>
      </c>
      <c r="I364">
        <f t="shared" ca="1" si="50"/>
        <v>15</v>
      </c>
      <c r="J364" s="2">
        <f t="shared" ca="1" si="51"/>
        <v>2.1296296296297035E-6</v>
      </c>
      <c r="K364" t="e">
        <f ca="1">MATCH(ROW(),sub!D:D,0)</f>
        <v>#N/A</v>
      </c>
      <c r="L364" t="b">
        <f t="shared" ca="1" si="52"/>
        <v>1</v>
      </c>
      <c r="M364" s="2">
        <f t="shared" ca="1" si="53"/>
        <v>2.1296296296297035E-6</v>
      </c>
    </row>
    <row r="365" spans="1:13" x14ac:dyDescent="0.3">
      <c r="A365">
        <f ca="1">OFFSET(srt_raw!$A$1,(ROW()-1)*4+COLUMN()-1,0)</f>
        <v>365</v>
      </c>
      <c r="B365" t="str">
        <f ca="1">OFFSET(srt_raw!$A$1,(ROW()-1)*4+COLUMN()-1,0)</f>
        <v>00:19:48,720 --&gt; 00:19:50,480</v>
      </c>
      <c r="C365" t="str">
        <f ca="1">OFFSET(srt_raw!$A$1,(ROW()-1)*4+COLUMN()-1,0)</f>
        <v>用这个式子来求X。</v>
      </c>
      <c r="D365" t="str">
        <f t="shared" ca="1" si="45"/>
        <v>00:19:48,720</v>
      </c>
      <c r="E365" t="str">
        <f t="shared" ca="1" si="46"/>
        <v>00:19:50,480</v>
      </c>
      <c r="F365" s="5" t="str">
        <f t="shared" ca="1" si="47"/>
        <v>00:19:48.720</v>
      </c>
      <c r="G365" s="1" t="str">
        <f t="shared" ca="1" si="48"/>
        <v>00:19:50.480</v>
      </c>
      <c r="H365" s="2">
        <f t="shared" ca="1" si="49"/>
        <v>2.0370370370370247E-5</v>
      </c>
      <c r="I365">
        <f t="shared" ca="1" si="50"/>
        <v>9</v>
      </c>
      <c r="J365" s="2">
        <f t="shared" ca="1" si="51"/>
        <v>2.2633744855966939E-6</v>
      </c>
      <c r="K365" t="e">
        <f ca="1">MATCH(ROW(),sub!D:D,0)</f>
        <v>#N/A</v>
      </c>
      <c r="L365" t="b">
        <f t="shared" ca="1" si="52"/>
        <v>0</v>
      </c>
      <c r="M365" s="2">
        <f t="shared" ca="1" si="53"/>
        <v>0</v>
      </c>
    </row>
    <row r="366" spans="1:13" x14ac:dyDescent="0.3">
      <c r="A366">
        <f ca="1">OFFSET(srt_raw!$A$1,(ROW()-1)*4+COLUMN()-1,0)</f>
        <v>366</v>
      </c>
      <c r="B366" t="str">
        <f ca="1">OFFSET(srt_raw!$A$1,(ROW()-1)*4+COLUMN()-1,0)</f>
        <v>00:19:52,000 --&gt; 00:19:55,920</v>
      </c>
      <c r="C366" t="str">
        <f ca="1">OFFSET(srt_raw!$A$1,(ROW()-1)*4+COLUMN()-1,0)</f>
        <v>这里我们将Y不断乘以矩阵H进行左右扩散，</v>
      </c>
      <c r="D366" t="str">
        <f t="shared" ca="1" si="45"/>
        <v>00:19:52,000</v>
      </c>
      <c r="E366" t="str">
        <f t="shared" ca="1" si="46"/>
        <v>00:19:55,920</v>
      </c>
      <c r="F366" s="5" t="str">
        <f t="shared" ca="1" si="47"/>
        <v>00:19:52.000</v>
      </c>
      <c r="G366" s="1" t="str">
        <f t="shared" ca="1" si="48"/>
        <v>00:19:55.920</v>
      </c>
      <c r="H366" s="2">
        <f t="shared" ca="1" si="49"/>
        <v>4.5370370370370963E-5</v>
      </c>
      <c r="I366">
        <f t="shared" ca="1" si="50"/>
        <v>20</v>
      </c>
      <c r="J366" s="2">
        <f t="shared" ca="1" si="51"/>
        <v>2.2685185185185481E-6</v>
      </c>
      <c r="K366">
        <f ca="1">MATCH(ROW(),sub!D:D,0)</f>
        <v>127</v>
      </c>
      <c r="L366" t="b">
        <f t="shared" ca="1" si="52"/>
        <v>1</v>
      </c>
      <c r="M366" s="2">
        <f t="shared" ca="1" si="53"/>
        <v>2.2685185185185481E-6</v>
      </c>
    </row>
    <row r="367" spans="1:13" x14ac:dyDescent="0.3">
      <c r="A367">
        <f ca="1">OFFSET(srt_raw!$A$1,(ROW()-1)*4+COLUMN()-1,0)</f>
        <v>367</v>
      </c>
      <c r="B367" t="str">
        <f ca="1">OFFSET(srt_raw!$A$1,(ROW()-1)*4+COLUMN()-1,0)</f>
        <v>00:19:56,080 --&gt; 00:19:58,560</v>
      </c>
      <c r="C367" t="str">
        <f ca="1">OFFSET(srt_raw!$A$1,(ROW()-1)*4+COLUMN()-1,0)</f>
        <v>再根据QX的值进行叠加，</v>
      </c>
      <c r="D367" t="str">
        <f t="shared" ca="1" si="45"/>
        <v>00:19:56,080</v>
      </c>
      <c r="E367" t="str">
        <f t="shared" ca="1" si="46"/>
        <v>00:19:58,560</v>
      </c>
      <c r="F367" s="5" t="str">
        <f t="shared" ca="1" si="47"/>
        <v>00:19:56.080</v>
      </c>
      <c r="G367" s="1" t="str">
        <f t="shared" ca="1" si="48"/>
        <v>00:19:58.560</v>
      </c>
      <c r="H367" s="2">
        <f t="shared" ca="1" si="49"/>
        <v>2.8703703703704397E-5</v>
      </c>
      <c r="I367">
        <f t="shared" ca="1" si="50"/>
        <v>12</v>
      </c>
      <c r="J367" s="2">
        <f t="shared" ca="1" si="51"/>
        <v>2.3919753086420331E-6</v>
      </c>
      <c r="K367" t="e">
        <f ca="1">MATCH(ROW(),sub!D:D,0)</f>
        <v>#N/A</v>
      </c>
      <c r="L367" t="b">
        <f t="shared" ca="1" si="52"/>
        <v>1</v>
      </c>
      <c r="M367" s="2">
        <f t="shared" ca="1" si="53"/>
        <v>2.3919753086420331E-6</v>
      </c>
    </row>
    <row r="368" spans="1:13" x14ac:dyDescent="0.3">
      <c r="A368">
        <f ca="1">OFFSET(srt_raw!$A$1,(ROW()-1)*4+COLUMN()-1,0)</f>
        <v>368</v>
      </c>
      <c r="B368" t="str">
        <f ca="1">OFFSET(srt_raw!$A$1,(ROW()-1)*4+COLUMN()-1,0)</f>
        <v>00:19:58,640 --&gt; 00:19:59,920</v>
      </c>
      <c r="C368" t="str">
        <f ca="1">OFFSET(srt_raw!$A$1,(ROW()-1)*4+COLUMN()-1,0)</f>
        <v>从而得到X。</v>
      </c>
      <c r="D368" t="str">
        <f t="shared" ca="1" si="45"/>
        <v>00:19:58,640</v>
      </c>
      <c r="E368" t="str">
        <f t="shared" ca="1" si="46"/>
        <v>00:19:59,920</v>
      </c>
      <c r="F368" s="5" t="str">
        <f t="shared" ca="1" si="47"/>
        <v>00:19:58.640</v>
      </c>
      <c r="G368" s="1" t="str">
        <f t="shared" ca="1" si="48"/>
        <v>00:19:59.920</v>
      </c>
      <c r="H368" s="2">
        <f t="shared" ca="1" si="49"/>
        <v>1.481481481481299E-5</v>
      </c>
      <c r="I368">
        <f t="shared" ca="1" si="50"/>
        <v>6</v>
      </c>
      <c r="J368" s="2">
        <f t="shared" ca="1" si="51"/>
        <v>2.4691358024688317E-6</v>
      </c>
      <c r="K368" t="e">
        <f ca="1">MATCH(ROW(),sub!D:D,0)</f>
        <v>#N/A</v>
      </c>
      <c r="L368" t="b">
        <f t="shared" ca="1" si="52"/>
        <v>0</v>
      </c>
      <c r="M368" s="2">
        <f t="shared" ca="1" si="53"/>
        <v>0</v>
      </c>
    </row>
    <row r="369" spans="1:13" x14ac:dyDescent="0.3">
      <c r="A369">
        <f ca="1">OFFSET(srt_raw!$A$1,(ROW()-1)*4+COLUMN()-1,0)</f>
        <v>369</v>
      </c>
      <c r="B369" t="str">
        <f ca="1">OFFSET(srt_raw!$A$1,(ROW()-1)*4+COLUMN()-1,0)</f>
        <v>00:20:01,520 --&gt; 00:20:02,240</v>
      </c>
      <c r="C369" t="str">
        <f ca="1">OFFSET(srt_raw!$A$1,(ROW()-1)*4+COLUMN()-1,0)</f>
        <v>另一方面，</v>
      </c>
      <c r="D369" t="str">
        <f t="shared" ca="1" si="45"/>
        <v>00:20:01,520</v>
      </c>
      <c r="E369" t="str">
        <f t="shared" ca="1" si="46"/>
        <v>00:20:02,240</v>
      </c>
      <c r="F369" s="5" t="str">
        <f t="shared" ca="1" si="47"/>
        <v>00:20:01.520</v>
      </c>
      <c r="G369" s="1" t="str">
        <f t="shared" ca="1" si="48"/>
        <v>00:20:02.240</v>
      </c>
      <c r="H369" s="2">
        <f t="shared" ca="1" si="49"/>
        <v>8.3333333333341503E-6</v>
      </c>
      <c r="I369">
        <f t="shared" ca="1" si="50"/>
        <v>5</v>
      </c>
      <c r="J369" s="2">
        <f t="shared" ca="1" si="51"/>
        <v>1.6666666666668301E-6</v>
      </c>
      <c r="K369">
        <f ca="1">MATCH(ROW(),sub!D:D,0)</f>
        <v>128</v>
      </c>
      <c r="L369" t="b">
        <f t="shared" ca="1" si="52"/>
        <v>1</v>
      </c>
      <c r="M369" s="2">
        <f t="shared" ca="1" si="53"/>
        <v>1.6666666666668301E-6</v>
      </c>
    </row>
    <row r="370" spans="1:13" x14ac:dyDescent="0.3">
      <c r="A370">
        <f ca="1">OFFSET(srt_raw!$A$1,(ROW()-1)*4+COLUMN()-1,0)</f>
        <v>370</v>
      </c>
      <c r="B370" t="str">
        <f ca="1">OFFSET(srt_raw!$A$1,(ROW()-1)*4+COLUMN()-1,0)</f>
        <v>00:20:02,240 --&gt; 00:20:05,000</v>
      </c>
      <c r="C370" t="str">
        <f ca="1">OFFSET(srt_raw!$A$1,(ROW()-1)*4+COLUMN()-1,0)</f>
        <v>由于QH就是B的逆矩阵Q撇，</v>
      </c>
      <c r="D370" t="str">
        <f t="shared" ca="1" si="45"/>
        <v>00:20:02,240</v>
      </c>
      <c r="E370" t="str">
        <f t="shared" ca="1" si="46"/>
        <v>00:20:05,000</v>
      </c>
      <c r="F370" s="5" t="str">
        <f t="shared" ca="1" si="47"/>
        <v>00:20:02.240</v>
      </c>
      <c r="G370" s="1" t="str">
        <f t="shared" ca="1" si="48"/>
        <v>00:20:05.000</v>
      </c>
      <c r="H370" s="2">
        <f t="shared" ca="1" si="49"/>
        <v>3.1944444444443817E-5</v>
      </c>
      <c r="I370">
        <f t="shared" ca="1" si="50"/>
        <v>14</v>
      </c>
      <c r="J370" s="2">
        <f t="shared" ca="1" si="51"/>
        <v>2.2817460317459869E-6</v>
      </c>
      <c r="K370" t="e">
        <f ca="1">MATCH(ROW(),sub!D:D,0)</f>
        <v>#N/A</v>
      </c>
      <c r="L370" t="b">
        <f t="shared" ca="1" si="52"/>
        <v>1</v>
      </c>
      <c r="M370" s="2">
        <f t="shared" ca="1" si="53"/>
        <v>2.2817460317459869E-6</v>
      </c>
    </row>
    <row r="371" spans="1:13" x14ac:dyDescent="0.3">
      <c r="A371">
        <f ca="1">OFFSET(srt_raw!$A$1,(ROW()-1)*4+COLUMN()-1,0)</f>
        <v>371</v>
      </c>
      <c r="B371" t="str">
        <f ca="1">OFFSET(srt_raw!$A$1,(ROW()-1)*4+COLUMN()-1,0)</f>
        <v>00:20:05,120 --&gt; 00:20:10,120</v>
      </c>
      <c r="C371" t="str">
        <f ca="1">OFFSET(srt_raw!$A$1,(ROW()-1)*4+COLUMN()-1,0)</f>
        <v>并且可以证明Q撇也满足十字偶校验约束，</v>
      </c>
      <c r="D371" t="str">
        <f t="shared" ca="1" si="45"/>
        <v>00:20:05,120</v>
      </c>
      <c r="E371" t="str">
        <f t="shared" ca="1" si="46"/>
        <v>00:20:10,120</v>
      </c>
      <c r="F371" s="5" t="str">
        <f t="shared" ca="1" si="47"/>
        <v>00:20:05.120</v>
      </c>
      <c r="G371" s="1" t="str">
        <f t="shared" ca="1" si="48"/>
        <v>00:20:10.120</v>
      </c>
      <c r="H371" s="2">
        <f t="shared" ca="1" si="49"/>
        <v>5.7870370370369587E-5</v>
      </c>
      <c r="I371">
        <f t="shared" ca="1" si="50"/>
        <v>19</v>
      </c>
      <c r="J371" s="2">
        <f t="shared" ca="1" si="51"/>
        <v>3.0458089668615573E-6</v>
      </c>
      <c r="K371" t="e">
        <f ca="1">MATCH(ROW(),sub!D:D,0)</f>
        <v>#N/A</v>
      </c>
      <c r="L371" t="b">
        <f t="shared" ca="1" si="52"/>
        <v>0</v>
      </c>
      <c r="M371" s="2">
        <f t="shared" ca="1" si="53"/>
        <v>0</v>
      </c>
    </row>
    <row r="372" spans="1:13" x14ac:dyDescent="0.3">
      <c r="A372">
        <f ca="1">OFFSET(srt_raw!$A$1,(ROW()-1)*4+COLUMN()-1,0)</f>
        <v>372</v>
      </c>
      <c r="B372" t="str">
        <f ca="1">OFFSET(srt_raw!$A$1,(ROW()-1)*4+COLUMN()-1,0)</f>
        <v>00:20:10,120 --&gt; 00:20:15,040</v>
      </c>
      <c r="C372" t="str">
        <f ca="1">OFFSET(srt_raw!$A$1,(ROW()-1)*4+COLUMN()-1,0)</f>
        <v>因此我们也可以通过KQ求出逆矩阵Q撇的第一行Q撇0，</v>
      </c>
      <c r="D372" t="str">
        <f t="shared" ca="1" si="45"/>
        <v>00:20:10,120</v>
      </c>
      <c r="E372" t="str">
        <f t="shared" ca="1" si="46"/>
        <v>00:20:15,040</v>
      </c>
      <c r="F372" s="5" t="str">
        <f t="shared" ca="1" si="47"/>
        <v>00:20:10.120</v>
      </c>
      <c r="G372" s="1" t="str">
        <f t="shared" ca="1" si="48"/>
        <v>00:20:15.040</v>
      </c>
      <c r="H372" s="2">
        <f t="shared" ca="1" si="49"/>
        <v>5.6944444444446268E-5</v>
      </c>
      <c r="I372">
        <f t="shared" ca="1" si="50"/>
        <v>26</v>
      </c>
      <c r="J372" s="2">
        <f t="shared" ca="1" si="51"/>
        <v>2.1901709401710103E-6</v>
      </c>
      <c r="K372">
        <f ca="1">MATCH(ROW(),sub!D:D,0)</f>
        <v>129</v>
      </c>
      <c r="L372" t="b">
        <f t="shared" ca="1" si="52"/>
        <v>1</v>
      </c>
      <c r="M372" s="2">
        <f t="shared" ca="1" si="53"/>
        <v>2.1901709401710103E-6</v>
      </c>
    </row>
    <row r="373" spans="1:13" x14ac:dyDescent="0.3">
      <c r="A373">
        <f ca="1">OFFSET(srt_raw!$A$1,(ROW()-1)*4+COLUMN()-1,0)</f>
        <v>373</v>
      </c>
      <c r="B373" t="str">
        <f ca="1">OFFSET(srt_raw!$A$1,(ROW()-1)*4+COLUMN()-1,0)</f>
        <v>00:20:15,520 --&gt; 00:20:18,120</v>
      </c>
      <c r="C373" t="str">
        <f ca="1">OFFSET(srt_raw!$A$1,(ROW()-1)*4+COLUMN()-1,0)</f>
        <v>再通过递推公式求得完整的Q撇，</v>
      </c>
      <c r="D373" t="str">
        <f t="shared" ca="1" si="45"/>
        <v>00:20:15,520</v>
      </c>
      <c r="E373" t="str">
        <f t="shared" ca="1" si="46"/>
        <v>00:20:18,120</v>
      </c>
      <c r="F373" s="5" t="str">
        <f t="shared" ca="1" si="47"/>
        <v>00:20:15.520</v>
      </c>
      <c r="G373" s="1" t="str">
        <f t="shared" ca="1" si="48"/>
        <v>00:20:18.120</v>
      </c>
      <c r="H373" s="2">
        <f t="shared" ca="1" si="49"/>
        <v>3.0092592592591977E-5</v>
      </c>
      <c r="I373">
        <f t="shared" ca="1" si="50"/>
        <v>15</v>
      </c>
      <c r="J373" s="2">
        <f t="shared" ca="1" si="51"/>
        <v>2.0061728395061316E-6</v>
      </c>
      <c r="K373" t="e">
        <f ca="1">MATCH(ROW(),sub!D:D,0)</f>
        <v>#N/A</v>
      </c>
      <c r="L373" t="b">
        <f t="shared" ca="1" si="52"/>
        <v>1</v>
      </c>
      <c r="M373" s="2">
        <f t="shared" ca="1" si="53"/>
        <v>2.0061728395061316E-6</v>
      </c>
    </row>
    <row r="374" spans="1:13" x14ac:dyDescent="0.3">
      <c r="A374">
        <f ca="1">OFFSET(srt_raw!$A$1,(ROW()-1)*4+COLUMN()-1,0)</f>
        <v>374</v>
      </c>
      <c r="B374" t="str">
        <f ca="1">OFFSET(srt_raw!$A$1,(ROW()-1)*4+COLUMN()-1,0)</f>
        <v>00:20:18,400 --&gt; 00:20:20,720</v>
      </c>
      <c r="C374" t="str">
        <f ca="1">OFFSET(srt_raw!$A$1,(ROW()-1)*4+COLUMN()-1,0)</f>
        <v>最后再和Y相乘求得X，</v>
      </c>
      <c r="D374" t="str">
        <f t="shared" ca="1" si="45"/>
        <v>00:20:18,400</v>
      </c>
      <c r="E374" t="str">
        <f t="shared" ca="1" si="46"/>
        <v>00:20:20,720</v>
      </c>
      <c r="F374" s="5" t="str">
        <f t="shared" ca="1" si="47"/>
        <v>00:20:18.400</v>
      </c>
      <c r="G374" s="1" t="str">
        <f t="shared" ca="1" si="48"/>
        <v>00:20:20.720</v>
      </c>
      <c r="H374" s="2">
        <f t="shared" ca="1" si="49"/>
        <v>2.6851851851850822E-5</v>
      </c>
      <c r="I374">
        <f t="shared" ca="1" si="50"/>
        <v>11</v>
      </c>
      <c r="J374" s="2">
        <f t="shared" ca="1" si="51"/>
        <v>2.4410774410773473E-6</v>
      </c>
      <c r="K374" t="e">
        <f ca="1">MATCH(ROW(),sub!D:D,0)</f>
        <v>#N/A</v>
      </c>
      <c r="L374" t="b">
        <f t="shared" ca="1" si="52"/>
        <v>0</v>
      </c>
      <c r="M374" s="2">
        <f t="shared" ca="1" si="53"/>
        <v>0</v>
      </c>
    </row>
    <row r="375" spans="1:13" x14ac:dyDescent="0.3">
      <c r="A375">
        <f ca="1">OFFSET(srt_raw!$A$1,(ROW()-1)*4+COLUMN()-1,0)</f>
        <v>375</v>
      </c>
      <c r="B375" t="str">
        <f ca="1">OFFSET(srt_raw!$A$1,(ROW()-1)*4+COLUMN()-1,0)</f>
        <v>00:20:22,240 --&gt; 00:20:24,720</v>
      </c>
      <c r="C375" t="str">
        <f ca="1">OFFSET(srt_raw!$A$1,(ROW()-1)*4+COLUMN()-1,0)</f>
        <v>两种方法求得的X是相同的，</v>
      </c>
      <c r="D375" t="str">
        <f t="shared" ca="1" si="45"/>
        <v>00:20:22,240</v>
      </c>
      <c r="E375" t="str">
        <f t="shared" ca="1" si="46"/>
        <v>00:20:24,720</v>
      </c>
      <c r="F375" s="5" t="str">
        <f t="shared" ca="1" si="47"/>
        <v>00:20:22.240</v>
      </c>
      <c r="G375" s="1" t="str">
        <f t="shared" ca="1" si="48"/>
        <v>00:20:24.720</v>
      </c>
      <c r="H375" s="2">
        <f t="shared" ca="1" si="49"/>
        <v>2.8703703703704397E-5</v>
      </c>
      <c r="I375">
        <f t="shared" ca="1" si="50"/>
        <v>13</v>
      </c>
      <c r="J375" s="2">
        <f t="shared" ca="1" si="51"/>
        <v>2.2079772079772612E-6</v>
      </c>
      <c r="K375">
        <f ca="1">MATCH(ROW(),sub!D:D,0)</f>
        <v>130</v>
      </c>
      <c r="L375" t="b">
        <f t="shared" ca="1" si="52"/>
        <v>1</v>
      </c>
      <c r="M375" s="2">
        <f t="shared" ca="1" si="53"/>
        <v>2.2079772079772612E-6</v>
      </c>
    </row>
    <row r="376" spans="1:13" x14ac:dyDescent="0.3">
      <c r="A376">
        <f ca="1">OFFSET(srt_raw!$A$1,(ROW()-1)*4+COLUMN()-1,0)</f>
        <v>376</v>
      </c>
      <c r="B376" t="str">
        <f ca="1">OFFSET(srt_raw!$A$1,(ROW()-1)*4+COLUMN()-1,0)</f>
        <v>00:20:24,720 --&gt; 00:20:28,600</v>
      </c>
      <c r="C376" t="str">
        <f ca="1">OFFSET(srt_raw!$A$1,(ROW()-1)*4+COLUMN()-1,0)</f>
        <v>有兴趣的小伙伴可以自行证明，</v>
      </c>
      <c r="D376" t="str">
        <f t="shared" ca="1" si="45"/>
        <v>00:20:24,720</v>
      </c>
      <c r="E376" t="str">
        <f t="shared" ca="1" si="46"/>
        <v>00:20:28,600</v>
      </c>
      <c r="F376" s="5" t="str">
        <f t="shared" ca="1" si="47"/>
        <v>00:20:24.720</v>
      </c>
      <c r="G376" s="1" t="str">
        <f t="shared" ca="1" si="48"/>
        <v>00:20:28.600</v>
      </c>
      <c r="H376" s="2">
        <f t="shared" ca="1" si="49"/>
        <v>4.4907407407406702E-5</v>
      </c>
      <c r="I376">
        <f t="shared" ca="1" si="50"/>
        <v>14</v>
      </c>
      <c r="J376" s="2">
        <f t="shared" ca="1" si="51"/>
        <v>3.2076719576719072E-6</v>
      </c>
      <c r="K376" t="e">
        <f ca="1">MATCH(ROW(),sub!D:D,0)</f>
        <v>#N/A</v>
      </c>
      <c r="L376" t="b">
        <f t="shared" ca="1" si="52"/>
        <v>0</v>
      </c>
      <c r="M376" s="2">
        <f t="shared" ca="1" si="53"/>
        <v>0</v>
      </c>
    </row>
    <row r="377" spans="1:13" x14ac:dyDescent="0.3">
      <c r="A377">
        <f ca="1">OFFSET(srt_raw!$A$1,(ROW()-1)*4+COLUMN()-1,0)</f>
        <v>377</v>
      </c>
      <c r="B377" t="str">
        <f ca="1">OFFSET(srt_raw!$A$1,(ROW()-1)*4+COLUMN()-1,0)</f>
        <v>00:20:28,600 --&gt; 00:20:31,320</v>
      </c>
      <c r="C377" t="str">
        <f ca="1">OFFSET(srt_raw!$A$1,(ROW()-1)*4+COLUMN()-1,0)</f>
        <v>不过整个求解的过程中有一个问题。</v>
      </c>
      <c r="D377" t="str">
        <f t="shared" ca="1" si="45"/>
        <v>00:20:28,600</v>
      </c>
      <c r="E377" t="str">
        <f t="shared" ca="1" si="46"/>
        <v>00:20:31,320</v>
      </c>
      <c r="F377" s="5" t="str">
        <f t="shared" ca="1" si="47"/>
        <v>00:20:28.600</v>
      </c>
      <c r="G377" s="1" t="str">
        <f t="shared" ca="1" si="48"/>
        <v>00:20:31.320</v>
      </c>
      <c r="H377" s="2">
        <f t="shared" ca="1" si="49"/>
        <v>3.1481481481481291E-5</v>
      </c>
      <c r="I377">
        <f t="shared" ca="1" si="50"/>
        <v>16</v>
      </c>
      <c r="J377" s="2">
        <f t="shared" ca="1" si="51"/>
        <v>1.9675925925925807E-6</v>
      </c>
      <c r="K377">
        <f ca="1">MATCH(ROW(),sub!D:D,0)</f>
        <v>131</v>
      </c>
      <c r="L377" t="b">
        <f t="shared" ca="1" si="52"/>
        <v>1</v>
      </c>
      <c r="M377" s="2">
        <f t="shared" ca="1" si="53"/>
        <v>1.9675925925925807E-6</v>
      </c>
    </row>
    <row r="378" spans="1:13" x14ac:dyDescent="0.3">
      <c r="A378">
        <f ca="1">OFFSET(srt_raw!$A$1,(ROW()-1)*4+COLUMN()-1,0)</f>
        <v>378</v>
      </c>
      <c r="B378" t="str">
        <f ca="1">OFFSET(srt_raw!$A$1,(ROW()-1)*4+COLUMN()-1,0)</f>
        <v>00:20:31,520 --&gt; 00:20:37,880</v>
      </c>
      <c r="C378" t="str">
        <f ca="1">OFFSET(srt_raw!$A$1,(ROW()-1)*4+COLUMN()-1,0)</f>
        <v>那就是我们假设满足QXPX等于一modFX的多项式QX存在，</v>
      </c>
      <c r="D378" t="str">
        <f t="shared" ca="1" si="45"/>
        <v>00:20:31,520</v>
      </c>
      <c r="E378" t="str">
        <f t="shared" ca="1" si="46"/>
        <v>00:20:37,880</v>
      </c>
      <c r="F378" s="5" t="str">
        <f t="shared" ca="1" si="47"/>
        <v>00:20:31.520</v>
      </c>
      <c r="G378" s="1" t="str">
        <f t="shared" ca="1" si="48"/>
        <v>00:20:37.880</v>
      </c>
      <c r="H378" s="2">
        <f t="shared" ca="1" si="49"/>
        <v>7.3611111111111099E-5</v>
      </c>
      <c r="I378">
        <f t="shared" ca="1" si="50"/>
        <v>30</v>
      </c>
      <c r="J378" s="2">
        <f t="shared" ca="1" si="51"/>
        <v>2.4537037037037034E-6</v>
      </c>
      <c r="K378" t="e">
        <f ca="1">MATCH(ROW(),sub!D:D,0)</f>
        <v>#N/A</v>
      </c>
      <c r="L378" t="b">
        <f t="shared" ca="1" si="52"/>
        <v>0</v>
      </c>
      <c r="M378" s="2">
        <f t="shared" ca="1" si="53"/>
        <v>0</v>
      </c>
    </row>
    <row r="379" spans="1:13" x14ac:dyDescent="0.3">
      <c r="A379">
        <f ca="1">OFFSET(srt_raw!$A$1,(ROW()-1)*4+COLUMN()-1,0)</f>
        <v>379</v>
      </c>
      <c r="B379" t="str">
        <f ca="1">OFFSET(srt_raw!$A$1,(ROW()-1)*4+COLUMN()-1,0)</f>
        <v>00:20:39,360 --&gt; 00:20:41,920</v>
      </c>
      <c r="C379" t="str">
        <f ca="1">OFFSET(srt_raw!$A$1,(ROW()-1)*4+COLUMN()-1,0)</f>
        <v>如果这样的多项式QX不存在，</v>
      </c>
      <c r="D379" t="str">
        <f t="shared" ca="1" si="45"/>
        <v>00:20:39,360</v>
      </c>
      <c r="E379" t="str">
        <f t="shared" ca="1" si="46"/>
        <v>00:20:41,920</v>
      </c>
      <c r="F379" s="5" t="str">
        <f t="shared" ca="1" si="47"/>
        <v>00:20:39.360</v>
      </c>
      <c r="G379" s="1" t="str">
        <f t="shared" ca="1" si="48"/>
        <v>00:20:41.920</v>
      </c>
      <c r="H379" s="2">
        <f t="shared" ca="1" si="49"/>
        <v>2.962962962963292E-5</v>
      </c>
      <c r="I379">
        <f t="shared" ca="1" si="50"/>
        <v>14</v>
      </c>
      <c r="J379" s="2">
        <f t="shared" ca="1" si="51"/>
        <v>2.1164021164023515E-6</v>
      </c>
      <c r="K379">
        <f ca="1">MATCH(ROW(),sub!D:D,0)</f>
        <v>132</v>
      </c>
      <c r="L379" t="b">
        <f t="shared" ca="1" si="52"/>
        <v>1</v>
      </c>
      <c r="M379" s="2">
        <f t="shared" ca="1" si="53"/>
        <v>2.1164021164023515E-6</v>
      </c>
    </row>
    <row r="380" spans="1:13" x14ac:dyDescent="0.3">
      <c r="A380">
        <f ca="1">OFFSET(srt_raw!$A$1,(ROW()-1)*4+COLUMN()-1,0)</f>
        <v>380</v>
      </c>
      <c r="B380" t="str">
        <f ca="1">OFFSET(srt_raw!$A$1,(ROW()-1)*4+COLUMN()-1,0)</f>
        <v>00:20:41,920 --&gt; 00:20:43,200</v>
      </c>
      <c r="C380" t="str">
        <f ca="1">OFFSET(srt_raw!$A$1,(ROW()-1)*4+COLUMN()-1,0)</f>
        <v>我们又当如何呢？</v>
      </c>
      <c r="D380" t="str">
        <f t="shared" ca="1" si="45"/>
        <v>00:20:41,920</v>
      </c>
      <c r="E380" t="str">
        <f t="shared" ca="1" si="46"/>
        <v>00:20:43,200</v>
      </c>
      <c r="F380" s="5" t="str">
        <f t="shared" ca="1" si="47"/>
        <v>00:20:41.920</v>
      </c>
      <c r="G380" s="1" t="str">
        <f t="shared" ca="1" si="48"/>
        <v>00:20:43.200</v>
      </c>
      <c r="H380" s="2">
        <f t="shared" ca="1" si="49"/>
        <v>1.481481481481299E-5</v>
      </c>
      <c r="I380">
        <f t="shared" ca="1" si="50"/>
        <v>8</v>
      </c>
      <c r="J380" s="2">
        <f t="shared" ca="1" si="51"/>
        <v>1.8518518518516238E-6</v>
      </c>
      <c r="K380" t="e">
        <f ca="1">MATCH(ROW(),sub!D:D,0)</f>
        <v>#N/A</v>
      </c>
      <c r="L380" t="b">
        <f t="shared" ca="1" si="52"/>
        <v>0</v>
      </c>
      <c r="M380" s="2">
        <f t="shared" ca="1" si="53"/>
        <v>0</v>
      </c>
    </row>
    <row r="381" spans="1:13" x14ac:dyDescent="0.3">
      <c r="A381">
        <f ca="1">OFFSET(srt_raw!$A$1,(ROW()-1)*4+COLUMN()-1,0)</f>
        <v>381</v>
      </c>
      <c r="B381" t="str">
        <f ca="1">OFFSET(srt_raw!$A$1,(ROW()-1)*4+COLUMN()-1,0)</f>
        <v>00:20:44,640 --&gt; 00:20:47,000</v>
      </c>
      <c r="C381" t="str">
        <f ca="1">OFFSET(srt_raw!$A$1,(ROW()-1)*4+COLUMN()-1,0)</f>
        <v>在上集视频解的数量章节中，</v>
      </c>
      <c r="D381" t="str">
        <f t="shared" ca="1" si="45"/>
        <v>00:20:44,640</v>
      </c>
      <c r="E381" t="str">
        <f t="shared" ca="1" si="46"/>
        <v>00:20:47,000</v>
      </c>
      <c r="F381" s="5" t="str">
        <f t="shared" ca="1" si="47"/>
        <v>00:20:44.640</v>
      </c>
      <c r="G381" s="1" t="str">
        <f t="shared" ca="1" si="48"/>
        <v>00:20:47.000</v>
      </c>
      <c r="H381" s="2">
        <f t="shared" ca="1" si="49"/>
        <v>2.7314814814813348E-5</v>
      </c>
      <c r="I381">
        <f t="shared" ca="1" si="50"/>
        <v>13</v>
      </c>
      <c r="J381" s="2">
        <f t="shared" ca="1" si="51"/>
        <v>2.1011396011394882E-6</v>
      </c>
      <c r="K381">
        <f ca="1">MATCH(ROW(),sub!D:D,0)</f>
        <v>133</v>
      </c>
      <c r="L381" t="b">
        <f t="shared" ca="1" si="52"/>
        <v>0</v>
      </c>
      <c r="M381" s="2">
        <f t="shared" ca="1" si="53"/>
        <v>0</v>
      </c>
    </row>
    <row r="382" spans="1:13" x14ac:dyDescent="0.3">
      <c r="A382">
        <f ca="1">OFFSET(srt_raw!$A$1,(ROW()-1)*4+COLUMN()-1,0)</f>
        <v>382</v>
      </c>
      <c r="B382" t="str">
        <f ca="1">OFFSET(srt_raw!$A$1,(ROW()-1)*4+COLUMN()-1,0)</f>
        <v>00:20:47,000 --&gt; 00:20:53,720</v>
      </c>
      <c r="C382" t="str">
        <f ca="1">OFFSET(srt_raw!$A$1,(ROW()-1)*4+COLUMN()-1,0)</f>
        <v>我们提到了公式R撇N这里GCD表示最大公因子，</v>
      </c>
      <c r="D382" t="str">
        <f t="shared" ca="1" si="45"/>
        <v>00:20:47,000</v>
      </c>
      <c r="E382" t="str">
        <f t="shared" ca="1" si="46"/>
        <v>00:20:53,720</v>
      </c>
      <c r="F382" s="5" t="str">
        <f t="shared" ca="1" si="47"/>
        <v>00:20:47.000</v>
      </c>
      <c r="G382" s="1" t="str">
        <f t="shared" ca="1" si="48"/>
        <v>00:20:53.720</v>
      </c>
      <c r="H382" s="2">
        <f t="shared" ca="1" si="49"/>
        <v>7.7777777777779042E-5</v>
      </c>
      <c r="I382">
        <f t="shared" ca="1" si="50"/>
        <v>23</v>
      </c>
      <c r="J382" s="2">
        <f t="shared" ca="1" si="51"/>
        <v>3.3816425120773498E-6</v>
      </c>
      <c r="K382">
        <f ca="1">MATCH(ROW(),sub!D:D,0)</f>
        <v>134</v>
      </c>
      <c r="L382" t="b">
        <f t="shared" ca="1" si="52"/>
        <v>1</v>
      </c>
      <c r="M382" s="2">
        <f t="shared" ca="1" si="53"/>
        <v>3.3816425120773498E-6</v>
      </c>
    </row>
    <row r="383" spans="1:13" x14ac:dyDescent="0.3">
      <c r="A383">
        <f ca="1">OFFSET(srt_raw!$A$1,(ROW()-1)*4+COLUMN()-1,0)</f>
        <v>383</v>
      </c>
      <c r="B383" t="str">
        <f ca="1">OFFSET(srt_raw!$A$1,(ROW()-1)*4+COLUMN()-1,0)</f>
        <v>00:20:53,720 --&gt; 00:20:58,880</v>
      </c>
      <c r="C383" t="str">
        <f ca="1">OFFSET(srt_raw!$A$1,(ROW()-1)*4+COLUMN()-1,0)</f>
        <v>不难发现这里的GCDFC就是前面扩展欧几里德算法中的G。</v>
      </c>
      <c r="D383" t="str">
        <f t="shared" ca="1" si="45"/>
        <v>00:20:53,720</v>
      </c>
      <c r="E383" t="str">
        <f t="shared" ca="1" si="46"/>
        <v>00:20:58,880</v>
      </c>
      <c r="F383" s="5" t="str">
        <f t="shared" ca="1" si="47"/>
        <v>00:20:53.720</v>
      </c>
      <c r="G383" s="1" t="str">
        <f t="shared" ca="1" si="48"/>
        <v>00:20:58.880</v>
      </c>
      <c r="H383" s="2">
        <f t="shared" ca="1" si="49"/>
        <v>5.9722222222223162E-5</v>
      </c>
      <c r="I383">
        <f t="shared" ca="1" si="50"/>
        <v>28</v>
      </c>
      <c r="J383" s="2">
        <f t="shared" ca="1" si="51"/>
        <v>2.1329365079365414E-6</v>
      </c>
      <c r="K383" t="e">
        <f ca="1">MATCH(ROW(),sub!D:D,0)</f>
        <v>#N/A</v>
      </c>
      <c r="L383" t="b">
        <f t="shared" ca="1" si="52"/>
        <v>0</v>
      </c>
      <c r="M383" s="2">
        <f t="shared" ca="1" si="53"/>
        <v>0</v>
      </c>
    </row>
    <row r="384" spans="1:13" x14ac:dyDescent="0.3">
      <c r="A384">
        <f ca="1">OFFSET(srt_raw!$A$1,(ROW()-1)*4+COLUMN()-1,0)</f>
        <v>384</v>
      </c>
      <c r="B384" t="str">
        <f ca="1">OFFSET(srt_raw!$A$1,(ROW()-1)*4+COLUMN()-1,0)</f>
        <v>00:21:00,480 --&gt; 00:21:01,000</v>
      </c>
      <c r="C384" t="str">
        <f ca="1">OFFSET(srt_raw!$A$1,(ROW()-1)*4+COLUMN()-1,0)</f>
        <v>同时，</v>
      </c>
      <c r="D384" t="str">
        <f t="shared" ca="1" si="45"/>
        <v>00:21:00,480</v>
      </c>
      <c r="E384" t="str">
        <f t="shared" ca="1" si="46"/>
        <v>00:21:01,000</v>
      </c>
      <c r="F384" s="5" t="str">
        <f t="shared" ca="1" si="47"/>
        <v>00:21:00.480</v>
      </c>
      <c r="G384" s="1" t="str">
        <f t="shared" ca="1" si="48"/>
        <v>00:21:01.000</v>
      </c>
      <c r="H384" s="2">
        <f t="shared" ca="1" si="49"/>
        <v>6.0185185185180484E-6</v>
      </c>
      <c r="I384">
        <f t="shared" ca="1" si="50"/>
        <v>3</v>
      </c>
      <c r="J384" s="2">
        <f t="shared" ca="1" si="51"/>
        <v>2.006172839506016E-6</v>
      </c>
      <c r="K384">
        <f ca="1">MATCH(ROW(),sub!D:D,0)</f>
        <v>135</v>
      </c>
      <c r="L384" t="b">
        <f t="shared" ca="1" si="52"/>
        <v>1</v>
      </c>
      <c r="M384" s="2">
        <f t="shared" ca="1" si="53"/>
        <v>2.006172839506016E-6</v>
      </c>
    </row>
    <row r="385" spans="1:13" x14ac:dyDescent="0.3">
      <c r="A385">
        <f ca="1">OFFSET(srt_raw!$A$1,(ROW()-1)*4+COLUMN()-1,0)</f>
        <v>385</v>
      </c>
      <c r="B385" t="str">
        <f ca="1">OFFSET(srt_raw!$A$1,(ROW()-1)*4+COLUMN()-1,0)</f>
        <v>00:21:01,000 --&gt; 00:21:02,720</v>
      </c>
      <c r="C385" t="str">
        <f ca="1">OFFSET(srt_raw!$A$1,(ROW()-1)*4+COLUMN()-1,0)</f>
        <v>由于F等于C加P，</v>
      </c>
      <c r="D385" t="str">
        <f t="shared" ref="D385:D448" ca="1" si="54">LEFT(B385,12)</f>
        <v>00:21:01,000</v>
      </c>
      <c r="E385" t="str">
        <f t="shared" ref="E385:E448" ca="1" si="55">RIGHT(B385,12)</f>
        <v>00:21:02,720</v>
      </c>
      <c r="F385" s="5" t="str">
        <f t="shared" ref="F385:F448" ca="1" si="56">SUBSTITUTE(D385,",",".")</f>
        <v>00:21:01.000</v>
      </c>
      <c r="G385" s="1" t="str">
        <f t="shared" ref="G385:G448" ca="1" si="57">SUBSTITUTE(E385,",",".")</f>
        <v>00:21:02.720</v>
      </c>
      <c r="H385" s="2">
        <f t="shared" ref="H385:H448" ca="1" si="58">G385-F385</f>
        <v>1.9907407407407721E-5</v>
      </c>
      <c r="I385">
        <f t="shared" ref="I385:I448" ca="1" si="59">LEN(C385)</f>
        <v>9</v>
      </c>
      <c r="J385" s="2">
        <f t="shared" ref="J385:J448" ca="1" si="60">H385/I385</f>
        <v>2.2119341563786358E-6</v>
      </c>
      <c r="K385" t="e">
        <f ca="1">MATCH(ROW(),sub!D:D,0)</f>
        <v>#N/A</v>
      </c>
      <c r="L385" t="b">
        <f t="shared" ref="L385:L448" ca="1" si="61">ISERROR(K386)</f>
        <v>1</v>
      </c>
      <c r="M385" s="2">
        <f t="shared" ref="M385:M448" ca="1" si="62">IF(L385,J385,0)</f>
        <v>2.2119341563786358E-6</v>
      </c>
    </row>
    <row r="386" spans="1:13" x14ac:dyDescent="0.3">
      <c r="A386">
        <f ca="1">OFFSET(srt_raw!$A$1,(ROW()-1)*4+COLUMN()-1,0)</f>
        <v>386</v>
      </c>
      <c r="B386" t="str">
        <f ca="1">OFFSET(srt_raw!$A$1,(ROW()-1)*4+COLUMN()-1,0)</f>
        <v>00:21:02,800 --&gt; 00:21:06,720</v>
      </c>
      <c r="C386" t="str">
        <f ca="1">OFFSET(srt_raw!$A$1,(ROW()-1)*4+COLUMN()-1,0)</f>
        <v>因此GCDFC和GCDFP是相等的。</v>
      </c>
      <c r="D386" t="str">
        <f t="shared" ca="1" si="54"/>
        <v>00:21:02,800</v>
      </c>
      <c r="E386" t="str">
        <f t="shared" ca="1" si="55"/>
        <v>00:21:06,720</v>
      </c>
      <c r="F386" s="5" t="str">
        <f t="shared" ca="1" si="56"/>
        <v>00:21:02.800</v>
      </c>
      <c r="G386" s="1" t="str">
        <f t="shared" ca="1" si="57"/>
        <v>00:21:06.720</v>
      </c>
      <c r="H386" s="2">
        <f t="shared" ca="1" si="58"/>
        <v>4.5370370370370963E-5</v>
      </c>
      <c r="I386">
        <f t="shared" ca="1" si="59"/>
        <v>18</v>
      </c>
      <c r="J386" s="2">
        <f t="shared" ca="1" si="60"/>
        <v>2.5205761316872757E-6</v>
      </c>
      <c r="K386" t="e">
        <f ca="1">MATCH(ROW(),sub!D:D,0)</f>
        <v>#N/A</v>
      </c>
      <c r="L386" t="b">
        <f t="shared" ca="1" si="61"/>
        <v>0</v>
      </c>
      <c r="M386" s="2">
        <f t="shared" ca="1" si="62"/>
        <v>0</v>
      </c>
    </row>
    <row r="387" spans="1:13" x14ac:dyDescent="0.3">
      <c r="A387">
        <f ca="1">OFFSET(srt_raw!$A$1,(ROW()-1)*4+COLUMN()-1,0)</f>
        <v>387</v>
      </c>
      <c r="B387" t="str">
        <f ca="1">OFFSET(srt_raw!$A$1,(ROW()-1)*4+COLUMN()-1,0)</f>
        <v>00:21:08,160 --&gt; 00:21:12,480</v>
      </c>
      <c r="C387" t="str">
        <f ca="1">OFFSET(srt_raw!$A$1,(ROW()-1)*4+COLUMN()-1,0)</f>
        <v>这里DEG表示最高次数R撇是静默操作数，</v>
      </c>
      <c r="D387" t="str">
        <f t="shared" ca="1" si="54"/>
        <v>00:21:08,160</v>
      </c>
      <c r="E387" t="str">
        <f t="shared" ca="1" si="55"/>
        <v>00:21:12,480</v>
      </c>
      <c r="F387" s="5" t="str">
        <f t="shared" ca="1" si="56"/>
        <v>00:21:08.160</v>
      </c>
      <c r="G387" s="1" t="str">
        <f t="shared" ca="1" si="57"/>
        <v>00:21:12.480</v>
      </c>
      <c r="H387" s="2">
        <f t="shared" ca="1" si="58"/>
        <v>4.9999999999997963E-5</v>
      </c>
      <c r="I387">
        <f t="shared" ca="1" si="59"/>
        <v>20</v>
      </c>
      <c r="J387" s="2">
        <f t="shared" ca="1" si="60"/>
        <v>2.4999999999998981E-6</v>
      </c>
      <c r="K387">
        <f ca="1">MATCH(ROW(),sub!D:D,0)</f>
        <v>136</v>
      </c>
      <c r="L387" t="b">
        <f t="shared" ca="1" si="61"/>
        <v>1</v>
      </c>
      <c r="M387" s="2">
        <f t="shared" ca="1" si="62"/>
        <v>2.4999999999998981E-6</v>
      </c>
    </row>
    <row r="388" spans="1:13" x14ac:dyDescent="0.3">
      <c r="A388">
        <f ca="1">OFFSET(srt_raw!$A$1,(ROW()-1)*4+COLUMN()-1,0)</f>
        <v>388</v>
      </c>
      <c r="B388" t="str">
        <f ca="1">OFFSET(srt_raw!$A$1,(ROW()-1)*4+COLUMN()-1,0)</f>
        <v>00:21:12,480 --&gt; 00:21:16,480</v>
      </c>
      <c r="C388" t="str">
        <f ca="1">OFFSET(srt_raw!$A$1,(ROW()-1)*4+COLUMN()-1,0)</f>
        <v>也就是N减二R撇的值决定了解的数量，</v>
      </c>
      <c r="D388" t="str">
        <f t="shared" ca="1" si="54"/>
        <v>00:21:12,480</v>
      </c>
      <c r="E388" t="str">
        <f t="shared" ca="1" si="55"/>
        <v>00:21:16,480</v>
      </c>
      <c r="F388" s="5" t="str">
        <f t="shared" ca="1" si="56"/>
        <v>00:21:12.480</v>
      </c>
      <c r="G388" s="1" t="str">
        <f t="shared" ca="1" si="57"/>
        <v>00:21:16.480</v>
      </c>
      <c r="H388" s="2">
        <f t="shared" ca="1" si="58"/>
        <v>4.6296296296297751E-5</v>
      </c>
      <c r="I388">
        <f t="shared" ca="1" si="59"/>
        <v>18</v>
      </c>
      <c r="J388" s="2">
        <f t="shared" ca="1" si="60"/>
        <v>2.5720164609054305E-6</v>
      </c>
      <c r="K388" t="e">
        <f ca="1">MATCH(ROW(),sub!D:D,0)</f>
        <v>#N/A</v>
      </c>
      <c r="L388" t="b">
        <f t="shared" ca="1" si="61"/>
        <v>1</v>
      </c>
      <c r="M388" s="2">
        <f t="shared" ca="1" si="62"/>
        <v>2.5720164609054305E-6</v>
      </c>
    </row>
    <row r="389" spans="1:13" x14ac:dyDescent="0.3">
      <c r="A389">
        <f ca="1">OFFSET(srt_raw!$A$1,(ROW()-1)*4+COLUMN()-1,0)</f>
        <v>389</v>
      </c>
      <c r="B389" t="str">
        <f ca="1">OFFSET(srt_raw!$A$1,(ROW()-1)*4+COLUMN()-1,0)</f>
        <v>00:21:16,560 --&gt; 00:21:19,600</v>
      </c>
      <c r="C389" t="str">
        <f ca="1">OFFSET(srt_raw!$A$1,(ROW()-1)*4+COLUMN()-1,0)</f>
        <v>即二的二撇次方。</v>
      </c>
      <c r="D389" t="str">
        <f t="shared" ca="1" si="54"/>
        <v>00:21:16,560</v>
      </c>
      <c r="E389" t="str">
        <f t="shared" ca="1" si="55"/>
        <v>00:21:19,600</v>
      </c>
      <c r="F389" s="5" t="str">
        <f t="shared" ca="1" si="56"/>
        <v>00:21:16.560</v>
      </c>
      <c r="G389" s="1" t="str">
        <f t="shared" ca="1" si="57"/>
        <v>00:21:19.600</v>
      </c>
      <c r="H389" s="2">
        <f t="shared" ca="1" si="58"/>
        <v>3.5185185185184972E-5</v>
      </c>
      <c r="I389">
        <f t="shared" ca="1" si="59"/>
        <v>8</v>
      </c>
      <c r="J389" s="2">
        <f t="shared" ca="1" si="60"/>
        <v>4.3981481481481215E-6</v>
      </c>
      <c r="K389" t="e">
        <f ca="1">MATCH(ROW(),sub!D:D,0)</f>
        <v>#N/A</v>
      </c>
      <c r="L389" t="b">
        <f t="shared" ca="1" si="61"/>
        <v>0</v>
      </c>
      <c r="M389" s="2">
        <f t="shared" ca="1" si="62"/>
        <v>0</v>
      </c>
    </row>
    <row r="390" spans="1:13" x14ac:dyDescent="0.3">
      <c r="A390">
        <f ca="1">OFFSET(srt_raw!$A$1,(ROW()-1)*4+COLUMN()-1,0)</f>
        <v>390</v>
      </c>
      <c r="B390" t="str">
        <f ca="1">OFFSET(srt_raw!$A$1,(ROW()-1)*4+COLUMN()-1,0)</f>
        <v>00:21:19,600 --&gt; 00:21:22,640</v>
      </c>
      <c r="C390" t="str">
        <f ca="1">OFFSET(srt_raw!$A$1,(ROW()-1)*4+COLUMN()-1,0)</f>
        <v>将GX写成矩阵的形式记为G。</v>
      </c>
      <c r="D390" t="str">
        <f t="shared" ca="1" si="54"/>
        <v>00:21:19,600</v>
      </c>
      <c r="E390" t="str">
        <f t="shared" ca="1" si="55"/>
        <v>00:21:22,640</v>
      </c>
      <c r="F390" s="5" t="str">
        <f t="shared" ca="1" si="56"/>
        <v>00:21:19.600</v>
      </c>
      <c r="G390" s="1" t="str">
        <f t="shared" ca="1" si="57"/>
        <v>00:21:22.640</v>
      </c>
      <c r="H390" s="2">
        <f t="shared" ca="1" si="58"/>
        <v>3.5185185185186707E-5</v>
      </c>
      <c r="I390">
        <f t="shared" ca="1" si="59"/>
        <v>14</v>
      </c>
      <c r="J390" s="2">
        <f t="shared" ca="1" si="60"/>
        <v>2.513227513227622E-6</v>
      </c>
      <c r="K390">
        <f ca="1">MATCH(ROW(),sub!D:D,0)</f>
        <v>137</v>
      </c>
      <c r="L390" t="b">
        <f t="shared" ca="1" si="61"/>
        <v>0</v>
      </c>
      <c r="M390" s="2">
        <f t="shared" ca="1" si="62"/>
        <v>0</v>
      </c>
    </row>
    <row r="391" spans="1:13" x14ac:dyDescent="0.3">
      <c r="A391">
        <f ca="1">OFFSET(srt_raw!$A$1,(ROW()-1)*4+COLUMN()-1,0)</f>
        <v>391</v>
      </c>
      <c r="B391" t="str">
        <f ca="1">OFFSET(srt_raw!$A$1,(ROW()-1)*4+COLUMN()-1,0)</f>
        <v>00:21:24,080 --&gt; 00:21:25,120</v>
      </c>
      <c r="C391" t="str">
        <f ca="1">OFFSET(srt_raw!$A$1,(ROW()-1)*4+COLUMN()-1,0)</f>
        <v>不难注意到，</v>
      </c>
      <c r="D391" t="str">
        <f t="shared" ca="1" si="54"/>
        <v>00:21:24,080</v>
      </c>
      <c r="E391" t="str">
        <f t="shared" ca="1" si="55"/>
        <v>00:21:25,120</v>
      </c>
      <c r="F391" s="5" t="str">
        <f t="shared" ca="1" si="56"/>
        <v>00:21:24.080</v>
      </c>
      <c r="G391" s="1" t="str">
        <f t="shared" ca="1" si="57"/>
        <v>00:21:25.120</v>
      </c>
      <c r="H391" s="2">
        <f t="shared" ca="1" si="58"/>
        <v>1.2037037037036097E-5</v>
      </c>
      <c r="I391">
        <f t="shared" ca="1" si="59"/>
        <v>6</v>
      </c>
      <c r="J391" s="2">
        <f t="shared" ca="1" si="60"/>
        <v>2.006172839506016E-6</v>
      </c>
      <c r="K391">
        <f ca="1">MATCH(ROW(),sub!D:D,0)</f>
        <v>138</v>
      </c>
      <c r="L391" t="b">
        <f t="shared" ca="1" si="61"/>
        <v>1</v>
      </c>
      <c r="M391" s="2">
        <f t="shared" ca="1" si="62"/>
        <v>2.006172839506016E-6</v>
      </c>
    </row>
    <row r="392" spans="1:13" x14ac:dyDescent="0.3">
      <c r="A392">
        <f ca="1">OFFSET(srt_raw!$A$1,(ROW()-1)*4+COLUMN()-1,0)</f>
        <v>392</v>
      </c>
      <c r="B392" t="str">
        <f ca="1">OFFSET(srt_raw!$A$1,(ROW()-1)*4+COLUMN()-1,0)</f>
        <v>00:21:25,120 --&gt; 00:21:27,520</v>
      </c>
      <c r="C392" t="str">
        <f ca="1">OFFSET(srt_raw!$A$1,(ROW()-1)*4+COLUMN()-1,0)</f>
        <v>只有当矩阵B为可逆矩阵时，</v>
      </c>
      <c r="D392" t="str">
        <f t="shared" ca="1" si="54"/>
        <v>00:21:25,120</v>
      </c>
      <c r="E392" t="str">
        <f t="shared" ca="1" si="55"/>
        <v>00:21:27,520</v>
      </c>
      <c r="F392" s="5" t="str">
        <f t="shared" ca="1" si="56"/>
        <v>00:21:25.120</v>
      </c>
      <c r="G392" s="1" t="str">
        <f t="shared" ca="1" si="57"/>
        <v>00:21:27.520</v>
      </c>
      <c r="H392" s="2">
        <f t="shared" ca="1" si="58"/>
        <v>2.7777777777779344E-5</v>
      </c>
      <c r="I392">
        <f t="shared" ca="1" si="59"/>
        <v>13</v>
      </c>
      <c r="J392" s="2">
        <f t="shared" ca="1" si="60"/>
        <v>2.1367521367522572E-6</v>
      </c>
      <c r="K392" t="e">
        <f ca="1">MATCH(ROW(),sub!D:D,0)</f>
        <v>#N/A</v>
      </c>
      <c r="L392" t="b">
        <f t="shared" ca="1" si="61"/>
        <v>1</v>
      </c>
      <c r="M392" s="2">
        <f t="shared" ca="1" si="62"/>
        <v>2.1367521367522572E-6</v>
      </c>
    </row>
    <row r="393" spans="1:13" x14ac:dyDescent="0.3">
      <c r="A393">
        <f ca="1">OFFSET(srt_raw!$A$1,(ROW()-1)*4+COLUMN()-1,0)</f>
        <v>393</v>
      </c>
      <c r="B393" t="str">
        <f ca="1">OFFSET(srt_raw!$A$1,(ROW()-1)*4+COLUMN()-1,0)</f>
        <v>00:21:27,520 --&gt; 00:21:28,720</v>
      </c>
      <c r="C393" t="str">
        <f ca="1">OFFSET(srt_raw!$A$1,(ROW()-1)*4+COLUMN()-1,0)</f>
        <v>GX等于1。</v>
      </c>
      <c r="D393" t="str">
        <f t="shared" ca="1" si="54"/>
        <v>00:21:27,520</v>
      </c>
      <c r="E393" t="str">
        <f t="shared" ca="1" si="55"/>
        <v>00:21:28,720</v>
      </c>
      <c r="F393" s="5" t="str">
        <f t="shared" ca="1" si="56"/>
        <v>00:21:27.520</v>
      </c>
      <c r="G393" s="1" t="str">
        <f t="shared" ca="1" si="57"/>
        <v>00:21:28.720</v>
      </c>
      <c r="H393" s="2">
        <f t="shared" ca="1" si="58"/>
        <v>1.3888888888889672E-5</v>
      </c>
      <c r="I393">
        <f t="shared" ca="1" si="59"/>
        <v>6</v>
      </c>
      <c r="J393" s="2">
        <f t="shared" ca="1" si="60"/>
        <v>2.3148148148149452E-6</v>
      </c>
      <c r="K393" t="e">
        <f ca="1">MATCH(ROW(),sub!D:D,0)</f>
        <v>#N/A</v>
      </c>
      <c r="L393" t="b">
        <f t="shared" ca="1" si="61"/>
        <v>1</v>
      </c>
      <c r="M393" s="2">
        <f t="shared" ca="1" si="62"/>
        <v>2.3148148148149452E-6</v>
      </c>
    </row>
    <row r="394" spans="1:13" x14ac:dyDescent="0.3">
      <c r="A394">
        <f ca="1">OFFSET(srt_raw!$A$1,(ROW()-1)*4+COLUMN()-1,0)</f>
        <v>394</v>
      </c>
      <c r="B394" t="str">
        <f ca="1">OFFSET(srt_raw!$A$1,(ROW()-1)*4+COLUMN()-1,0)</f>
        <v>00:21:28,960 --&gt; 00:21:33,440</v>
      </c>
      <c r="C394" t="str">
        <f ca="1">OFFSET(srt_raw!$A$1,(ROW()-1)*4+COLUMN()-1,0)</f>
        <v>并且GX的最高次数为2撇等于n减2等于0，</v>
      </c>
      <c r="D394" t="str">
        <f t="shared" ca="1" si="54"/>
        <v>00:21:28,960</v>
      </c>
      <c r="E394" t="str">
        <f t="shared" ca="1" si="55"/>
        <v>00:21:33,440</v>
      </c>
      <c r="F394" s="5" t="str">
        <f t="shared" ca="1" si="56"/>
        <v>00:21:28.960</v>
      </c>
      <c r="G394" s="1" t="str">
        <f t="shared" ca="1" si="57"/>
        <v>00:21:33.440</v>
      </c>
      <c r="H394" s="2">
        <f t="shared" ca="1" si="58"/>
        <v>5.1851851851853273E-5</v>
      </c>
      <c r="I394">
        <f t="shared" ca="1" si="59"/>
        <v>21</v>
      </c>
      <c r="J394" s="2">
        <f t="shared" ca="1" si="60"/>
        <v>2.4691358024692036E-6</v>
      </c>
      <c r="K394" t="e">
        <f ca="1">MATCH(ROW(),sub!D:D,0)</f>
        <v>#N/A</v>
      </c>
      <c r="L394" t="b">
        <f t="shared" ca="1" si="61"/>
        <v>0</v>
      </c>
      <c r="M394" s="2">
        <f t="shared" ca="1" si="62"/>
        <v>0</v>
      </c>
    </row>
    <row r="395" spans="1:13" x14ac:dyDescent="0.3">
      <c r="A395">
        <f ca="1">OFFSET(srt_raw!$A$1,(ROW()-1)*4+COLUMN()-1,0)</f>
        <v>395</v>
      </c>
      <c r="B395" t="str">
        <f ca="1">OFFSET(srt_raw!$A$1,(ROW()-1)*4+COLUMN()-1,0)</f>
        <v>00:21:35,120 --&gt; 00:21:37,120</v>
      </c>
      <c r="C395" t="str">
        <f ca="1">OFFSET(srt_raw!$A$1,(ROW()-1)*4+COLUMN()-1,0)</f>
        <v>例如当n等于5时，</v>
      </c>
      <c r="D395" t="str">
        <f t="shared" ca="1" si="54"/>
        <v>00:21:35,120</v>
      </c>
      <c r="E395" t="str">
        <f t="shared" ca="1" si="55"/>
        <v>00:21:37,120</v>
      </c>
      <c r="F395" s="5" t="str">
        <f t="shared" ca="1" si="56"/>
        <v>00:21:35.120</v>
      </c>
      <c r="G395" s="1" t="str">
        <f t="shared" ca="1" si="57"/>
        <v>00:21:37.120</v>
      </c>
      <c r="H395" s="2">
        <f t="shared" ca="1" si="58"/>
        <v>2.3148148148148875E-5</v>
      </c>
      <c r="I395">
        <f t="shared" ca="1" si="59"/>
        <v>9</v>
      </c>
      <c r="J395" s="2">
        <f t="shared" ca="1" si="60"/>
        <v>2.5720164609054305E-6</v>
      </c>
      <c r="K395">
        <f ca="1">MATCH(ROW(),sub!D:D,0)</f>
        <v>139</v>
      </c>
      <c r="L395" t="b">
        <f t="shared" ca="1" si="61"/>
        <v>1</v>
      </c>
      <c r="M395" s="2">
        <f t="shared" ca="1" si="62"/>
        <v>2.5720164609054305E-6</v>
      </c>
    </row>
    <row r="396" spans="1:13" x14ac:dyDescent="0.3">
      <c r="A396">
        <f ca="1">OFFSET(srt_raw!$A$1,(ROW()-1)*4+COLUMN()-1,0)</f>
        <v>396</v>
      </c>
      <c r="B396" t="str">
        <f ca="1">OFFSET(srt_raw!$A$1,(ROW()-1)*4+COLUMN()-1,0)</f>
        <v>00:21:37,120 --&gt; 00:21:43,480</v>
      </c>
      <c r="C396" t="str">
        <f ca="1">OFFSET(srt_raw!$A$1,(ROW()-1)*4+COLUMN()-1,0)</f>
        <v>高斯消元后的B的尾逆矩阵Q撇和单位矩阵一撇是这样的，</v>
      </c>
      <c r="D396" t="str">
        <f t="shared" ca="1" si="54"/>
        <v>00:21:37,120</v>
      </c>
      <c r="E396" t="str">
        <f t="shared" ca="1" si="55"/>
        <v>00:21:43,480</v>
      </c>
      <c r="F396" s="5" t="str">
        <f t="shared" ca="1" si="56"/>
        <v>00:21:37.120</v>
      </c>
      <c r="G396" s="1" t="str">
        <f t="shared" ca="1" si="57"/>
        <v>00:21:43.480</v>
      </c>
      <c r="H396" s="2">
        <f t="shared" ca="1" si="58"/>
        <v>7.3611111111111099E-5</v>
      </c>
      <c r="I396">
        <f t="shared" ca="1" si="59"/>
        <v>26</v>
      </c>
      <c r="J396" s="2">
        <f t="shared" ca="1" si="60"/>
        <v>2.8311965811965806E-6</v>
      </c>
      <c r="K396" t="e">
        <f ca="1">MATCH(ROW(),sub!D:D,0)</f>
        <v>#N/A</v>
      </c>
      <c r="L396" t="b">
        <f t="shared" ca="1" si="61"/>
        <v>0</v>
      </c>
      <c r="M396" s="2">
        <f t="shared" ca="1" si="62"/>
        <v>0</v>
      </c>
    </row>
    <row r="397" spans="1:13" x14ac:dyDescent="0.3">
      <c r="A397">
        <f ca="1">OFFSET(srt_raw!$A$1,(ROW()-1)*4+COLUMN()-1,0)</f>
        <v>397</v>
      </c>
      <c r="B397" t="str">
        <f ca="1">OFFSET(srt_raw!$A$1,(ROW()-1)*4+COLUMN()-1,0)</f>
        <v>00:21:43,480 --&gt; 00:21:45,320</v>
      </c>
      <c r="C397" t="str">
        <f ca="1">OFFSET(srt_raw!$A$1,(ROW()-1)*4+COLUMN()-1,0)</f>
        <v>这里矩阵B不可逆，</v>
      </c>
      <c r="D397" t="str">
        <f t="shared" ca="1" si="54"/>
        <v>00:21:43,480</v>
      </c>
      <c r="E397" t="str">
        <f t="shared" ca="1" si="55"/>
        <v>00:21:45,320</v>
      </c>
      <c r="F397" s="5" t="str">
        <f t="shared" ca="1" si="56"/>
        <v>00:21:43.480</v>
      </c>
      <c r="G397" s="1" t="str">
        <f t="shared" ca="1" si="57"/>
        <v>00:21:45.320</v>
      </c>
      <c r="H397" s="2">
        <f t="shared" ca="1" si="58"/>
        <v>2.1296296296297035E-5</v>
      </c>
      <c r="I397">
        <f t="shared" ca="1" si="59"/>
        <v>9</v>
      </c>
      <c r="J397" s="2">
        <f t="shared" ca="1" si="60"/>
        <v>2.3662551440330038E-6</v>
      </c>
      <c r="K397">
        <f ca="1">MATCH(ROW(),sub!D:D,0)</f>
        <v>140</v>
      </c>
      <c r="L397" t="b">
        <f t="shared" ca="1" si="61"/>
        <v>1</v>
      </c>
      <c r="M397" s="2">
        <f t="shared" ca="1" si="62"/>
        <v>2.3662551440330038E-6</v>
      </c>
    </row>
    <row r="398" spans="1:13" x14ac:dyDescent="0.3">
      <c r="A398">
        <f ca="1">OFFSET(srt_raw!$A$1,(ROW()-1)*4+COLUMN()-1,0)</f>
        <v>398</v>
      </c>
      <c r="B398" t="str">
        <f ca="1">OFFSET(srt_raw!$A$1,(ROW()-1)*4+COLUMN()-1,0)</f>
        <v>00:21:45,320 --&gt; 00:21:46,800</v>
      </c>
      <c r="C398" t="str">
        <f ca="1">OFFSET(srt_raw!$A$1,(ROW()-1)*4+COLUMN()-1,0)</f>
        <v>其至为2等于3，</v>
      </c>
      <c r="D398" t="str">
        <f t="shared" ca="1" si="54"/>
        <v>00:21:45,320</v>
      </c>
      <c r="E398" t="str">
        <f t="shared" ca="1" si="55"/>
        <v>00:21:46,800</v>
      </c>
      <c r="F398" s="5" t="str">
        <f t="shared" ca="1" si="56"/>
        <v>00:21:45.320</v>
      </c>
      <c r="G398" s="1" t="str">
        <f t="shared" ca="1" si="57"/>
        <v>00:21:46.800</v>
      </c>
      <c r="H398" s="2">
        <f t="shared" ca="1" si="58"/>
        <v>1.7129629629629092E-5</v>
      </c>
      <c r="I398">
        <f t="shared" ca="1" si="59"/>
        <v>8</v>
      </c>
      <c r="J398" s="2">
        <f t="shared" ca="1" si="60"/>
        <v>2.1412037037036365E-6</v>
      </c>
      <c r="K398" t="e">
        <f ca="1">MATCH(ROW(),sub!D:D,0)</f>
        <v>#N/A</v>
      </c>
      <c r="L398" t="b">
        <f t="shared" ca="1" si="61"/>
        <v>1</v>
      </c>
      <c r="M398" s="2">
        <f t="shared" ca="1" si="62"/>
        <v>2.1412037037036365E-6</v>
      </c>
    </row>
    <row r="399" spans="1:13" x14ac:dyDescent="0.3">
      <c r="A399">
        <f ca="1">OFFSET(srt_raw!$A$1,(ROW()-1)*4+COLUMN()-1,0)</f>
        <v>399</v>
      </c>
      <c r="B399" t="str">
        <f ca="1">OFFSET(srt_raw!$A$1,(ROW()-1)*4+COLUMN()-1,0)</f>
        <v>00:21:47,360 --&gt; 00:21:49,520</v>
      </c>
      <c r="C399" t="str">
        <f ca="1">OFFSET(srt_raw!$A$1,(ROW()-1)*4+COLUMN()-1,0)</f>
        <v>现在我们以2乘2为界，</v>
      </c>
      <c r="D399" t="str">
        <f t="shared" ca="1" si="54"/>
        <v>00:21:47,360</v>
      </c>
      <c r="E399" t="str">
        <f t="shared" ca="1" si="55"/>
        <v>00:21:49,520</v>
      </c>
      <c r="F399" s="5" t="str">
        <f t="shared" ca="1" si="56"/>
        <v>00:21:47.360</v>
      </c>
      <c r="G399" s="1" t="str">
        <f t="shared" ca="1" si="57"/>
        <v>00:21:49.520</v>
      </c>
      <c r="H399" s="2">
        <f t="shared" ca="1" si="58"/>
        <v>2.5000000000000716E-5</v>
      </c>
      <c r="I399">
        <f t="shared" ca="1" si="59"/>
        <v>11</v>
      </c>
      <c r="J399" s="2">
        <f t="shared" ca="1" si="60"/>
        <v>2.272727272727338E-6</v>
      </c>
      <c r="K399" t="e">
        <f ca="1">MATCH(ROW(),sub!D:D,0)</f>
        <v>#N/A</v>
      </c>
      <c r="L399" t="b">
        <f t="shared" ca="1" si="61"/>
        <v>1</v>
      </c>
      <c r="M399" s="2">
        <f t="shared" ca="1" si="62"/>
        <v>2.272727272727338E-6</v>
      </c>
    </row>
    <row r="400" spans="1:13" x14ac:dyDescent="0.3">
      <c r="A400">
        <f ca="1">OFFSET(srt_raw!$A$1,(ROW()-1)*4+COLUMN()-1,0)</f>
        <v>400</v>
      </c>
      <c r="B400" t="str">
        <f ca="1">OFFSET(srt_raw!$A$1,(ROW()-1)*4+COLUMN()-1,0)</f>
        <v>00:21:49,520 --&gt; 00:21:53,320</v>
      </c>
      <c r="C400" t="str">
        <f ca="1">OFFSET(srt_raw!$A$1,(ROW()-1)*4+COLUMN()-1,0)</f>
        <v>将矩阵分为4个部分，</v>
      </c>
      <c r="D400" t="str">
        <f t="shared" ca="1" si="54"/>
        <v>00:21:49,520</v>
      </c>
      <c r="E400" t="str">
        <f t="shared" ca="1" si="55"/>
        <v>00:21:53,320</v>
      </c>
      <c r="F400" s="5" t="str">
        <f t="shared" ca="1" si="56"/>
        <v>00:21:49.520</v>
      </c>
      <c r="G400" s="1" t="str">
        <f t="shared" ca="1" si="57"/>
        <v>00:21:53.320</v>
      </c>
      <c r="H400" s="2">
        <f t="shared" ca="1" si="58"/>
        <v>4.3981481481481649E-5</v>
      </c>
      <c r="I400">
        <f t="shared" ca="1" si="59"/>
        <v>10</v>
      </c>
      <c r="J400" s="2">
        <f t="shared" ca="1" si="60"/>
        <v>4.3981481481481647E-6</v>
      </c>
      <c r="K400" t="e">
        <f ca="1">MATCH(ROW(),sub!D:D,0)</f>
        <v>#N/A</v>
      </c>
      <c r="L400" t="b">
        <f t="shared" ca="1" si="61"/>
        <v>0</v>
      </c>
      <c r="M400" s="2">
        <f t="shared" ca="1" si="62"/>
        <v>0</v>
      </c>
    </row>
    <row r="401" spans="1:13" x14ac:dyDescent="0.3">
      <c r="A401">
        <f ca="1">OFFSET(srt_raw!$A$1,(ROW()-1)*4+COLUMN()-1,0)</f>
        <v>401</v>
      </c>
      <c r="B401" t="str">
        <f ca="1">OFFSET(srt_raw!$A$1,(ROW()-1)*4+COLUMN()-1,0)</f>
        <v>00:21:53,320 --&gt; 00:21:56,800</v>
      </c>
      <c r="C401" t="str">
        <f ca="1">OFFSET(srt_raw!$A$1,(ROW()-1)*4+COLUMN()-1,0)</f>
        <v>1矩阵B左上角R乘2的子矩阵可逆。</v>
      </c>
      <c r="D401" t="str">
        <f t="shared" ca="1" si="54"/>
        <v>00:21:53,320</v>
      </c>
      <c r="E401" t="str">
        <f t="shared" ca="1" si="55"/>
        <v>00:21:56,800</v>
      </c>
      <c r="F401" s="5" t="str">
        <f t="shared" ca="1" si="56"/>
        <v>00:21:53.320</v>
      </c>
      <c r="G401" s="1" t="str">
        <f t="shared" ca="1" si="57"/>
        <v>00:21:56.800</v>
      </c>
      <c r="H401" s="2">
        <f t="shared" ca="1" si="58"/>
        <v>4.0277777777777968E-5</v>
      </c>
      <c r="I401">
        <f t="shared" ca="1" si="59"/>
        <v>17</v>
      </c>
      <c r="J401" s="2">
        <f t="shared" ca="1" si="60"/>
        <v>2.3692810457516453E-6</v>
      </c>
      <c r="K401">
        <f ca="1">MATCH(ROW(),sub!D:D,0)</f>
        <v>141</v>
      </c>
      <c r="L401" t="b">
        <f t="shared" ca="1" si="61"/>
        <v>1</v>
      </c>
      <c r="M401" s="2">
        <f t="shared" ca="1" si="62"/>
        <v>2.3692810457516453E-6</v>
      </c>
    </row>
    <row r="402" spans="1:13" x14ac:dyDescent="0.3">
      <c r="A402">
        <f ca="1">OFFSET(srt_raw!$A$1,(ROW()-1)*4+COLUMN()-1,0)</f>
        <v>402</v>
      </c>
      <c r="B402" t="str">
        <f ca="1">OFFSET(srt_raw!$A$1,(ROW()-1)*4+COLUMN()-1,0)</f>
        <v>00:21:56,960 --&gt; 00:22:03,000</v>
      </c>
      <c r="C402" t="str">
        <f ca="1">OFFSET(srt_raw!$A$1,(ROW()-1)*4+COLUMN()-1,0)</f>
        <v>并且和Q撇左上角R乘二的子矩阵互为逆矩阵，</v>
      </c>
      <c r="D402" t="str">
        <f t="shared" ca="1" si="54"/>
        <v>00:21:56,960</v>
      </c>
      <c r="E402" t="str">
        <f t="shared" ca="1" si="55"/>
        <v>00:22:03,000</v>
      </c>
      <c r="F402" s="5" t="str">
        <f t="shared" ca="1" si="56"/>
        <v>00:21:56.960</v>
      </c>
      <c r="G402" s="1" t="str">
        <f t="shared" ca="1" si="57"/>
        <v>00:22:03.000</v>
      </c>
      <c r="H402" s="2">
        <f t="shared" ca="1" si="58"/>
        <v>6.9907407407407418E-5</v>
      </c>
      <c r="I402">
        <f t="shared" ca="1" si="59"/>
        <v>21</v>
      </c>
      <c r="J402" s="2">
        <f t="shared" ca="1" si="60"/>
        <v>3.3289241622574961E-6</v>
      </c>
      <c r="K402" t="e">
        <f ca="1">MATCH(ROW(),sub!D:D,0)</f>
        <v>#N/A</v>
      </c>
      <c r="L402" t="b">
        <f t="shared" ca="1" si="61"/>
        <v>0</v>
      </c>
      <c r="M402" s="2">
        <f t="shared" ca="1" si="62"/>
        <v>0</v>
      </c>
    </row>
    <row r="403" spans="1:13" x14ac:dyDescent="0.3">
      <c r="A403">
        <f ca="1">OFFSET(srt_raw!$A$1,(ROW()-1)*4+COLUMN()-1,0)</f>
        <v>403</v>
      </c>
      <c r="B403" t="str">
        <f ca="1">OFFSET(srt_raw!$A$1,(ROW()-1)*4+COLUMN()-1,0)</f>
        <v>00:22:03,000 --&gt; 00:22:07,040</v>
      </c>
      <c r="C403" t="str">
        <f ca="1">OFFSET(srt_raw!$A$1,(ROW()-1)*4+COLUMN()-1,0)</f>
        <v>二Q撇右下角和一撇左上角为单位矩阵，</v>
      </c>
      <c r="D403" t="str">
        <f t="shared" ca="1" si="54"/>
        <v>00:22:03,000</v>
      </c>
      <c r="E403" t="str">
        <f t="shared" ca="1" si="55"/>
        <v>00:22:07,040</v>
      </c>
      <c r="F403" s="5" t="str">
        <f t="shared" ca="1" si="56"/>
        <v>00:22:03.000</v>
      </c>
      <c r="G403" s="1" t="str">
        <f t="shared" ca="1" si="57"/>
        <v>00:22:07.040</v>
      </c>
      <c r="H403" s="2">
        <f t="shared" ca="1" si="58"/>
        <v>4.6759259259258543E-5</v>
      </c>
      <c r="I403">
        <f t="shared" ca="1" si="59"/>
        <v>18</v>
      </c>
      <c r="J403" s="2">
        <f t="shared" ca="1" si="60"/>
        <v>2.5977366255143636E-6</v>
      </c>
      <c r="K403">
        <f ca="1">MATCH(ROW(),sub!D:D,0)</f>
        <v>142</v>
      </c>
      <c r="L403" t="b">
        <f t="shared" ca="1" si="61"/>
        <v>1</v>
      </c>
      <c r="M403" s="2">
        <f t="shared" ca="1" si="62"/>
        <v>2.5977366255143636E-6</v>
      </c>
    </row>
    <row r="404" spans="1:13" x14ac:dyDescent="0.3">
      <c r="A404">
        <f ca="1">OFFSET(srt_raw!$A$1,(ROW()-1)*4+COLUMN()-1,0)</f>
        <v>404</v>
      </c>
      <c r="B404" t="str">
        <f ca="1">OFFSET(srt_raw!$A$1,(ROW()-1)*4+COLUMN()-1,0)</f>
        <v>00:22:07,040 --&gt; 00:22:12,040</v>
      </c>
      <c r="C404" t="str">
        <f ca="1">OFFSET(srt_raw!$A$1,(ROW()-1)*4+COLUMN()-1,0)</f>
        <v>Q撇右上角和一撇下方为零矩阵，</v>
      </c>
      <c r="D404" t="str">
        <f t="shared" ca="1" si="54"/>
        <v>00:22:07,040</v>
      </c>
      <c r="E404" t="str">
        <f t="shared" ca="1" si="55"/>
        <v>00:22:12,040</v>
      </c>
      <c r="F404" s="5" t="str">
        <f t="shared" ca="1" si="56"/>
        <v>00:22:07.040</v>
      </c>
      <c r="G404" s="1" t="str">
        <f t="shared" ca="1" si="57"/>
        <v>00:22:12.040</v>
      </c>
      <c r="H404" s="2">
        <f t="shared" ca="1" si="58"/>
        <v>5.7870370370371321E-5</v>
      </c>
      <c r="I404">
        <f t="shared" ca="1" si="59"/>
        <v>15</v>
      </c>
      <c r="J404" s="2">
        <f t="shared" ca="1" si="60"/>
        <v>3.8580246913580883E-6</v>
      </c>
      <c r="K404" t="e">
        <f ca="1">MATCH(ROW(),sub!D:D,0)</f>
        <v>#N/A</v>
      </c>
      <c r="L404" t="b">
        <f t="shared" ca="1" si="61"/>
        <v>0</v>
      </c>
      <c r="M404" s="2">
        <f t="shared" ca="1" si="62"/>
        <v>0</v>
      </c>
    </row>
    <row r="405" spans="1:13" x14ac:dyDescent="0.3">
      <c r="A405">
        <f ca="1">OFFSET(srt_raw!$A$1,(ROW()-1)*4+COLUMN()-1,0)</f>
        <v>405</v>
      </c>
      <c r="B405" t="str">
        <f ca="1">OFFSET(srt_raw!$A$1,(ROW()-1)*4+COLUMN()-1,0)</f>
        <v>00:22:12,040 --&gt; 00:22:17,080</v>
      </c>
      <c r="C405" t="str">
        <f ca="1">OFFSET(srt_raw!$A$1,(ROW()-1)*4+COLUMN()-1,0)</f>
        <v>三Q撇左下角W二和一撇右上角的静默操作相同，</v>
      </c>
      <c r="D405" t="str">
        <f t="shared" ca="1" si="54"/>
        <v>00:22:12,040</v>
      </c>
      <c r="E405" t="str">
        <f t="shared" ca="1" si="55"/>
        <v>00:22:17,080</v>
      </c>
      <c r="F405" s="5" t="str">
        <f t="shared" ca="1" si="56"/>
        <v>00:22:12.040</v>
      </c>
      <c r="G405" s="1" t="str">
        <f t="shared" ca="1" si="57"/>
        <v>00:22:17.080</v>
      </c>
      <c r="H405" s="2">
        <f t="shared" ca="1" si="58"/>
        <v>5.8333333333332113E-5</v>
      </c>
      <c r="I405">
        <f t="shared" ca="1" si="59"/>
        <v>22</v>
      </c>
      <c r="J405" s="2">
        <f t="shared" ca="1" si="60"/>
        <v>2.6515151515150959E-6</v>
      </c>
      <c r="K405">
        <f ca="1">MATCH(ROW(),sub!D:D,0)</f>
        <v>143</v>
      </c>
      <c r="L405" t="b">
        <f t="shared" ca="1" si="61"/>
        <v>1</v>
      </c>
      <c r="M405" s="2">
        <f t="shared" ca="1" si="62"/>
        <v>2.6515151515150959E-6</v>
      </c>
    </row>
    <row r="406" spans="1:13" x14ac:dyDescent="0.3">
      <c r="A406">
        <f ca="1">OFFSET(srt_raw!$A$1,(ROW()-1)*4+COLUMN()-1,0)</f>
        <v>406</v>
      </c>
      <c r="B406" t="str">
        <f ca="1">OFFSET(srt_raw!$A$1,(ROW()-1)*4+COLUMN()-1,0)</f>
        <v>00:22:17,080 --&gt; 00:22:23,960</v>
      </c>
      <c r="C406" t="str">
        <f ca="1">OFFSET(srt_raw!$A$1,(ROW()-1)*4+COLUMN()-1,0)</f>
        <v>并且其值等于Q撇左上角乘以B右上角或者B左下角乘以Q撇左上角</v>
      </c>
      <c r="D406" t="str">
        <f t="shared" ca="1" si="54"/>
        <v>00:22:17,080</v>
      </c>
      <c r="E406" t="str">
        <f t="shared" ca="1" si="55"/>
        <v>00:22:23,960</v>
      </c>
      <c r="F406" s="5" t="str">
        <f t="shared" ca="1" si="56"/>
        <v>00:22:17.080</v>
      </c>
      <c r="G406" s="1" t="str">
        <f t="shared" ca="1" si="57"/>
        <v>00:22:23.960</v>
      </c>
      <c r="H406" s="2">
        <f t="shared" ca="1" si="58"/>
        <v>7.9629629629630883E-5</v>
      </c>
      <c r="I406">
        <f t="shared" ca="1" si="59"/>
        <v>30</v>
      </c>
      <c r="J406" s="2">
        <f t="shared" ca="1" si="60"/>
        <v>2.6543209876543628E-6</v>
      </c>
      <c r="K406" t="e">
        <f ca="1">MATCH(ROW(),sub!D:D,0)</f>
        <v>#N/A</v>
      </c>
      <c r="L406" t="b">
        <f t="shared" ca="1" si="61"/>
        <v>1</v>
      </c>
      <c r="M406" s="2">
        <f t="shared" ca="1" si="62"/>
        <v>2.6543209876543628E-6</v>
      </c>
    </row>
    <row r="407" spans="1:13" x14ac:dyDescent="0.3">
      <c r="A407">
        <f ca="1">OFFSET(srt_raw!$A$1,(ROW()-1)*4+COLUMN()-1,0)</f>
        <v>407</v>
      </c>
      <c r="B407" t="str">
        <f ca="1">OFFSET(srt_raw!$A$1,(ROW()-1)*4+COLUMN()-1,0)</f>
        <v>00:22:23,960 --&gt; 00:22:24,000</v>
      </c>
      <c r="C407" t="str">
        <f ca="1">OFFSET(srt_raw!$A$1,(ROW()-1)*4+COLUMN()-1,0)</f>
        <v>。</v>
      </c>
      <c r="D407" t="str">
        <f t="shared" ca="1" si="54"/>
        <v>00:22:23,960</v>
      </c>
      <c r="E407" t="str">
        <f t="shared" ca="1" si="55"/>
        <v>00:22:24,000</v>
      </c>
      <c r="F407" s="5" t="str">
        <f t="shared" ca="1" si="56"/>
        <v>00:22:23.960</v>
      </c>
      <c r="G407" s="1" t="str">
        <f t="shared" ca="1" si="57"/>
        <v>00:22:24.000</v>
      </c>
      <c r="H407" s="2">
        <f t="shared" ca="1" si="58"/>
        <v>4.6296296296252648E-7</v>
      </c>
      <c r="I407">
        <f t="shared" ca="1" si="59"/>
        <v>1</v>
      </c>
      <c r="J407" s="2">
        <f t="shared" ca="1" si="60"/>
        <v>4.6296296296252648E-7</v>
      </c>
      <c r="K407" t="e">
        <f ca="1">MATCH(ROW(),sub!D:D,0)</f>
        <v>#N/A</v>
      </c>
      <c r="L407" t="b">
        <f t="shared" ca="1" si="61"/>
        <v>0</v>
      </c>
      <c r="M407" s="2">
        <f t="shared" ca="1" si="62"/>
        <v>0</v>
      </c>
    </row>
    <row r="408" spans="1:13" x14ac:dyDescent="0.3">
      <c r="A408">
        <f ca="1">OFFSET(srt_raw!$A$1,(ROW()-1)*4+COLUMN()-1,0)</f>
        <v>408</v>
      </c>
      <c r="B408" t="str">
        <f ca="1">OFFSET(srt_raw!$A$1,(ROW()-1)*4+COLUMN()-1,0)</f>
        <v>00:22:25,600 --&gt; 00:22:28,520</v>
      </c>
      <c r="C408" t="str">
        <f ca="1">OFFSET(srt_raw!$A$1,(ROW()-1)*4+COLUMN()-1,0)</f>
        <v>这些性质可以通过分块矩阵乘法，</v>
      </c>
      <c r="D408" t="str">
        <f t="shared" ca="1" si="54"/>
        <v>00:22:25,600</v>
      </c>
      <c r="E408" t="str">
        <f t="shared" ca="1" si="55"/>
        <v>00:22:28,520</v>
      </c>
      <c r="F408" s="5" t="str">
        <f t="shared" ca="1" si="56"/>
        <v>00:22:25.600</v>
      </c>
      <c r="G408" s="1" t="str">
        <f t="shared" ca="1" si="57"/>
        <v>00:22:28.520</v>
      </c>
      <c r="H408" s="2">
        <f t="shared" ca="1" si="58"/>
        <v>3.3796296296297393E-5</v>
      </c>
      <c r="I408">
        <f t="shared" ca="1" si="59"/>
        <v>15</v>
      </c>
      <c r="J408" s="2">
        <f t="shared" ca="1" si="60"/>
        <v>2.2530864197531597E-6</v>
      </c>
      <c r="K408">
        <f ca="1">MATCH(ROW(),sub!D:D,0)</f>
        <v>144</v>
      </c>
      <c r="L408" t="b">
        <f t="shared" ca="1" si="61"/>
        <v>1</v>
      </c>
      <c r="M408" s="2">
        <f t="shared" ca="1" si="62"/>
        <v>2.2530864197531597E-6</v>
      </c>
    </row>
    <row r="409" spans="1:13" x14ac:dyDescent="0.3">
      <c r="A409">
        <f ca="1">OFFSET(srt_raw!$A$1,(ROW()-1)*4+COLUMN()-1,0)</f>
        <v>409</v>
      </c>
      <c r="B409" t="str">
        <f ca="1">OFFSET(srt_raw!$A$1,(ROW()-1)*4+COLUMN()-1,0)</f>
        <v>00:22:28,520 --&gt; 00:22:31,840</v>
      </c>
      <c r="C409" t="str">
        <f ca="1">OFFSET(srt_raw!$A$1,(ROW()-1)*4+COLUMN()-1,0)</f>
        <v>结合高斯消元法和矩阵B的对称性得出，</v>
      </c>
      <c r="D409" t="str">
        <f t="shared" ca="1" si="54"/>
        <v>00:22:28,520</v>
      </c>
      <c r="E409" t="str">
        <f t="shared" ca="1" si="55"/>
        <v>00:22:31,840</v>
      </c>
      <c r="F409" s="5" t="str">
        <f t="shared" ca="1" si="56"/>
        <v>00:22:28.520</v>
      </c>
      <c r="G409" s="1" t="str">
        <f t="shared" ca="1" si="57"/>
        <v>00:22:31.840</v>
      </c>
      <c r="H409" s="2">
        <f t="shared" ca="1" si="58"/>
        <v>3.8425925925926127E-5</v>
      </c>
      <c r="I409">
        <f t="shared" ca="1" si="59"/>
        <v>18</v>
      </c>
      <c r="J409" s="2">
        <f t="shared" ca="1" si="60"/>
        <v>2.1347736625514513E-6</v>
      </c>
      <c r="K409" t="e">
        <f ca="1">MATCH(ROW(),sub!D:D,0)</f>
        <v>#N/A</v>
      </c>
      <c r="L409" t="b">
        <f t="shared" ca="1" si="61"/>
        <v>1</v>
      </c>
      <c r="M409" s="2">
        <f t="shared" ca="1" si="62"/>
        <v>2.1347736625514513E-6</v>
      </c>
    </row>
    <row r="410" spans="1:13" x14ac:dyDescent="0.3">
      <c r="A410">
        <f ca="1">OFFSET(srt_raw!$A$1,(ROW()-1)*4+COLUMN()-1,0)</f>
        <v>410</v>
      </c>
      <c r="B410" t="str">
        <f ca="1">OFFSET(srt_raw!$A$1,(ROW()-1)*4+COLUMN()-1,0)</f>
        <v>00:22:32,000 --&gt; 00:22:34,520</v>
      </c>
      <c r="C410" t="str">
        <f ca="1">OFFSET(srt_raw!$A$1,(ROW()-1)*4+COLUMN()-1,0)</f>
        <v>有兴趣的小伙伴可以自行证明，</v>
      </c>
      <c r="D410" t="str">
        <f t="shared" ca="1" si="54"/>
        <v>00:22:32,000</v>
      </c>
      <c r="E410" t="str">
        <f t="shared" ca="1" si="55"/>
        <v>00:22:34,520</v>
      </c>
      <c r="F410" s="5" t="str">
        <f t="shared" ca="1" si="56"/>
        <v>00:22:32.000</v>
      </c>
      <c r="G410" s="1" t="str">
        <f t="shared" ca="1" si="57"/>
        <v>00:22:34.520</v>
      </c>
      <c r="H410" s="2">
        <f t="shared" ca="1" si="58"/>
        <v>2.9166666666666924E-5</v>
      </c>
      <c r="I410">
        <f t="shared" ca="1" si="59"/>
        <v>14</v>
      </c>
      <c r="J410" s="2">
        <f t="shared" ca="1" si="60"/>
        <v>2.0833333333333516E-6</v>
      </c>
      <c r="K410" t="e">
        <f ca="1">MATCH(ROW(),sub!D:D,0)</f>
        <v>#N/A</v>
      </c>
      <c r="L410" t="b">
        <f t="shared" ca="1" si="61"/>
        <v>0</v>
      </c>
      <c r="M410" s="2">
        <f t="shared" ca="1" si="62"/>
        <v>0</v>
      </c>
    </row>
    <row r="411" spans="1:13" x14ac:dyDescent="0.3">
      <c r="A411">
        <f ca="1">OFFSET(srt_raw!$A$1,(ROW()-1)*4+COLUMN()-1,0)</f>
        <v>411</v>
      </c>
      <c r="B411" t="str">
        <f ca="1">OFFSET(srt_raw!$A$1,(ROW()-1)*4+COLUMN()-1,0)</f>
        <v>00:22:36,000 --&gt; 00:22:39,160</v>
      </c>
      <c r="C411" t="str">
        <f ca="1">OFFSET(srt_raw!$A$1,(ROW()-1)*4+COLUMN()-1,0)</f>
        <v>可以发现Q撇不满足十四偶校验约束，</v>
      </c>
      <c r="D411" t="str">
        <f t="shared" ca="1" si="54"/>
        <v>00:22:36,000</v>
      </c>
      <c r="E411" t="str">
        <f t="shared" ca="1" si="55"/>
        <v>00:22:39,160</v>
      </c>
      <c r="F411" s="5" t="str">
        <f t="shared" ca="1" si="56"/>
        <v>00:22:36.000</v>
      </c>
      <c r="G411" s="1" t="str">
        <f t="shared" ca="1" si="57"/>
        <v>00:22:39.160</v>
      </c>
      <c r="H411" s="2">
        <f t="shared" ca="1" si="58"/>
        <v>3.6574074074074286E-5</v>
      </c>
      <c r="I411">
        <f t="shared" ca="1" si="59"/>
        <v>17</v>
      </c>
      <c r="J411" s="2">
        <f t="shared" ca="1" si="60"/>
        <v>2.1514161220043699E-6</v>
      </c>
      <c r="K411">
        <f ca="1">MATCH(ROW(),sub!D:D,0)</f>
        <v>145</v>
      </c>
      <c r="L411" t="b">
        <f t="shared" ca="1" si="61"/>
        <v>1</v>
      </c>
      <c r="M411" s="2">
        <f t="shared" ca="1" si="62"/>
        <v>2.1514161220043699E-6</v>
      </c>
    </row>
    <row r="412" spans="1:13" x14ac:dyDescent="0.3">
      <c r="A412">
        <f ca="1">OFFSET(srt_raw!$A$1,(ROW()-1)*4+COLUMN()-1,0)</f>
        <v>412</v>
      </c>
      <c r="B412" t="str">
        <f ca="1">OFFSET(srt_raw!$A$1,(ROW()-1)*4+COLUMN()-1,0)</f>
        <v>00:22:39,160 --&gt; 00:22:41,360</v>
      </c>
      <c r="C412" t="str">
        <f ca="1">OFFSET(srt_raw!$A$1,(ROW()-1)*4+COLUMN()-1,0)</f>
        <v>因而无法通过公式递推求得，</v>
      </c>
      <c r="D412" t="str">
        <f t="shared" ca="1" si="54"/>
        <v>00:22:39,160</v>
      </c>
      <c r="E412" t="str">
        <f t="shared" ca="1" si="55"/>
        <v>00:22:41,360</v>
      </c>
      <c r="F412" s="5" t="str">
        <f t="shared" ca="1" si="56"/>
        <v>00:22:39.160</v>
      </c>
      <c r="G412" s="1" t="str">
        <f t="shared" ca="1" si="57"/>
        <v>00:22:41.360</v>
      </c>
      <c r="H412" s="2">
        <f t="shared" ca="1" si="58"/>
        <v>2.5462962962959773E-5</v>
      </c>
      <c r="I412">
        <f t="shared" ca="1" si="59"/>
        <v>13</v>
      </c>
      <c r="J412" s="2">
        <f t="shared" ca="1" si="60"/>
        <v>1.9586894586892134E-6</v>
      </c>
      <c r="K412" t="e">
        <f ca="1">MATCH(ROW(),sub!D:D,0)</f>
        <v>#N/A</v>
      </c>
      <c r="L412" t="b">
        <f t="shared" ca="1" si="61"/>
        <v>1</v>
      </c>
      <c r="M412" s="2">
        <f t="shared" ca="1" si="62"/>
        <v>1.9586894586892134E-6</v>
      </c>
    </row>
    <row r="413" spans="1:13" x14ac:dyDescent="0.3">
      <c r="A413">
        <f ca="1">OFFSET(srt_raw!$A$1,(ROW()-1)*4+COLUMN()-1,0)</f>
        <v>413</v>
      </c>
      <c r="B413" t="str">
        <f ca="1">OFFSET(srt_raw!$A$1,(ROW()-1)*4+COLUMN()-1,0)</f>
        <v>00:22:42,000 --&gt; 00:22:45,880</v>
      </c>
      <c r="C413" t="str">
        <f ca="1">OFFSET(srt_raw!$A$1,(ROW()-1)*4+COLUMN()-1,0)</f>
        <v>并且使用Q撇第一行求得的X也不是原方程的解，</v>
      </c>
      <c r="D413" t="str">
        <f t="shared" ca="1" si="54"/>
        <v>00:22:42,000</v>
      </c>
      <c r="E413" t="str">
        <f t="shared" ca="1" si="55"/>
        <v>00:22:45,880</v>
      </c>
      <c r="F413" s="5" t="str">
        <f t="shared" ca="1" si="56"/>
        <v>00:22:42.000</v>
      </c>
      <c r="G413" s="1" t="str">
        <f t="shared" ca="1" si="57"/>
        <v>00:22:45.880</v>
      </c>
      <c r="H413" s="2">
        <f t="shared" ca="1" si="58"/>
        <v>4.4907407407406702E-5</v>
      </c>
      <c r="I413">
        <f t="shared" ca="1" si="59"/>
        <v>22</v>
      </c>
      <c r="J413" s="2">
        <f t="shared" ca="1" si="60"/>
        <v>2.0412457912457592E-6</v>
      </c>
      <c r="K413" t="e">
        <f ca="1">MATCH(ROW(),sub!D:D,0)</f>
        <v>#N/A</v>
      </c>
      <c r="L413" t="b">
        <f t="shared" ca="1" si="61"/>
        <v>0</v>
      </c>
      <c r="M413" s="2">
        <f t="shared" ca="1" si="62"/>
        <v>0</v>
      </c>
    </row>
    <row r="414" spans="1:13" x14ac:dyDescent="0.3">
      <c r="A414">
        <f ca="1">OFFSET(srt_raw!$A$1,(ROW()-1)*4+COLUMN()-1,0)</f>
        <v>414</v>
      </c>
      <c r="B414" t="str">
        <f ca="1">OFFSET(srt_raw!$A$1,(ROW()-1)*4+COLUMN()-1,0)</f>
        <v>00:22:47,360 --&gt; 00:22:51,880</v>
      </c>
      <c r="C414" t="str">
        <f ca="1">OFFSET(srt_raw!$A$1,(ROW()-1)*4+COLUMN()-1,0)</f>
        <v>如果我们令Q撇第一行为QX并且和PX相乘。</v>
      </c>
      <c r="D414" t="str">
        <f t="shared" ca="1" si="54"/>
        <v>00:22:47,360</v>
      </c>
      <c r="E414" t="str">
        <f t="shared" ca="1" si="55"/>
        <v>00:22:51,880</v>
      </c>
      <c r="F414" s="5" t="str">
        <f t="shared" ca="1" si="56"/>
        <v>00:22:47.360</v>
      </c>
      <c r="G414" s="1" t="str">
        <f t="shared" ca="1" si="57"/>
        <v>00:22:51.880</v>
      </c>
      <c r="H414" s="2">
        <f t="shared" ca="1" si="58"/>
        <v>5.2314814814817534E-5</v>
      </c>
      <c r="I414">
        <f t="shared" ca="1" si="59"/>
        <v>21</v>
      </c>
      <c r="J414" s="2">
        <f t="shared" ca="1" si="60"/>
        <v>2.4911816578484541E-6</v>
      </c>
      <c r="K414">
        <f ca="1">MATCH(ROW(),sub!D:D,0)</f>
        <v>146</v>
      </c>
      <c r="L414" t="b">
        <f t="shared" ca="1" si="61"/>
        <v>1</v>
      </c>
      <c r="M414" s="2">
        <f t="shared" ca="1" si="62"/>
        <v>2.4911816578484541E-6</v>
      </c>
    </row>
    <row r="415" spans="1:13" x14ac:dyDescent="0.3">
      <c r="A415">
        <f ca="1">OFFSET(srt_raw!$A$1,(ROW()-1)*4+COLUMN()-1,0)</f>
        <v>415</v>
      </c>
      <c r="B415" t="str">
        <f ca="1">OFFSET(srt_raw!$A$1,(ROW()-1)*4+COLUMN()-1,0)</f>
        <v>00:22:52,080 --&gt; 00:22:54,280</v>
      </c>
      <c r="C415" t="str">
        <f ca="1">OFFSET(srt_raw!$A$1,(ROW()-1)*4+COLUMN()-1,0)</f>
        <v>由此得到的GX不为一，</v>
      </c>
      <c r="D415" t="str">
        <f t="shared" ca="1" si="54"/>
        <v>00:22:52,080</v>
      </c>
      <c r="E415" t="str">
        <f t="shared" ca="1" si="55"/>
        <v>00:22:54,280</v>
      </c>
      <c r="F415" s="5" t="str">
        <f t="shared" ca="1" si="56"/>
        <v>00:22:52.080</v>
      </c>
      <c r="G415" s="1" t="str">
        <f t="shared" ca="1" si="57"/>
        <v>00:22:54.280</v>
      </c>
      <c r="H415" s="2">
        <f t="shared" ca="1" si="58"/>
        <v>2.5462962962963243E-5</v>
      </c>
      <c r="I415">
        <f t="shared" ca="1" si="59"/>
        <v>11</v>
      </c>
      <c r="J415" s="2">
        <f t="shared" ca="1" si="60"/>
        <v>2.3148148148148402E-6</v>
      </c>
      <c r="K415" t="e">
        <f ca="1">MATCH(ROW(),sub!D:D,0)</f>
        <v>#N/A</v>
      </c>
      <c r="L415" t="b">
        <f t="shared" ca="1" si="61"/>
        <v>1</v>
      </c>
      <c r="M415" s="2">
        <f t="shared" ca="1" si="62"/>
        <v>2.3148148148148402E-6</v>
      </c>
    </row>
    <row r="416" spans="1:13" x14ac:dyDescent="0.3">
      <c r="A416">
        <f ca="1">OFFSET(srt_raw!$A$1,(ROW()-1)*4+COLUMN()-1,0)</f>
        <v>416</v>
      </c>
      <c r="B416" t="str">
        <f ca="1">OFFSET(srt_raw!$A$1,(ROW()-1)*4+COLUMN()-1,0)</f>
        <v>00:22:54,360 --&gt; 00:22:57,160</v>
      </c>
      <c r="C416" t="str">
        <f ca="1">OFFSET(srt_raw!$A$1,(ROW()-1)*4+COLUMN()-1,0)</f>
        <v>且最高次数为四。</v>
      </c>
      <c r="D416" t="str">
        <f t="shared" ca="1" si="54"/>
        <v>00:22:54,360</v>
      </c>
      <c r="E416" t="str">
        <f t="shared" ca="1" si="55"/>
        <v>00:22:57,160</v>
      </c>
      <c r="F416" s="5" t="str">
        <f t="shared" ca="1" si="56"/>
        <v>00:22:54.360</v>
      </c>
      <c r="G416" s="1" t="str">
        <f t="shared" ca="1" si="57"/>
        <v>00:22:57.160</v>
      </c>
      <c r="H416" s="2">
        <f t="shared" ca="1" si="58"/>
        <v>3.2407407407411548E-5</v>
      </c>
      <c r="I416">
        <f t="shared" ca="1" si="59"/>
        <v>8</v>
      </c>
      <c r="J416" s="2">
        <f t="shared" ca="1" si="60"/>
        <v>4.0509259259264435E-6</v>
      </c>
      <c r="K416" t="e">
        <f ca="1">MATCH(ROW(),sub!D:D,0)</f>
        <v>#N/A</v>
      </c>
      <c r="L416" t="b">
        <f t="shared" ca="1" si="61"/>
        <v>0</v>
      </c>
      <c r="M416" s="2">
        <f t="shared" ca="1" si="62"/>
        <v>0</v>
      </c>
    </row>
    <row r="417" spans="1:13" x14ac:dyDescent="0.3">
      <c r="A417">
        <f ca="1">OFFSET(srt_raw!$A$1,(ROW()-1)*4+COLUMN()-1,0)</f>
        <v>417</v>
      </c>
      <c r="B417" t="str">
        <f ca="1">OFFSET(srt_raw!$A$1,(ROW()-1)*4+COLUMN()-1,0)</f>
        <v>00:22:57,160 --&gt; 00:22:57,840</v>
      </c>
      <c r="C417" t="str">
        <f ca="1">OFFSET(srt_raw!$A$1,(ROW()-1)*4+COLUMN()-1,0)</f>
        <v>另一方面，</v>
      </c>
      <c r="D417" t="str">
        <f t="shared" ca="1" si="54"/>
        <v>00:22:57,160</v>
      </c>
      <c r="E417" t="str">
        <f t="shared" ca="1" si="55"/>
        <v>00:22:57,840</v>
      </c>
      <c r="F417" s="5" t="str">
        <f t="shared" ca="1" si="56"/>
        <v>00:22:57.160</v>
      </c>
      <c r="G417" s="1" t="str">
        <f t="shared" ca="1" si="57"/>
        <v>00:22:57.840</v>
      </c>
      <c r="H417" s="2">
        <f t="shared" ca="1" si="58"/>
        <v>7.8703703703664196E-6</v>
      </c>
      <c r="I417">
        <f t="shared" ca="1" si="59"/>
        <v>5</v>
      </c>
      <c r="J417" s="2">
        <f t="shared" ca="1" si="60"/>
        <v>1.5740740740732839E-6</v>
      </c>
      <c r="K417">
        <f ca="1">MATCH(ROW(),sub!D:D,0)</f>
        <v>147</v>
      </c>
      <c r="L417" t="b">
        <f t="shared" ca="1" si="61"/>
        <v>1</v>
      </c>
      <c r="M417" s="2">
        <f t="shared" ca="1" si="62"/>
        <v>1.5740740740732839E-6</v>
      </c>
    </row>
    <row r="418" spans="1:13" x14ac:dyDescent="0.3">
      <c r="A418">
        <f ca="1">OFFSET(srt_raw!$A$1,(ROW()-1)*4+COLUMN()-1,0)</f>
        <v>418</v>
      </c>
      <c r="B418" t="str">
        <f ca="1">OFFSET(srt_raw!$A$1,(ROW()-1)*4+COLUMN()-1,0)</f>
        <v>00:22:57,920 --&gt; 00:23:00,600</v>
      </c>
      <c r="C418" t="str">
        <f ca="1">OFFSET(srt_raw!$A$1,(ROW()-1)*4+COLUMN()-1,0)</f>
        <v>如果我们直接使用扩展欧几里德法，</v>
      </c>
      <c r="D418" t="str">
        <f t="shared" ca="1" si="54"/>
        <v>00:22:57,920</v>
      </c>
      <c r="E418" t="str">
        <f t="shared" ca="1" si="55"/>
        <v>00:23:00,600</v>
      </c>
      <c r="F418" s="5" t="str">
        <f t="shared" ca="1" si="56"/>
        <v>00:22:57.920</v>
      </c>
      <c r="G418" s="1" t="str">
        <f t="shared" ca="1" si="57"/>
        <v>00:23:00.600</v>
      </c>
      <c r="H418" s="2">
        <f t="shared" ca="1" si="58"/>
        <v>3.101851851851703E-5</v>
      </c>
      <c r="I418">
        <f t="shared" ca="1" si="59"/>
        <v>16</v>
      </c>
      <c r="J418" s="2">
        <f t="shared" ca="1" si="60"/>
        <v>1.9386574074073144E-6</v>
      </c>
      <c r="K418" t="e">
        <f ca="1">MATCH(ROW(),sub!D:D,0)</f>
        <v>#N/A</v>
      </c>
      <c r="L418" t="b">
        <f t="shared" ca="1" si="61"/>
        <v>1</v>
      </c>
      <c r="M418" s="2">
        <f t="shared" ca="1" si="62"/>
        <v>1.9386574074073144E-6</v>
      </c>
    </row>
    <row r="419" spans="1:13" x14ac:dyDescent="0.3">
      <c r="A419">
        <f ca="1">OFFSET(srt_raw!$A$1,(ROW()-1)*4+COLUMN()-1,0)</f>
        <v>419</v>
      </c>
      <c r="B419" t="str">
        <f ca="1">OFFSET(srt_raw!$A$1,(ROW()-1)*4+COLUMN()-1,0)</f>
        <v>00:23:00,600 --&gt; 00:23:03,440</v>
      </c>
      <c r="C419" t="str">
        <f ca="1">OFFSET(srt_raw!$A$1,(ROW()-1)*4+COLUMN()-1,0)</f>
        <v>通过PX和FX进行求解，</v>
      </c>
      <c r="D419" t="str">
        <f t="shared" ca="1" si="54"/>
        <v>00:23:00,600</v>
      </c>
      <c r="E419" t="str">
        <f t="shared" ca="1" si="55"/>
        <v>00:23:03,440</v>
      </c>
      <c r="F419" s="5" t="str">
        <f t="shared" ca="1" si="56"/>
        <v>00:23:00.600</v>
      </c>
      <c r="G419" s="1" t="str">
        <f t="shared" ca="1" si="57"/>
        <v>00:23:03.440</v>
      </c>
      <c r="H419" s="2">
        <f t="shared" ca="1" si="58"/>
        <v>3.2870370370370605E-5</v>
      </c>
      <c r="I419">
        <f t="shared" ca="1" si="59"/>
        <v>12</v>
      </c>
      <c r="J419" s="2">
        <f t="shared" ca="1" si="60"/>
        <v>2.7391975308642172E-6</v>
      </c>
      <c r="K419" t="e">
        <f ca="1">MATCH(ROW(),sub!D:D,0)</f>
        <v>#N/A</v>
      </c>
      <c r="L419" t="b">
        <f t="shared" ca="1" si="61"/>
        <v>1</v>
      </c>
      <c r="M419" s="2">
        <f t="shared" ca="1" si="62"/>
        <v>2.7391975308642172E-6</v>
      </c>
    </row>
    <row r="420" spans="1:13" x14ac:dyDescent="0.3">
      <c r="A420">
        <f ca="1">OFFSET(srt_raw!$A$1,(ROW()-1)*4+COLUMN()-1,0)</f>
        <v>420</v>
      </c>
      <c r="B420" t="str">
        <f ca="1">OFFSET(srt_raw!$A$1,(ROW()-1)*4+COLUMN()-1,0)</f>
        <v>00:23:03,440 --&gt; 00:23:05,400</v>
      </c>
      <c r="C420" t="str">
        <f ca="1">OFFSET(srt_raw!$A$1,(ROW()-1)*4+COLUMN()-1,0)</f>
        <v>得到的GX也不为一。</v>
      </c>
      <c r="D420" t="str">
        <f t="shared" ca="1" si="54"/>
        <v>00:23:03,440</v>
      </c>
      <c r="E420" t="str">
        <f t="shared" ca="1" si="55"/>
        <v>00:23:05,400</v>
      </c>
      <c r="F420" s="5" t="str">
        <f t="shared" ca="1" si="56"/>
        <v>00:23:03.440</v>
      </c>
      <c r="G420" s="1" t="str">
        <f t="shared" ca="1" si="57"/>
        <v>00:23:05.400</v>
      </c>
      <c r="H420" s="2">
        <f t="shared" ca="1" si="58"/>
        <v>2.2685185185188084E-5</v>
      </c>
      <c r="I420">
        <f t="shared" ca="1" si="59"/>
        <v>10</v>
      </c>
      <c r="J420" s="2">
        <f t="shared" ca="1" si="60"/>
        <v>2.2685185185188085E-6</v>
      </c>
      <c r="K420" t="e">
        <f ca="1">MATCH(ROW(),sub!D:D,0)</f>
        <v>#N/A</v>
      </c>
      <c r="L420" t="b">
        <f t="shared" ca="1" si="61"/>
        <v>0</v>
      </c>
      <c r="M420" s="2">
        <f t="shared" ca="1" si="62"/>
        <v>0</v>
      </c>
    </row>
    <row r="421" spans="1:13" x14ac:dyDescent="0.3">
      <c r="A421">
        <f ca="1">OFFSET(srt_raw!$A$1,(ROW()-1)*4+COLUMN()-1,0)</f>
        <v>421</v>
      </c>
      <c r="B421" t="str">
        <f ca="1">OFFSET(srt_raw!$A$1,(ROW()-1)*4+COLUMN()-1,0)</f>
        <v>00:23:06,880 --&gt; 00:23:09,720</v>
      </c>
      <c r="C421" t="str">
        <f ca="1">OFFSET(srt_raw!$A$1,(ROW()-1)*4+COLUMN()-1,0)</f>
        <v>将求得的QX和PX相乘，</v>
      </c>
      <c r="D421" t="str">
        <f t="shared" ca="1" si="54"/>
        <v>00:23:06,880</v>
      </c>
      <c r="E421" t="str">
        <f t="shared" ca="1" si="55"/>
        <v>00:23:09,720</v>
      </c>
      <c r="F421" s="5" t="str">
        <f t="shared" ca="1" si="56"/>
        <v>00:23:06.880</v>
      </c>
      <c r="G421" s="1" t="str">
        <f t="shared" ca="1" si="57"/>
        <v>00:23:09.720</v>
      </c>
      <c r="H421" s="2">
        <f t="shared" ca="1" si="58"/>
        <v>3.2870370370370605E-5</v>
      </c>
      <c r="I421">
        <f t="shared" ca="1" si="59"/>
        <v>12</v>
      </c>
      <c r="J421" s="2">
        <f t="shared" ca="1" si="60"/>
        <v>2.7391975308642172E-6</v>
      </c>
      <c r="K421">
        <f ca="1">MATCH(ROW(),sub!D:D,0)</f>
        <v>148</v>
      </c>
      <c r="L421" t="b">
        <f t="shared" ca="1" si="61"/>
        <v>1</v>
      </c>
      <c r="M421" s="2">
        <f t="shared" ca="1" si="62"/>
        <v>2.7391975308642172E-6</v>
      </c>
    </row>
    <row r="422" spans="1:13" x14ac:dyDescent="0.3">
      <c r="A422">
        <f ca="1">OFFSET(srt_raw!$A$1,(ROW()-1)*4+COLUMN()-1,0)</f>
        <v>422</v>
      </c>
      <c r="B422" t="str">
        <f ca="1">OFFSET(srt_raw!$A$1,(ROW()-1)*4+COLUMN()-1,0)</f>
        <v>00:23:09,720 --&gt; 00:23:11,800</v>
      </c>
      <c r="C422" t="str">
        <f ca="1">OFFSET(srt_raw!$A$1,(ROW()-1)*4+COLUMN()-1,0)</f>
        <v>得到刚才求得的GX，</v>
      </c>
      <c r="D422" t="str">
        <f t="shared" ca="1" si="54"/>
        <v>00:23:09,720</v>
      </c>
      <c r="E422" t="str">
        <f t="shared" ca="1" si="55"/>
        <v>00:23:11,800</v>
      </c>
      <c r="F422" s="5" t="str">
        <f t="shared" ca="1" si="56"/>
        <v>00:23:09.720</v>
      </c>
      <c r="G422" s="1" t="str">
        <f t="shared" ca="1" si="57"/>
        <v>00:23:11.800</v>
      </c>
      <c r="H422" s="2">
        <f t="shared" ca="1" si="58"/>
        <v>2.4074074074072194E-5</v>
      </c>
      <c r="I422">
        <f t="shared" ca="1" si="59"/>
        <v>10</v>
      </c>
      <c r="J422" s="2">
        <f t="shared" ca="1" si="60"/>
        <v>2.4074074074072195E-6</v>
      </c>
      <c r="K422" t="e">
        <f ca="1">MATCH(ROW(),sub!D:D,0)</f>
        <v>#N/A</v>
      </c>
      <c r="L422" t="b">
        <f t="shared" ca="1" si="61"/>
        <v>1</v>
      </c>
      <c r="M422" s="2">
        <f t="shared" ca="1" si="62"/>
        <v>2.4074074074072195E-6</v>
      </c>
    </row>
    <row r="423" spans="1:13" x14ac:dyDescent="0.3">
      <c r="A423">
        <f ca="1">OFFSET(srt_raw!$A$1,(ROW()-1)*4+COLUMN()-1,0)</f>
        <v>423</v>
      </c>
      <c r="B423" t="str">
        <f ca="1">OFFSET(srt_raw!$A$1,(ROW()-1)*4+COLUMN()-1,0)</f>
        <v>00:23:11,800 --&gt; 00:23:13,280</v>
      </c>
      <c r="C423" t="str">
        <f ca="1">OFFSET(srt_raw!$A$1,(ROW()-1)*4+COLUMN()-1,0)</f>
        <v>其最高次数为二。</v>
      </c>
      <c r="D423" t="str">
        <f t="shared" ca="1" si="54"/>
        <v>00:23:11,800</v>
      </c>
      <c r="E423" t="str">
        <f t="shared" ca="1" si="55"/>
        <v>00:23:13,280</v>
      </c>
      <c r="F423" s="5" t="str">
        <f t="shared" ca="1" si="56"/>
        <v>00:23:11.800</v>
      </c>
      <c r="G423" s="1" t="str">
        <f t="shared" ca="1" si="57"/>
        <v>00:23:13.280</v>
      </c>
      <c r="H423" s="2">
        <f t="shared" ca="1" si="58"/>
        <v>1.7129629629630827E-5</v>
      </c>
      <c r="I423">
        <f t="shared" ca="1" si="59"/>
        <v>8</v>
      </c>
      <c r="J423" s="2">
        <f t="shared" ca="1" si="60"/>
        <v>2.1412037037038534E-6</v>
      </c>
      <c r="K423" t="e">
        <f ca="1">MATCH(ROW(),sub!D:D,0)</f>
        <v>#N/A</v>
      </c>
      <c r="L423" t="b">
        <f t="shared" ca="1" si="61"/>
        <v>0</v>
      </c>
      <c r="M423" s="2">
        <f t="shared" ca="1" si="62"/>
        <v>0</v>
      </c>
    </row>
    <row r="424" spans="1:13" x14ac:dyDescent="0.3">
      <c r="A424">
        <f ca="1">OFFSET(srt_raw!$A$1,(ROW()-1)*4+COLUMN()-1,0)</f>
        <v>424</v>
      </c>
      <c r="B424" t="str">
        <f ca="1">OFFSET(srt_raw!$A$1,(ROW()-1)*4+COLUMN()-1,0)</f>
        <v>00:23:14,800 --&gt; 00:23:16,960</v>
      </c>
      <c r="C424" t="str">
        <f ca="1">OFFSET(srt_raw!$A$1,(ROW()-1)*4+COLUMN()-1,0)</f>
        <v>这里我们计算QHY，</v>
      </c>
      <c r="D424" t="str">
        <f t="shared" ca="1" si="54"/>
        <v>00:23:14,800</v>
      </c>
      <c r="E424" t="str">
        <f t="shared" ca="1" si="55"/>
        <v>00:23:16,960</v>
      </c>
      <c r="F424" s="5" t="str">
        <f t="shared" ca="1" si="56"/>
        <v>00:23:14.800</v>
      </c>
      <c r="G424" s="1" t="str">
        <f t="shared" ca="1" si="57"/>
        <v>00:23:16.960</v>
      </c>
      <c r="H424" s="2">
        <f t="shared" ca="1" si="58"/>
        <v>2.5000000000000716E-5</v>
      </c>
      <c r="I424">
        <f t="shared" ca="1" si="59"/>
        <v>10</v>
      </c>
      <c r="J424" s="2">
        <f t="shared" ca="1" si="60"/>
        <v>2.5000000000000718E-6</v>
      </c>
      <c r="K424">
        <f ca="1">MATCH(ROW(),sub!D:D,0)</f>
        <v>149</v>
      </c>
      <c r="L424" t="b">
        <f t="shared" ca="1" si="61"/>
        <v>1</v>
      </c>
      <c r="M424" s="2">
        <f t="shared" ca="1" si="62"/>
        <v>2.5000000000000718E-6</v>
      </c>
    </row>
    <row r="425" spans="1:13" x14ac:dyDescent="0.3">
      <c r="A425">
        <f ca="1">OFFSET(srt_raw!$A$1,(ROW()-1)*4+COLUMN()-1,0)</f>
        <v>425</v>
      </c>
      <c r="B425" t="str">
        <f ca="1">OFFSET(srt_raw!$A$1,(ROW()-1)*4+COLUMN()-1,0)</f>
        <v>00:23:17,040 --&gt; 00:23:19,560</v>
      </c>
      <c r="C425" t="str">
        <f ca="1">OFFSET(srt_raw!$A$1,(ROW()-1)*4+COLUMN()-1,0)</f>
        <v>发现求得的X也不是正确的解。</v>
      </c>
      <c r="D425" t="str">
        <f t="shared" ca="1" si="54"/>
        <v>00:23:17,040</v>
      </c>
      <c r="E425" t="str">
        <f t="shared" ca="1" si="55"/>
        <v>00:23:19,560</v>
      </c>
      <c r="F425" s="5" t="str">
        <f t="shared" ca="1" si="56"/>
        <v>00:23:17.040</v>
      </c>
      <c r="G425" s="1" t="str">
        <f t="shared" ca="1" si="57"/>
        <v>00:23:19.560</v>
      </c>
      <c r="H425" s="2">
        <f t="shared" ca="1" si="58"/>
        <v>2.9166666666666924E-5</v>
      </c>
      <c r="I425">
        <f t="shared" ca="1" si="59"/>
        <v>14</v>
      </c>
      <c r="J425" s="2">
        <f t="shared" ca="1" si="60"/>
        <v>2.0833333333333516E-6</v>
      </c>
      <c r="K425" t="e">
        <f ca="1">MATCH(ROW(),sub!D:D,0)</f>
        <v>#N/A</v>
      </c>
      <c r="L425" t="b">
        <f t="shared" ca="1" si="61"/>
        <v>0</v>
      </c>
      <c r="M425" s="2">
        <f t="shared" ca="1" si="62"/>
        <v>0</v>
      </c>
    </row>
    <row r="426" spans="1:13" x14ac:dyDescent="0.3">
      <c r="A426">
        <f ca="1">OFFSET(srt_raw!$A$1,(ROW()-1)*4+COLUMN()-1,0)</f>
        <v>426</v>
      </c>
      <c r="B426" t="str">
        <f ca="1">OFFSET(srt_raw!$A$1,(ROW()-1)*4+COLUMN()-1,0)</f>
        <v>00:23:21,120 --&gt; 00:23:24,840</v>
      </c>
      <c r="C426" t="str">
        <f ca="1">OFFSET(srt_raw!$A$1,(ROW()-1)*4+COLUMN()-1,0)</f>
        <v>两种方法求得的QX和GX都不相同，</v>
      </c>
      <c r="D426" t="str">
        <f t="shared" ca="1" si="54"/>
        <v>00:23:21,120</v>
      </c>
      <c r="E426" t="str">
        <f t="shared" ca="1" si="55"/>
        <v>00:23:24,840</v>
      </c>
      <c r="F426" s="5" t="str">
        <f t="shared" ca="1" si="56"/>
        <v>00:23:21.120</v>
      </c>
      <c r="G426" s="1" t="str">
        <f t="shared" ca="1" si="57"/>
        <v>00:23:24.840</v>
      </c>
      <c r="H426" s="2">
        <f t="shared" ca="1" si="58"/>
        <v>4.3055555555556596E-5</v>
      </c>
      <c r="I426">
        <f t="shared" ca="1" si="59"/>
        <v>17</v>
      </c>
      <c r="J426" s="2">
        <f t="shared" ca="1" si="60"/>
        <v>2.5326797385621528E-6</v>
      </c>
      <c r="K426">
        <f ca="1">MATCH(ROW(),sub!D:D,0)</f>
        <v>150</v>
      </c>
      <c r="L426" t="b">
        <f t="shared" ca="1" si="61"/>
        <v>1</v>
      </c>
      <c r="M426" s="2">
        <f t="shared" ca="1" si="62"/>
        <v>2.5326797385621528E-6</v>
      </c>
    </row>
    <row r="427" spans="1:13" x14ac:dyDescent="0.3">
      <c r="A427">
        <f ca="1">OFFSET(srt_raw!$A$1,(ROW()-1)*4+COLUMN()-1,0)</f>
        <v>427</v>
      </c>
      <c r="B427" t="str">
        <f ca="1">OFFSET(srt_raw!$A$1,(ROW()-1)*4+COLUMN()-1,0)</f>
        <v>00:23:24,920 --&gt; 00:23:26,280</v>
      </c>
      <c r="C427" t="str">
        <f ca="1">OFFSET(srt_raw!$A$1,(ROW()-1)*4+COLUMN()-1,0)</f>
        <v>GX都不唯一，</v>
      </c>
      <c r="D427" t="str">
        <f t="shared" ca="1" si="54"/>
        <v>00:23:24,920</v>
      </c>
      <c r="E427" t="str">
        <f t="shared" ca="1" si="55"/>
        <v>00:23:26,280</v>
      </c>
      <c r="F427" s="5" t="str">
        <f t="shared" ca="1" si="56"/>
        <v>00:23:24.920</v>
      </c>
      <c r="G427" s="1" t="str">
        <f t="shared" ca="1" si="57"/>
        <v>00:23:26.280</v>
      </c>
      <c r="H427" s="2">
        <f t="shared" ca="1" si="58"/>
        <v>1.5740740740739778E-5</v>
      </c>
      <c r="I427">
        <f t="shared" ca="1" si="59"/>
        <v>7</v>
      </c>
      <c r="J427" s="2">
        <f t="shared" ca="1" si="60"/>
        <v>2.2486772486771112E-6</v>
      </c>
      <c r="K427" t="e">
        <f ca="1">MATCH(ROW(),sub!D:D,0)</f>
        <v>#N/A</v>
      </c>
      <c r="L427" t="b">
        <f t="shared" ca="1" si="61"/>
        <v>1</v>
      </c>
      <c r="M427" s="2">
        <f t="shared" ca="1" si="62"/>
        <v>2.2486772486771112E-6</v>
      </c>
    </row>
    <row r="428" spans="1:13" x14ac:dyDescent="0.3">
      <c r="A428">
        <f ca="1">OFFSET(srt_raw!$A$1,(ROW()-1)*4+COLUMN()-1,0)</f>
        <v>428</v>
      </c>
      <c r="B428" t="str">
        <f ca="1">OFFSET(srt_raw!$A$1,(ROW()-1)*4+COLUMN()-1,0)</f>
        <v>00:23:26,400 --&gt; 00:23:29,240</v>
      </c>
      <c r="C428" t="str">
        <f ca="1">OFFSET(srt_raw!$A$1,(ROW()-1)*4+COLUMN()-1,0)</f>
        <v>并且QHY也都不是正确的解。</v>
      </c>
      <c r="D428" t="str">
        <f t="shared" ca="1" si="54"/>
        <v>00:23:26,400</v>
      </c>
      <c r="E428" t="str">
        <f t="shared" ca="1" si="55"/>
        <v>00:23:29,240</v>
      </c>
      <c r="F428" s="5" t="str">
        <f t="shared" ca="1" si="56"/>
        <v>00:23:26.400</v>
      </c>
      <c r="G428" s="1" t="str">
        <f t="shared" ca="1" si="57"/>
        <v>00:23:29.240</v>
      </c>
      <c r="H428" s="2">
        <f t="shared" ca="1" si="58"/>
        <v>3.2870370370367136E-5</v>
      </c>
      <c r="I428">
        <f t="shared" ca="1" si="59"/>
        <v>14</v>
      </c>
      <c r="J428" s="2">
        <f t="shared" ca="1" si="60"/>
        <v>2.347883597883367E-6</v>
      </c>
      <c r="K428" t="e">
        <f ca="1">MATCH(ROW(),sub!D:D,0)</f>
        <v>#N/A</v>
      </c>
      <c r="L428" t="b">
        <f t="shared" ca="1" si="61"/>
        <v>0</v>
      </c>
      <c r="M428" s="2">
        <f t="shared" ca="1" si="62"/>
        <v>0</v>
      </c>
    </row>
    <row r="429" spans="1:13" x14ac:dyDescent="0.3">
      <c r="A429">
        <f ca="1">OFFSET(srt_raw!$A$1,(ROW()-1)*4+COLUMN()-1,0)</f>
        <v>429</v>
      </c>
      <c r="B429" t="str">
        <f ca="1">OFFSET(srt_raw!$A$1,(ROW()-1)*4+COLUMN()-1,0)</f>
        <v>00:23:30,720 --&gt; 00:23:31,360</v>
      </c>
      <c r="C429" t="str">
        <f ca="1">OFFSET(srt_raw!$A$1,(ROW()-1)*4+COLUMN()-1,0)</f>
        <v>因此，</v>
      </c>
      <c r="D429" t="str">
        <f t="shared" ca="1" si="54"/>
        <v>00:23:30,720</v>
      </c>
      <c r="E429" t="str">
        <f t="shared" ca="1" si="55"/>
        <v>00:23:31,360</v>
      </c>
      <c r="F429" s="5" t="str">
        <f t="shared" ca="1" si="56"/>
        <v>00:23:30.720</v>
      </c>
      <c r="G429" s="1" t="str">
        <f t="shared" ca="1" si="57"/>
        <v>00:23:31.360</v>
      </c>
      <c r="H429" s="2">
        <f t="shared" ca="1" si="58"/>
        <v>7.4074074074073626E-6</v>
      </c>
      <c r="I429">
        <f t="shared" ca="1" si="59"/>
        <v>3</v>
      </c>
      <c r="J429" s="2">
        <f t="shared" ca="1" si="60"/>
        <v>2.469135802469121E-6</v>
      </c>
      <c r="K429">
        <f ca="1">MATCH(ROW(),sub!D:D,0)</f>
        <v>151</v>
      </c>
      <c r="L429" t="b">
        <f t="shared" ca="1" si="61"/>
        <v>1</v>
      </c>
      <c r="M429" s="2">
        <f t="shared" ca="1" si="62"/>
        <v>2.469135802469121E-6</v>
      </c>
    </row>
    <row r="430" spans="1:13" x14ac:dyDescent="0.3">
      <c r="A430">
        <f ca="1">OFFSET(srt_raw!$A$1,(ROW()-1)*4+COLUMN()-1,0)</f>
        <v>430</v>
      </c>
      <c r="B430" t="str">
        <f ca="1">OFFSET(srt_raw!$A$1,(ROW()-1)*4+COLUMN()-1,0)</f>
        <v>00:23:31,360 --&gt; 00:23:33,120</v>
      </c>
      <c r="C430" t="str">
        <f ca="1">OFFSET(srt_raw!$A$1,(ROW()-1)*4+COLUMN()-1,0)</f>
        <v>如果GX不唯一，</v>
      </c>
      <c r="D430" t="str">
        <f t="shared" ca="1" si="54"/>
        <v>00:23:31,360</v>
      </c>
      <c r="E430" t="str">
        <f t="shared" ca="1" si="55"/>
        <v>00:23:33,120</v>
      </c>
      <c r="F430" s="5" t="str">
        <f t="shared" ca="1" si="56"/>
        <v>00:23:31.360</v>
      </c>
      <c r="G430" s="1" t="str">
        <f t="shared" ca="1" si="57"/>
        <v>00:23:33.120</v>
      </c>
      <c r="H430" s="2">
        <f t="shared" ca="1" si="58"/>
        <v>2.0370370370368512E-5</v>
      </c>
      <c r="I430">
        <f t="shared" ca="1" si="59"/>
        <v>8</v>
      </c>
      <c r="J430" s="2">
        <f t="shared" ca="1" si="60"/>
        <v>2.546296296296064E-6</v>
      </c>
      <c r="K430" t="e">
        <f ca="1">MATCH(ROW(),sub!D:D,0)</f>
        <v>#N/A</v>
      </c>
      <c r="L430" t="b">
        <f t="shared" ca="1" si="61"/>
        <v>1</v>
      </c>
      <c r="M430" s="2">
        <f t="shared" ca="1" si="62"/>
        <v>2.546296296296064E-6</v>
      </c>
    </row>
    <row r="431" spans="1:13" x14ac:dyDescent="0.3">
      <c r="A431">
        <f ca="1">OFFSET(srt_raw!$A$1,(ROW()-1)*4+COLUMN()-1,0)</f>
        <v>431</v>
      </c>
      <c r="B431" t="str">
        <f ca="1">OFFSET(srt_raw!$A$1,(ROW()-1)*4+COLUMN()-1,0)</f>
        <v>00:23:33,120 --&gt; 00:23:40,560</v>
      </c>
      <c r="C431" t="str">
        <f ca="1">OFFSET(srt_raw!$A$1,(ROW()-1)*4+COLUMN()-1,0)</f>
        <v>则QX不满足QXPX等于1modFX或者说满足QXPX等于1</v>
      </c>
      <c r="D431" t="str">
        <f t="shared" ca="1" si="54"/>
        <v>00:23:33,120</v>
      </c>
      <c r="E431" t="str">
        <f t="shared" ca="1" si="55"/>
        <v>00:23:40,560</v>
      </c>
      <c r="F431" s="5" t="str">
        <f t="shared" ca="1" si="56"/>
        <v>00:23:33.120</v>
      </c>
      <c r="G431" s="1" t="str">
        <f t="shared" ca="1" si="57"/>
        <v>00:23:40.560</v>
      </c>
      <c r="H431" s="2">
        <f t="shared" ca="1" si="58"/>
        <v>8.6111111111113192E-5</v>
      </c>
      <c r="I431">
        <f t="shared" ca="1" si="59"/>
        <v>30</v>
      </c>
      <c r="J431" s="2">
        <f t="shared" ca="1" si="60"/>
        <v>2.8703703703704397E-6</v>
      </c>
      <c r="K431" t="e">
        <f ca="1">MATCH(ROW(),sub!D:D,0)</f>
        <v>#N/A</v>
      </c>
      <c r="L431" t="b">
        <f t="shared" ca="1" si="61"/>
        <v>1</v>
      </c>
      <c r="M431" s="2">
        <f t="shared" ca="1" si="62"/>
        <v>2.8703703703704397E-6</v>
      </c>
    </row>
    <row r="432" spans="1:13" x14ac:dyDescent="0.3">
      <c r="A432">
        <f ca="1">OFFSET(srt_raw!$A$1,(ROW()-1)*4+COLUMN()-1,0)</f>
        <v>432</v>
      </c>
      <c r="B432" t="str">
        <f ca="1">OFFSET(srt_raw!$A$1,(ROW()-1)*4+COLUMN()-1,0)</f>
        <v>00:23:40,560 --&gt; 00:23:42,040</v>
      </c>
      <c r="C432" t="str">
        <f ca="1">OFFSET(srt_raw!$A$1,(ROW()-1)*4+COLUMN()-1,0)</f>
        <v>的QX不存在。</v>
      </c>
      <c r="D432" t="str">
        <f t="shared" ca="1" si="54"/>
        <v>00:23:40,560</v>
      </c>
      <c r="E432" t="str">
        <f t="shared" ca="1" si="55"/>
        <v>00:23:42,040</v>
      </c>
      <c r="F432" s="5" t="str">
        <f t="shared" ca="1" si="56"/>
        <v>00:23:40.560</v>
      </c>
      <c r="G432" s="1" t="str">
        <f t="shared" ca="1" si="57"/>
        <v>00:23:42.040</v>
      </c>
      <c r="H432" s="2">
        <f t="shared" ca="1" si="58"/>
        <v>1.7129629629627358E-5</v>
      </c>
      <c r="I432">
        <f t="shared" ca="1" si="59"/>
        <v>7</v>
      </c>
      <c r="J432" s="2">
        <f t="shared" ca="1" si="60"/>
        <v>2.4470899470896223E-6</v>
      </c>
      <c r="K432" t="e">
        <f ca="1">MATCH(ROW(),sub!D:D,0)</f>
        <v>#N/A</v>
      </c>
      <c r="L432" t="b">
        <f t="shared" ca="1" si="61"/>
        <v>0</v>
      </c>
      <c r="M432" s="2">
        <f t="shared" ca="1" si="62"/>
        <v>0</v>
      </c>
    </row>
    <row r="433" spans="1:13" x14ac:dyDescent="0.3">
      <c r="A433">
        <f ca="1">OFFSET(srt_raw!$A$1,(ROW()-1)*4+COLUMN()-1,0)</f>
        <v>433</v>
      </c>
      <c r="B433" t="str">
        <f ca="1">OFFSET(srt_raw!$A$1,(ROW()-1)*4+COLUMN()-1,0)</f>
        <v>00:23:43,520 --&gt; 00:23:44,000</v>
      </c>
      <c r="C433" t="str">
        <f ca="1">OFFSET(srt_raw!$A$1,(ROW()-1)*4+COLUMN()-1,0)</f>
        <v>那么，</v>
      </c>
      <c r="D433" t="str">
        <f t="shared" ca="1" si="54"/>
        <v>00:23:43,520</v>
      </c>
      <c r="E433" t="str">
        <f t="shared" ca="1" si="55"/>
        <v>00:23:44,000</v>
      </c>
      <c r="F433" s="5" t="str">
        <f t="shared" ca="1" si="56"/>
        <v>00:23:43.520</v>
      </c>
      <c r="G433" s="1" t="str">
        <f t="shared" ca="1" si="57"/>
        <v>00:23:44.000</v>
      </c>
      <c r="H433" s="2">
        <f t="shared" ca="1" si="58"/>
        <v>5.5555555555572567E-6</v>
      </c>
      <c r="I433">
        <f t="shared" ca="1" si="59"/>
        <v>3</v>
      </c>
      <c r="J433" s="2">
        <f t="shared" ca="1" si="60"/>
        <v>1.851851851852419E-6</v>
      </c>
      <c r="K433">
        <f ca="1">MATCH(ROW(),sub!D:D,0)</f>
        <v>152</v>
      </c>
      <c r="L433" t="b">
        <f t="shared" ca="1" si="61"/>
        <v>1</v>
      </c>
      <c r="M433" s="2">
        <f t="shared" ca="1" si="62"/>
        <v>1.851851851852419E-6</v>
      </c>
    </row>
    <row r="434" spans="1:13" x14ac:dyDescent="0.3">
      <c r="A434">
        <f ca="1">OFFSET(srt_raw!$A$1,(ROW()-1)*4+COLUMN()-1,0)</f>
        <v>434</v>
      </c>
      <c r="B434" t="str">
        <f ca="1">OFFSET(srt_raw!$A$1,(ROW()-1)*4+COLUMN()-1,0)</f>
        <v>00:23:44,000 --&gt; 00:23:45,520</v>
      </c>
      <c r="C434" t="str">
        <f ca="1">OFFSET(srt_raw!$A$1,(ROW()-1)*4+COLUMN()-1,0)</f>
        <v>对于不可逆的矩阵B，</v>
      </c>
      <c r="D434" t="str">
        <f t="shared" ca="1" si="54"/>
        <v>00:23:44,000</v>
      </c>
      <c r="E434" t="str">
        <f t="shared" ca="1" si="55"/>
        <v>00:23:45,520</v>
      </c>
      <c r="F434" s="5" t="str">
        <f t="shared" ca="1" si="56"/>
        <v>00:23:44.000</v>
      </c>
      <c r="G434" s="1" t="str">
        <f t="shared" ca="1" si="57"/>
        <v>00:23:45.520</v>
      </c>
      <c r="H434" s="2">
        <f t="shared" ca="1" si="58"/>
        <v>1.7592592592589884E-5</v>
      </c>
      <c r="I434">
        <f t="shared" ca="1" si="59"/>
        <v>10</v>
      </c>
      <c r="J434" s="2">
        <f t="shared" ca="1" si="60"/>
        <v>1.7592592592589883E-6</v>
      </c>
      <c r="K434" t="e">
        <f ca="1">MATCH(ROW(),sub!D:D,0)</f>
        <v>#N/A</v>
      </c>
      <c r="L434" t="b">
        <f t="shared" ca="1" si="61"/>
        <v>1</v>
      </c>
      <c r="M434" s="2">
        <f t="shared" ca="1" si="62"/>
        <v>1.7592592592589883E-6</v>
      </c>
    </row>
    <row r="435" spans="1:13" x14ac:dyDescent="0.3">
      <c r="A435">
        <f ca="1">OFFSET(srt_raw!$A$1,(ROW()-1)*4+COLUMN()-1,0)</f>
        <v>435</v>
      </c>
      <c r="B435" t="str">
        <f ca="1">OFFSET(srt_raw!$A$1,(ROW()-1)*4+COLUMN()-1,0)</f>
        <v>00:23:45,600 --&gt; 00:23:48,240</v>
      </c>
      <c r="C435" t="str">
        <f ca="1">OFFSET(srt_raw!$A$1,(ROW()-1)*4+COLUMN()-1,0)</f>
        <v>我们又有什么方法可以求出正确的解呢？</v>
      </c>
      <c r="D435" t="str">
        <f t="shared" ca="1" si="54"/>
        <v>00:23:45,600</v>
      </c>
      <c r="E435" t="str">
        <f t="shared" ca="1" si="55"/>
        <v>00:23:48,240</v>
      </c>
      <c r="F435" s="5" t="str">
        <f t="shared" ca="1" si="56"/>
        <v>00:23:45.600</v>
      </c>
      <c r="G435" s="1" t="str">
        <f t="shared" ca="1" si="57"/>
        <v>00:23:48.240</v>
      </c>
      <c r="H435" s="2">
        <f t="shared" ca="1" si="58"/>
        <v>3.0555555555557973E-5</v>
      </c>
      <c r="I435">
        <f t="shared" ca="1" si="59"/>
        <v>18</v>
      </c>
      <c r="J435" s="2">
        <f t="shared" ca="1" si="60"/>
        <v>1.6975308641976651E-6</v>
      </c>
      <c r="K435" t="e">
        <f ca="1">MATCH(ROW(),sub!D:D,0)</f>
        <v>#N/A</v>
      </c>
      <c r="L435" t="b">
        <f t="shared" ca="1" si="61"/>
        <v>0</v>
      </c>
      <c r="M435" s="2">
        <f t="shared" ca="1" si="62"/>
        <v>0</v>
      </c>
    </row>
    <row r="436" spans="1:13" x14ac:dyDescent="0.3">
      <c r="A436">
        <f ca="1">OFFSET(srt_raw!$A$1,(ROW()-1)*4+COLUMN()-1,0)</f>
        <v>436</v>
      </c>
      <c r="B436" t="str">
        <f ca="1">OFFSET(srt_raw!$A$1,(ROW()-1)*4+COLUMN()-1,0)</f>
        <v>00:23:49,760 --&gt; 00:23:51,600</v>
      </c>
      <c r="C436" t="str">
        <f ca="1">OFFSET(srt_raw!$A$1,(ROW()-1)*4+COLUMN()-1,0)</f>
        <v>在刚才的首行求逆法中，</v>
      </c>
      <c r="D436" t="str">
        <f t="shared" ca="1" si="54"/>
        <v>00:23:49,760</v>
      </c>
      <c r="E436" t="str">
        <f t="shared" ca="1" si="55"/>
        <v>00:23:51,600</v>
      </c>
      <c r="F436" s="5" t="str">
        <f t="shared" ca="1" si="56"/>
        <v>00:23:49.760</v>
      </c>
      <c r="G436" s="1" t="str">
        <f t="shared" ca="1" si="57"/>
        <v>00:23:51.600</v>
      </c>
      <c r="H436" s="2">
        <f t="shared" ca="1" si="58"/>
        <v>2.1296296296293565E-5</v>
      </c>
      <c r="I436">
        <f t="shared" ca="1" si="59"/>
        <v>11</v>
      </c>
      <c r="J436" s="2">
        <f t="shared" ca="1" si="60"/>
        <v>1.936026936026688E-6</v>
      </c>
      <c r="K436">
        <f ca="1">MATCH(ROW(),sub!D:D,0)</f>
        <v>153</v>
      </c>
      <c r="L436" t="b">
        <f t="shared" ca="1" si="61"/>
        <v>1</v>
      </c>
      <c r="M436" s="2">
        <f t="shared" ca="1" si="62"/>
        <v>1.936026936026688E-6</v>
      </c>
    </row>
    <row r="437" spans="1:13" x14ac:dyDescent="0.3">
      <c r="A437">
        <f ca="1">OFFSET(srt_raw!$A$1,(ROW()-1)*4+COLUMN()-1,0)</f>
        <v>437</v>
      </c>
      <c r="B437" t="str">
        <f ca="1">OFFSET(srt_raw!$A$1,(ROW()-1)*4+COLUMN()-1,0)</f>
        <v>00:23:51,600 --&gt; 00:23:52,680</v>
      </c>
      <c r="C437" t="str">
        <f ca="1">OFFSET(srt_raw!$A$1,(ROW()-1)*4+COLUMN()-1,0)</f>
        <v>我们有这些公式。</v>
      </c>
      <c r="D437" t="str">
        <f t="shared" ca="1" si="54"/>
        <v>00:23:51,600</v>
      </c>
      <c r="E437" t="str">
        <f t="shared" ca="1" si="55"/>
        <v>00:23:52,680</v>
      </c>
      <c r="F437" s="5" t="str">
        <f t="shared" ca="1" si="56"/>
        <v>00:23:51.600</v>
      </c>
      <c r="G437" s="1" t="str">
        <f t="shared" ca="1" si="57"/>
        <v>00:23:52.680</v>
      </c>
      <c r="H437" s="2">
        <f t="shared" ca="1" si="58"/>
        <v>1.2500000000002093E-5</v>
      </c>
      <c r="I437">
        <f t="shared" ca="1" si="59"/>
        <v>8</v>
      </c>
      <c r="J437" s="2">
        <f t="shared" ca="1" si="60"/>
        <v>1.5625000000002616E-6</v>
      </c>
      <c r="K437" t="e">
        <f ca="1">MATCH(ROW(),sub!D:D,0)</f>
        <v>#N/A</v>
      </c>
      <c r="L437" t="b">
        <f t="shared" ca="1" si="61"/>
        <v>0</v>
      </c>
      <c r="M437" s="2">
        <f t="shared" ca="1" si="62"/>
        <v>0</v>
      </c>
    </row>
    <row r="438" spans="1:13" x14ac:dyDescent="0.3">
      <c r="A438">
        <f ca="1">OFFSET(srt_raw!$A$1,(ROW()-1)*4+COLUMN()-1,0)</f>
        <v>438</v>
      </c>
      <c r="B438" t="str">
        <f ca="1">OFFSET(srt_raw!$A$1,(ROW()-1)*4+COLUMN()-1,0)</f>
        <v>00:23:54,160 --&gt; 00:24:00,520</v>
      </c>
      <c r="C438" t="str">
        <f ca="1">OFFSET(srt_raw!$A$1,(ROW()-1)*4+COLUMN()-1,0)</f>
        <v>现在我们定义多项是Q撇X满足Q撇XPX等于GXmodFX。</v>
      </c>
      <c r="D438" t="str">
        <f t="shared" ca="1" si="54"/>
        <v>00:23:54,160</v>
      </c>
      <c r="E438" t="str">
        <f t="shared" ca="1" si="55"/>
        <v>00:24:00,520</v>
      </c>
      <c r="F438" s="5" t="str">
        <f t="shared" ca="1" si="56"/>
        <v>00:23:54.160</v>
      </c>
      <c r="G438" s="1" t="str">
        <f t="shared" ca="1" si="57"/>
        <v>00:24:00.520</v>
      </c>
      <c r="H438" s="2">
        <f t="shared" ca="1" si="58"/>
        <v>7.3611111111111099E-5</v>
      </c>
      <c r="I438">
        <f t="shared" ca="1" si="59"/>
        <v>29</v>
      </c>
      <c r="J438" s="2">
        <f t="shared" ca="1" si="60"/>
        <v>2.5383141762452102E-6</v>
      </c>
      <c r="K438">
        <f ca="1">MATCH(ROW(),sub!D:D,0)</f>
        <v>154</v>
      </c>
      <c r="L438" t="b">
        <f t="shared" ca="1" si="61"/>
        <v>0</v>
      </c>
      <c r="M438" s="2">
        <f t="shared" ca="1" si="62"/>
        <v>0</v>
      </c>
    </row>
    <row r="439" spans="1:13" x14ac:dyDescent="0.3">
      <c r="A439">
        <f ca="1">OFFSET(srt_raw!$A$1,(ROW()-1)*4+COLUMN()-1,0)</f>
        <v>439</v>
      </c>
      <c r="B439" t="str">
        <f ca="1">OFFSET(srt_raw!$A$1,(ROW()-1)*4+COLUMN()-1,0)</f>
        <v>00:24:02,400 --&gt; 00:24:08,880</v>
      </c>
      <c r="C439" t="str">
        <f ca="1">OFFSET(srt_raw!$A$1,(ROW()-1)*4+COLUMN()-1,0)</f>
        <v>其中GX也就是刚才提到的最大公因子Q撇X就是刚才求得的QX。</v>
      </c>
      <c r="D439" t="str">
        <f t="shared" ca="1" si="54"/>
        <v>00:24:02,400</v>
      </c>
      <c r="E439" t="str">
        <f t="shared" ca="1" si="55"/>
        <v>00:24:08,880</v>
      </c>
      <c r="F439" s="5" t="str">
        <f t="shared" ca="1" si="56"/>
        <v>00:24:02.400</v>
      </c>
      <c r="G439" s="1" t="str">
        <f t="shared" ca="1" si="57"/>
        <v>00:24:08.880</v>
      </c>
      <c r="H439" s="2">
        <f t="shared" ca="1" si="58"/>
        <v>7.4999999999998679E-5</v>
      </c>
      <c r="I439">
        <f t="shared" ca="1" si="59"/>
        <v>30</v>
      </c>
      <c r="J439" s="2">
        <f t="shared" ca="1" si="60"/>
        <v>2.4999999999999562E-6</v>
      </c>
      <c r="K439">
        <f ca="1">MATCH(ROW(),sub!D:D,0)</f>
        <v>155</v>
      </c>
      <c r="L439" t="b">
        <f t="shared" ca="1" si="61"/>
        <v>0</v>
      </c>
      <c r="M439" s="2">
        <f t="shared" ca="1" si="62"/>
        <v>0</v>
      </c>
    </row>
    <row r="440" spans="1:13" x14ac:dyDescent="0.3">
      <c r="A440">
        <f ca="1">OFFSET(srt_raw!$A$1,(ROW()-1)*4+COLUMN()-1,0)</f>
        <v>440</v>
      </c>
      <c r="B440" t="str">
        <f ca="1">OFFSET(srt_raw!$A$1,(ROW()-1)*4+COLUMN()-1,0)</f>
        <v>00:24:10,720 --&gt; 00:24:13,440</v>
      </c>
      <c r="C440" t="str">
        <f ca="1">OFFSET(srt_raw!$A$1,(ROW()-1)*4+COLUMN()-1,0)</f>
        <v>由于原本求得的X并不是正确的解，</v>
      </c>
      <c r="D440" t="str">
        <f t="shared" ca="1" si="54"/>
        <v>00:24:10,720</v>
      </c>
      <c r="E440" t="str">
        <f t="shared" ca="1" si="55"/>
        <v>00:24:13,440</v>
      </c>
      <c r="F440" s="5" t="str">
        <f t="shared" ca="1" si="56"/>
        <v>00:24:10.720</v>
      </c>
      <c r="G440" s="1" t="str">
        <f t="shared" ca="1" si="57"/>
        <v>00:24:13.440</v>
      </c>
      <c r="H440" s="2">
        <f t="shared" ca="1" si="58"/>
        <v>3.1481481481483026E-5</v>
      </c>
      <c r="I440">
        <f t="shared" ca="1" si="59"/>
        <v>16</v>
      </c>
      <c r="J440" s="2">
        <f t="shared" ca="1" si="60"/>
        <v>1.9675925925926891E-6</v>
      </c>
      <c r="K440">
        <f ca="1">MATCH(ROW(),sub!D:D,0)</f>
        <v>156</v>
      </c>
      <c r="L440" t="b">
        <f t="shared" ca="1" si="61"/>
        <v>1</v>
      </c>
      <c r="M440" s="2">
        <f t="shared" ca="1" si="62"/>
        <v>1.9675925925926891E-6</v>
      </c>
    </row>
    <row r="441" spans="1:13" x14ac:dyDescent="0.3">
      <c r="A441">
        <f ca="1">OFFSET(srt_raw!$A$1,(ROW()-1)*4+COLUMN()-1,0)</f>
        <v>441</v>
      </c>
      <c r="B441" t="str">
        <f ca="1">OFFSET(srt_raw!$A$1,(ROW()-1)*4+COLUMN()-1,0)</f>
        <v>00:24:13,520 --&gt; 00:24:17,680</v>
      </c>
      <c r="C441" t="str">
        <f ca="1">OFFSET(srt_raw!$A$1,(ROW()-1)*4+COLUMN()-1,0)</f>
        <v>我们将其重命名为Z即Z等于Q撇HY。</v>
      </c>
      <c r="D441" t="str">
        <f t="shared" ca="1" si="54"/>
        <v>00:24:13,520</v>
      </c>
      <c r="E441" t="str">
        <f t="shared" ca="1" si="55"/>
        <v>00:24:17,680</v>
      </c>
      <c r="F441" s="5" t="str">
        <f t="shared" ca="1" si="56"/>
        <v>00:24:13.520</v>
      </c>
      <c r="G441" s="1" t="str">
        <f t="shared" ca="1" si="57"/>
        <v>00:24:17.680</v>
      </c>
      <c r="H441" s="2">
        <f t="shared" ca="1" si="58"/>
        <v>4.8148148148147857E-5</v>
      </c>
      <c r="I441">
        <f t="shared" ca="1" si="59"/>
        <v>18</v>
      </c>
      <c r="J441" s="2">
        <f t="shared" ca="1" si="60"/>
        <v>2.6748971193415476E-6</v>
      </c>
      <c r="K441" t="e">
        <f ca="1">MATCH(ROW(),sub!D:D,0)</f>
        <v>#N/A</v>
      </c>
      <c r="L441" t="b">
        <f t="shared" ca="1" si="61"/>
        <v>0</v>
      </c>
      <c r="M441" s="2">
        <f t="shared" ca="1" si="62"/>
        <v>0</v>
      </c>
    </row>
    <row r="442" spans="1:13" x14ac:dyDescent="0.3">
      <c r="A442">
        <f ca="1">OFFSET(srt_raw!$A$1,(ROW()-1)*4+COLUMN()-1,0)</f>
        <v>442</v>
      </c>
      <c r="B442" t="str">
        <f ca="1">OFFSET(srt_raw!$A$1,(ROW()-1)*4+COLUMN()-1,0)</f>
        <v>00:24:19,760 --&gt; 00:24:20,280</v>
      </c>
      <c r="C442" t="str">
        <f ca="1">OFFSET(srt_raw!$A$1,(ROW()-1)*4+COLUMN()-1,0)</f>
        <v>同时，</v>
      </c>
      <c r="D442" t="str">
        <f t="shared" ca="1" si="54"/>
        <v>00:24:19,760</v>
      </c>
      <c r="E442" t="str">
        <f t="shared" ca="1" si="55"/>
        <v>00:24:20,280</v>
      </c>
      <c r="F442" s="5" t="str">
        <f t="shared" ca="1" si="56"/>
        <v>00:24:19.760</v>
      </c>
      <c r="G442" s="1" t="str">
        <f t="shared" ca="1" si="57"/>
        <v>00:24:20.280</v>
      </c>
      <c r="H442" s="2">
        <f t="shared" ca="1" si="58"/>
        <v>6.0185185185197831E-6</v>
      </c>
      <c r="I442">
        <f t="shared" ca="1" si="59"/>
        <v>3</v>
      </c>
      <c r="J442" s="2">
        <f t="shared" ca="1" si="60"/>
        <v>2.0061728395065945E-6</v>
      </c>
      <c r="K442">
        <f ca="1">MATCH(ROW(),sub!D:D,0)</f>
        <v>157</v>
      </c>
      <c r="L442" t="b">
        <f t="shared" ca="1" si="61"/>
        <v>1</v>
      </c>
      <c r="M442" s="2">
        <f t="shared" ca="1" si="62"/>
        <v>2.0061728395065945E-6</v>
      </c>
    </row>
    <row r="443" spans="1:13" x14ac:dyDescent="0.3">
      <c r="A443">
        <f ca="1">OFFSET(srt_raw!$A$1,(ROW()-1)*4+COLUMN()-1,0)</f>
        <v>443</v>
      </c>
      <c r="B443" t="str">
        <f ca="1">OFFSET(srt_raw!$A$1,(ROW()-1)*4+COLUMN()-1,0)</f>
        <v>00:24:20,280 --&gt; 00:24:23,240</v>
      </c>
      <c r="C443" t="str">
        <f ca="1">OFFSET(srt_raw!$A$1,(ROW()-1)*4+COLUMN()-1,0)</f>
        <v>我们定义Q撇X的逆多项式P撇X，</v>
      </c>
      <c r="D443" t="str">
        <f t="shared" ca="1" si="54"/>
        <v>00:24:20,280</v>
      </c>
      <c r="E443" t="str">
        <f t="shared" ca="1" si="55"/>
        <v>00:24:23,240</v>
      </c>
      <c r="F443" s="5" t="str">
        <f t="shared" ca="1" si="56"/>
        <v>00:24:20.280</v>
      </c>
      <c r="G443" s="1" t="str">
        <f t="shared" ca="1" si="57"/>
        <v>00:24:23.240</v>
      </c>
      <c r="H443" s="2">
        <f t="shared" ca="1" si="58"/>
        <v>3.4259259259258185E-5</v>
      </c>
      <c r="I443">
        <f t="shared" ca="1" si="59"/>
        <v>16</v>
      </c>
      <c r="J443" s="2">
        <f t="shared" ca="1" si="60"/>
        <v>2.1412037037036365E-6</v>
      </c>
      <c r="K443" t="e">
        <f ca="1">MATCH(ROW(),sub!D:D,0)</f>
        <v>#N/A</v>
      </c>
      <c r="L443" t="b">
        <f t="shared" ca="1" si="61"/>
        <v>1</v>
      </c>
      <c r="M443" s="2">
        <f t="shared" ca="1" si="62"/>
        <v>2.1412037037036365E-6</v>
      </c>
    </row>
    <row r="444" spans="1:13" x14ac:dyDescent="0.3">
      <c r="A444">
        <f ca="1">OFFSET(srt_raw!$A$1,(ROW()-1)*4+COLUMN()-1,0)</f>
        <v>444</v>
      </c>
      <c r="B444" t="str">
        <f ca="1">OFFSET(srt_raw!$A$1,(ROW()-1)*4+COLUMN()-1,0)</f>
        <v>00:24:23,440 --&gt; 00:24:24,480</v>
      </c>
      <c r="C444" t="str">
        <f ca="1">OFFSET(srt_raw!$A$1,(ROW()-1)*4+COLUMN()-1,0)</f>
        <v>即Q撇X，</v>
      </c>
      <c r="D444" t="str">
        <f t="shared" ca="1" si="54"/>
        <v>00:24:23,440</v>
      </c>
      <c r="E444" t="str">
        <f t="shared" ca="1" si="55"/>
        <v>00:24:24,480</v>
      </c>
      <c r="F444" s="5" t="str">
        <f t="shared" ca="1" si="56"/>
        <v>00:24:23.440</v>
      </c>
      <c r="G444" s="1" t="str">
        <f t="shared" ca="1" si="57"/>
        <v>00:24:24.480</v>
      </c>
      <c r="H444" s="2">
        <f t="shared" ca="1" si="58"/>
        <v>1.2037037037036097E-5</v>
      </c>
      <c r="I444">
        <f t="shared" ca="1" si="59"/>
        <v>5</v>
      </c>
      <c r="J444" s="2">
        <f t="shared" ca="1" si="60"/>
        <v>2.4074074074072195E-6</v>
      </c>
      <c r="K444" t="e">
        <f ca="1">MATCH(ROW(),sub!D:D,0)</f>
        <v>#N/A</v>
      </c>
      <c r="L444" t="b">
        <f t="shared" ca="1" si="61"/>
        <v>1</v>
      </c>
      <c r="M444" s="2">
        <f t="shared" ca="1" si="62"/>
        <v>2.4074074074072195E-6</v>
      </c>
    </row>
    <row r="445" spans="1:13" x14ac:dyDescent="0.3">
      <c r="A445">
        <f ca="1">OFFSET(srt_raw!$A$1,(ROW()-1)*4+COLUMN()-1,0)</f>
        <v>445</v>
      </c>
      <c r="B445" t="str">
        <f ca="1">OFFSET(srt_raw!$A$1,(ROW()-1)*4+COLUMN()-1,0)</f>
        <v>00:24:24,480 --&gt; 00:24:26,920</v>
      </c>
      <c r="C445" t="str">
        <f ca="1">OFFSET(srt_raw!$A$1,(ROW()-1)*4+COLUMN()-1,0)</f>
        <v>P撇X等于1modFX。</v>
      </c>
      <c r="D445" t="str">
        <f t="shared" ca="1" si="54"/>
        <v>00:24:24,480</v>
      </c>
      <c r="E445" t="str">
        <f t="shared" ca="1" si="55"/>
        <v>00:24:26,920</v>
      </c>
      <c r="F445" s="5" t="str">
        <f t="shared" ca="1" si="56"/>
        <v>00:24:24.480</v>
      </c>
      <c r="G445" s="1" t="str">
        <f t="shared" ca="1" si="57"/>
        <v>00:24:26.920</v>
      </c>
      <c r="H445" s="2">
        <f t="shared" ca="1" si="58"/>
        <v>2.8240740740741871E-5</v>
      </c>
      <c r="I445">
        <f t="shared" ca="1" si="59"/>
        <v>12</v>
      </c>
      <c r="J445" s="2">
        <f t="shared" ca="1" si="60"/>
        <v>2.3533950617284894E-6</v>
      </c>
      <c r="K445" t="e">
        <f ca="1">MATCH(ROW(),sub!D:D,0)</f>
        <v>#N/A</v>
      </c>
      <c r="L445" t="b">
        <f t="shared" ca="1" si="61"/>
        <v>0</v>
      </c>
      <c r="M445" s="2">
        <f t="shared" ca="1" si="62"/>
        <v>0</v>
      </c>
    </row>
    <row r="446" spans="1:13" x14ac:dyDescent="0.3">
      <c r="A446">
        <f ca="1">OFFSET(srt_raw!$A$1,(ROW()-1)*4+COLUMN()-1,0)</f>
        <v>446</v>
      </c>
      <c r="B446" t="str">
        <f ca="1">OFFSET(srt_raw!$A$1,(ROW()-1)*4+COLUMN()-1,0)</f>
        <v>00:24:28,480 --&gt; 00:24:30,160</v>
      </c>
      <c r="C446" t="str">
        <f ca="1">OFFSET(srt_raw!$A$1,(ROW()-1)*4+COLUMN()-1,0)</f>
        <v>我们不难推出这些式子，</v>
      </c>
      <c r="D446" t="str">
        <f t="shared" ca="1" si="54"/>
        <v>00:24:28,480</v>
      </c>
      <c r="E446" t="str">
        <f t="shared" ca="1" si="55"/>
        <v>00:24:30,160</v>
      </c>
      <c r="F446" s="5" t="str">
        <f t="shared" ca="1" si="56"/>
        <v>00:24:28.480</v>
      </c>
      <c r="G446" s="1" t="str">
        <f t="shared" ca="1" si="57"/>
        <v>00:24:30.160</v>
      </c>
      <c r="H446" s="2">
        <f t="shared" ca="1" si="58"/>
        <v>1.9444444444443459E-5</v>
      </c>
      <c r="I446">
        <f t="shared" ca="1" si="59"/>
        <v>11</v>
      </c>
      <c r="J446" s="2">
        <f t="shared" ca="1" si="60"/>
        <v>1.767676767676678E-6</v>
      </c>
      <c r="K446">
        <f ca="1">MATCH(ROW(),sub!D:D,0)</f>
        <v>158</v>
      </c>
      <c r="L446" t="b">
        <f t="shared" ca="1" si="61"/>
        <v>1</v>
      </c>
      <c r="M446" s="2">
        <f t="shared" ca="1" si="62"/>
        <v>1.767676767676678E-6</v>
      </c>
    </row>
    <row r="447" spans="1:13" x14ac:dyDescent="0.3">
      <c r="A447">
        <f ca="1">OFFSET(srt_raw!$A$1,(ROW()-1)*4+COLUMN()-1,0)</f>
        <v>447</v>
      </c>
      <c r="B447" t="str">
        <f ca="1">OFFSET(srt_raw!$A$1,(ROW()-1)*4+COLUMN()-1,0)</f>
        <v>00:24:30,640 --&gt; 00:24:36,000</v>
      </c>
      <c r="C447" t="str">
        <f ca="1">OFFSET(srt_raw!$A$1,(ROW()-1)*4+COLUMN()-1,0)</f>
        <v>为了方便表示这里将modFX的部分省去了。</v>
      </c>
      <c r="D447" t="str">
        <f t="shared" ca="1" si="54"/>
        <v>00:24:30,640</v>
      </c>
      <c r="E447" t="str">
        <f t="shared" ca="1" si="55"/>
        <v>00:24:36,000</v>
      </c>
      <c r="F447" s="5" t="str">
        <f t="shared" ca="1" si="56"/>
        <v>00:24:30.640</v>
      </c>
      <c r="G447" s="1" t="str">
        <f t="shared" ca="1" si="57"/>
        <v>00:24:36.000</v>
      </c>
      <c r="H447" s="2">
        <f t="shared" ca="1" si="58"/>
        <v>6.203703703703406E-5</v>
      </c>
      <c r="I447">
        <f t="shared" ca="1" si="59"/>
        <v>21</v>
      </c>
      <c r="J447" s="2">
        <f t="shared" ca="1" si="60"/>
        <v>2.9541446208111457E-6</v>
      </c>
      <c r="K447" t="e">
        <f ca="1">MATCH(ROW(),sub!D:D,0)</f>
        <v>#N/A</v>
      </c>
      <c r="L447" t="b">
        <f t="shared" ca="1" si="61"/>
        <v>0</v>
      </c>
      <c r="M447" s="2">
        <f t="shared" ca="1" si="62"/>
        <v>0</v>
      </c>
    </row>
    <row r="448" spans="1:13" x14ac:dyDescent="0.3">
      <c r="A448">
        <f ca="1">OFFSET(srt_raw!$A$1,(ROW()-1)*4+COLUMN()-1,0)</f>
        <v>448</v>
      </c>
      <c r="B448" t="str">
        <f ca="1">OFFSET(srt_raw!$A$1,(ROW()-1)*4+COLUMN()-1,0)</f>
        <v>00:24:36,000 --&gt; 00:24:36,640</v>
      </c>
      <c r="C448" t="str">
        <f ca="1">OFFSET(srt_raw!$A$1,(ROW()-1)*4+COLUMN()-1,0)</f>
        <v>整理后，</v>
      </c>
      <c r="D448" t="str">
        <f t="shared" ca="1" si="54"/>
        <v>00:24:36,000</v>
      </c>
      <c r="E448" t="str">
        <f t="shared" ca="1" si="55"/>
        <v>00:24:36,640</v>
      </c>
      <c r="F448" s="5" t="str">
        <f t="shared" ca="1" si="56"/>
        <v>00:24:36.000</v>
      </c>
      <c r="G448" s="1" t="str">
        <f t="shared" ca="1" si="57"/>
        <v>00:24:36.640</v>
      </c>
      <c r="H448" s="2">
        <f t="shared" ca="1" si="58"/>
        <v>7.407407407410832E-6</v>
      </c>
      <c r="I448">
        <f t="shared" ca="1" si="59"/>
        <v>4</v>
      </c>
      <c r="J448" s="2">
        <f t="shared" ca="1" si="60"/>
        <v>1.851851851852708E-6</v>
      </c>
      <c r="K448">
        <f ca="1">MATCH(ROW(),sub!D:D,0)</f>
        <v>159</v>
      </c>
      <c r="L448" t="b">
        <f t="shared" ca="1" si="61"/>
        <v>1</v>
      </c>
      <c r="M448" s="2">
        <f t="shared" ca="1" si="62"/>
        <v>1.851851851852708E-6</v>
      </c>
    </row>
    <row r="449" spans="1:13" x14ac:dyDescent="0.3">
      <c r="A449">
        <f ca="1">OFFSET(srt_raw!$A$1,(ROW()-1)*4+COLUMN()-1,0)</f>
        <v>449</v>
      </c>
      <c r="B449" t="str">
        <f ca="1">OFFSET(srt_raw!$A$1,(ROW()-1)*4+COLUMN()-1,0)</f>
        <v>00:24:36,640 --&gt; 00:24:38,200</v>
      </c>
      <c r="C449" t="str">
        <f ca="1">OFFSET(srt_raw!$A$1,(ROW()-1)*4+COLUMN()-1,0)</f>
        <v>我们可以得到这些式子。</v>
      </c>
      <c r="D449" t="str">
        <f t="shared" ref="D449:D512" ca="1" si="63">LEFT(B449,12)</f>
        <v>00:24:36,640</v>
      </c>
      <c r="E449" t="str">
        <f t="shared" ref="E449:E512" ca="1" si="64">RIGHT(B449,12)</f>
        <v>00:24:38,200</v>
      </c>
      <c r="F449" s="5" t="str">
        <f t="shared" ref="F449:F512" ca="1" si="65">SUBSTITUTE(D449,",",".")</f>
        <v>00:24:36.640</v>
      </c>
      <c r="G449" s="1" t="str">
        <f t="shared" ref="G449:G512" ca="1" si="66">SUBSTITUTE(E449,",",".")</f>
        <v>00:24:38.200</v>
      </c>
      <c r="H449" s="2">
        <f t="shared" ref="H449:H512" ca="1" si="67">G449-F449</f>
        <v>1.8055555555552411E-5</v>
      </c>
      <c r="I449">
        <f t="shared" ref="I449:I512" ca="1" si="68">LEN(C449)</f>
        <v>11</v>
      </c>
      <c r="J449" s="2">
        <f t="shared" ref="J449:J512" ca="1" si="69">H449/I449</f>
        <v>1.6414141414138554E-6</v>
      </c>
      <c r="K449" t="e">
        <f ca="1">MATCH(ROW(),sub!D:D,0)</f>
        <v>#N/A</v>
      </c>
      <c r="L449" t="b">
        <f t="shared" ref="L449:L512" ca="1" si="70">ISERROR(K450)</f>
        <v>0</v>
      </c>
      <c r="M449" s="2">
        <f t="shared" ref="M449:M512" ca="1" si="71">IF(L449,J449,0)</f>
        <v>0</v>
      </c>
    </row>
    <row r="450" spans="1:13" x14ac:dyDescent="0.3">
      <c r="A450">
        <f ca="1">OFFSET(srt_raw!$A$1,(ROW()-1)*4+COLUMN()-1,0)</f>
        <v>450</v>
      </c>
      <c r="B450" t="str">
        <f ca="1">OFFSET(srt_raw!$A$1,(ROW()-1)*4+COLUMN()-1,0)</f>
        <v>00:24:39,680 --&gt; 00:24:40,240</v>
      </c>
      <c r="C450" t="str">
        <f ca="1">OFFSET(srt_raw!$A$1,(ROW()-1)*4+COLUMN()-1,0)</f>
        <v>最终，</v>
      </c>
      <c r="D450" t="str">
        <f t="shared" ca="1" si="63"/>
        <v>00:24:39,680</v>
      </c>
      <c r="E450" t="str">
        <f t="shared" ca="1" si="64"/>
        <v>00:24:40,240</v>
      </c>
      <c r="F450" s="5" t="str">
        <f t="shared" ca="1" si="65"/>
        <v>00:24:39.680</v>
      </c>
      <c r="G450" s="1" t="str">
        <f t="shared" ca="1" si="66"/>
        <v>00:24:40.240</v>
      </c>
      <c r="H450" s="2">
        <f t="shared" ca="1" si="67"/>
        <v>6.4814814814823096E-6</v>
      </c>
      <c r="I450">
        <f t="shared" ca="1" si="68"/>
        <v>3</v>
      </c>
      <c r="J450" s="2">
        <f t="shared" ca="1" si="69"/>
        <v>2.1604938271607699E-6</v>
      </c>
      <c r="K450">
        <f ca="1">MATCH(ROW(),sub!D:D,0)</f>
        <v>160</v>
      </c>
      <c r="L450" t="b">
        <f t="shared" ca="1" si="70"/>
        <v>1</v>
      </c>
      <c r="M450" s="2">
        <f t="shared" ca="1" si="71"/>
        <v>2.1604938271607699E-6</v>
      </c>
    </row>
    <row r="451" spans="1:13" x14ac:dyDescent="0.3">
      <c r="A451">
        <f ca="1">OFFSET(srt_raw!$A$1,(ROW()-1)*4+COLUMN()-1,0)</f>
        <v>451</v>
      </c>
      <c r="B451" t="str">
        <f ca="1">OFFSET(srt_raw!$A$1,(ROW()-1)*4+COLUMN()-1,0)</f>
        <v>00:24:40,240 --&gt; 00:24:44,040</v>
      </c>
      <c r="C451" t="str">
        <f ca="1">OFFSET(srt_raw!$A$1,(ROW()-1)*4+COLUMN()-1,0)</f>
        <v>我们得到了C等于GHX这里，</v>
      </c>
      <c r="D451" t="str">
        <f t="shared" ca="1" si="63"/>
        <v>00:24:40,240</v>
      </c>
      <c r="E451" t="str">
        <f t="shared" ca="1" si="64"/>
        <v>00:24:44,040</v>
      </c>
      <c r="F451" s="5" t="str">
        <f t="shared" ca="1" si="65"/>
        <v>00:24:40.240</v>
      </c>
      <c r="G451" s="1" t="str">
        <f t="shared" ca="1" si="66"/>
        <v>00:24:44.040</v>
      </c>
      <c r="H451" s="2">
        <f t="shared" ca="1" si="67"/>
        <v>4.398148148147818E-5</v>
      </c>
      <c r="I451">
        <f t="shared" ca="1" si="68"/>
        <v>14</v>
      </c>
      <c r="J451" s="2">
        <f t="shared" ca="1" si="69"/>
        <v>3.1415343915341557E-6</v>
      </c>
      <c r="K451" t="e">
        <f ca="1">MATCH(ROW(),sub!D:D,0)</f>
        <v>#N/A</v>
      </c>
      <c r="L451" t="b">
        <f t="shared" ca="1" si="70"/>
        <v>1</v>
      </c>
      <c r="M451" s="2">
        <f t="shared" ca="1" si="71"/>
        <v>3.1415343915341557E-6</v>
      </c>
    </row>
    <row r="452" spans="1:13" x14ac:dyDescent="0.3">
      <c r="A452">
        <f ca="1">OFFSET(srt_raw!$A$1,(ROW()-1)*4+COLUMN()-1,0)</f>
        <v>452</v>
      </c>
      <c r="B452" t="str">
        <f ca="1">OFFSET(srt_raw!$A$1,(ROW()-1)*4+COLUMN()-1,0)</f>
        <v>00:24:44,040 --&gt; 00:24:45,520</v>
      </c>
      <c r="C452" t="str">
        <f ca="1">OFFSET(srt_raw!$A$1,(ROW()-1)*4+COLUMN()-1,0)</f>
        <v>如果GX等于1，</v>
      </c>
      <c r="D452" t="str">
        <f t="shared" ca="1" si="63"/>
        <v>00:24:44,040</v>
      </c>
      <c r="E452" t="str">
        <f t="shared" ca="1" si="64"/>
        <v>00:24:45,520</v>
      </c>
      <c r="F452" s="5" t="str">
        <f t="shared" ca="1" si="65"/>
        <v>00:24:44.040</v>
      </c>
      <c r="G452" s="1" t="str">
        <f t="shared" ca="1" si="66"/>
        <v>00:24:45.520</v>
      </c>
      <c r="H452" s="2">
        <f t="shared" ca="1" si="67"/>
        <v>1.7129629629630827E-5</v>
      </c>
      <c r="I452">
        <f t="shared" ca="1" si="68"/>
        <v>8</v>
      </c>
      <c r="J452" s="2">
        <f t="shared" ca="1" si="69"/>
        <v>2.1412037037038534E-6</v>
      </c>
      <c r="K452" t="e">
        <f ca="1">MATCH(ROW(),sub!D:D,0)</f>
        <v>#N/A</v>
      </c>
      <c r="L452" t="b">
        <f t="shared" ca="1" si="70"/>
        <v>1</v>
      </c>
      <c r="M452" s="2">
        <f t="shared" ca="1" si="71"/>
        <v>2.1412037037038534E-6</v>
      </c>
    </row>
    <row r="453" spans="1:13" x14ac:dyDescent="0.3">
      <c r="A453">
        <f ca="1">OFFSET(srt_raw!$A$1,(ROW()-1)*4+COLUMN()-1,0)</f>
        <v>453</v>
      </c>
      <c r="B453" t="str">
        <f ca="1">OFFSET(srt_raw!$A$1,(ROW()-1)*4+COLUMN()-1,0)</f>
        <v>00:24:45,680 --&gt; 00:24:47,160</v>
      </c>
      <c r="C453" t="str">
        <f ca="1">OFFSET(srt_raw!$A$1,(ROW()-1)*4+COLUMN()-1,0)</f>
        <v>则会有右边这些式子。</v>
      </c>
      <c r="D453" t="str">
        <f t="shared" ca="1" si="63"/>
        <v>00:24:45,680</v>
      </c>
      <c r="E453" t="str">
        <f t="shared" ca="1" si="64"/>
        <v>00:24:47,160</v>
      </c>
      <c r="F453" s="5" t="str">
        <f t="shared" ca="1" si="65"/>
        <v>00:24:45.680</v>
      </c>
      <c r="G453" s="1" t="str">
        <f t="shared" ca="1" si="66"/>
        <v>00:24:47.160</v>
      </c>
      <c r="H453" s="2">
        <f t="shared" ca="1" si="67"/>
        <v>1.7129629629630827E-5</v>
      </c>
      <c r="I453">
        <f t="shared" ca="1" si="68"/>
        <v>10</v>
      </c>
      <c r="J453" s="2">
        <f t="shared" ca="1" si="69"/>
        <v>1.7129629629630827E-6</v>
      </c>
      <c r="K453" t="e">
        <f ca="1">MATCH(ROW(),sub!D:D,0)</f>
        <v>#N/A</v>
      </c>
      <c r="L453" t="b">
        <f t="shared" ca="1" si="70"/>
        <v>0</v>
      </c>
      <c r="M453" s="2">
        <f t="shared" ca="1" si="71"/>
        <v>0</v>
      </c>
    </row>
    <row r="454" spans="1:13" x14ac:dyDescent="0.3">
      <c r="A454">
        <f ca="1">OFFSET(srt_raw!$A$1,(ROW()-1)*4+COLUMN()-1,0)</f>
        <v>454</v>
      </c>
      <c r="B454" t="str">
        <f ca="1">OFFSET(srt_raw!$A$1,(ROW()-1)*4+COLUMN()-1,0)</f>
        <v>00:24:48,720 --&gt; 00:24:50,880</v>
      </c>
      <c r="C454" t="str">
        <f ca="1">OFFSET(srt_raw!$A$1,(ROW()-1)*4+COLUMN()-1,0)</f>
        <v>前面使用的扩展欧几里得法中，</v>
      </c>
      <c r="D454" t="str">
        <f t="shared" ca="1" si="63"/>
        <v>00:24:48,720</v>
      </c>
      <c r="E454" t="str">
        <f t="shared" ca="1" si="64"/>
        <v>00:24:50,880</v>
      </c>
      <c r="F454" s="5" t="str">
        <f t="shared" ca="1" si="65"/>
        <v>00:24:48.720</v>
      </c>
      <c r="G454" s="1" t="str">
        <f t="shared" ca="1" si="66"/>
        <v>00:24:50.880</v>
      </c>
      <c r="H454" s="2">
        <f t="shared" ca="1" si="67"/>
        <v>2.5000000000000716E-5</v>
      </c>
      <c r="I454">
        <f t="shared" ca="1" si="68"/>
        <v>14</v>
      </c>
      <c r="J454" s="2">
        <f t="shared" ca="1" si="69"/>
        <v>1.7857142857143369E-6</v>
      </c>
      <c r="K454">
        <f ca="1">MATCH(ROW(),sub!D:D,0)</f>
        <v>161</v>
      </c>
      <c r="L454" t="b">
        <f t="shared" ca="1" si="70"/>
        <v>1</v>
      </c>
      <c r="M454" s="2">
        <f t="shared" ca="1" si="71"/>
        <v>1.7857142857143369E-6</v>
      </c>
    </row>
    <row r="455" spans="1:13" x14ac:dyDescent="0.3">
      <c r="A455">
        <f ca="1">OFFSET(srt_raw!$A$1,(ROW()-1)*4+COLUMN()-1,0)</f>
        <v>455</v>
      </c>
      <c r="B455" t="str">
        <f ca="1">OFFSET(srt_raw!$A$1,(ROW()-1)*4+COLUMN()-1,0)</f>
        <v>00:24:50,880 --&gt; 00:24:53,640</v>
      </c>
      <c r="C455" t="str">
        <f ca="1">OFFSET(srt_raw!$A$1,(ROW()-1)*4+COLUMN()-1,0)</f>
        <v>我们已求得Q撇X和GX，</v>
      </c>
      <c r="D455" t="str">
        <f t="shared" ca="1" si="63"/>
        <v>00:24:50,880</v>
      </c>
      <c r="E455" t="str">
        <f t="shared" ca="1" si="64"/>
        <v>00:24:53,640</v>
      </c>
      <c r="F455" s="5" t="str">
        <f t="shared" ca="1" si="65"/>
        <v>00:24:50.880</v>
      </c>
      <c r="G455" s="1" t="str">
        <f t="shared" ca="1" si="66"/>
        <v>00:24:53.640</v>
      </c>
      <c r="H455" s="2">
        <f t="shared" ca="1" si="67"/>
        <v>3.1944444444445552E-5</v>
      </c>
      <c r="I455">
        <f t="shared" ca="1" si="68"/>
        <v>12</v>
      </c>
      <c r="J455" s="2">
        <f t="shared" ca="1" si="69"/>
        <v>2.6620370370371294E-6</v>
      </c>
      <c r="K455" t="e">
        <f ca="1">MATCH(ROW(),sub!D:D,0)</f>
        <v>#N/A</v>
      </c>
      <c r="L455" t="b">
        <f t="shared" ca="1" si="70"/>
        <v>1</v>
      </c>
      <c r="M455" s="2">
        <f t="shared" ca="1" si="71"/>
        <v>2.6620370370371294E-6</v>
      </c>
    </row>
    <row r="456" spans="1:13" x14ac:dyDescent="0.3">
      <c r="A456">
        <f ca="1">OFFSET(srt_raw!$A$1,(ROW()-1)*4+COLUMN()-1,0)</f>
        <v>456</v>
      </c>
      <c r="B456" t="str">
        <f ca="1">OFFSET(srt_raw!$A$1,(ROW()-1)*4+COLUMN()-1,0)</f>
        <v>00:24:54,160 --&gt; 00:24:58,480</v>
      </c>
      <c r="C456" t="str">
        <f ca="1">OFFSET(srt_raw!$A$1,(ROW()-1)*4+COLUMN()-1,0)</f>
        <v>因此接下来只需要使用GX和Z即可求得X。</v>
      </c>
      <c r="D456" t="str">
        <f t="shared" ca="1" si="63"/>
        <v>00:24:54,160</v>
      </c>
      <c r="E456" t="str">
        <f t="shared" ca="1" si="64"/>
        <v>00:24:58,480</v>
      </c>
      <c r="F456" s="5" t="str">
        <f t="shared" ca="1" si="65"/>
        <v>00:24:54.160</v>
      </c>
      <c r="G456" s="1" t="str">
        <f t="shared" ca="1" si="66"/>
        <v>00:24:58.480</v>
      </c>
      <c r="H456" s="2">
        <f t="shared" ca="1" si="67"/>
        <v>4.9999999999997963E-5</v>
      </c>
      <c r="I456">
        <f t="shared" ca="1" si="68"/>
        <v>20</v>
      </c>
      <c r="J456" s="2">
        <f t="shared" ca="1" si="69"/>
        <v>2.4999999999998981E-6</v>
      </c>
      <c r="K456" t="e">
        <f ca="1">MATCH(ROW(),sub!D:D,0)</f>
        <v>#N/A</v>
      </c>
      <c r="L456" t="b">
        <f t="shared" ca="1" si="70"/>
        <v>0</v>
      </c>
      <c r="M456" s="2">
        <f t="shared" ca="1" si="71"/>
        <v>0</v>
      </c>
    </row>
    <row r="457" spans="1:13" x14ac:dyDescent="0.3">
      <c r="A457">
        <f ca="1">OFFSET(srt_raw!$A$1,(ROW()-1)*4+COLUMN()-1,0)</f>
        <v>457</v>
      </c>
      <c r="B457" t="str">
        <f ca="1">OFFSET(srt_raw!$A$1,(ROW()-1)*4+COLUMN()-1,0)</f>
        <v>00:25:00,000 --&gt; 00:25:03,360</v>
      </c>
      <c r="C457" t="str">
        <f ca="1">OFFSET(srt_raw!$A$1,(ROW()-1)*4+COLUMN()-1,0)</f>
        <v>前者我们有公式Z等于Q撇HY，</v>
      </c>
      <c r="D457" t="str">
        <f t="shared" ca="1" si="63"/>
        <v>00:25:00,000</v>
      </c>
      <c r="E457" t="str">
        <f t="shared" ca="1" si="64"/>
        <v>00:25:03,360</v>
      </c>
      <c r="F457" s="5" t="str">
        <f t="shared" ca="1" si="65"/>
        <v>00:25:00.000</v>
      </c>
      <c r="G457" s="1" t="str">
        <f t="shared" ca="1" si="66"/>
        <v>00:25:03.360</v>
      </c>
      <c r="H457" s="2">
        <f t="shared" ca="1" si="67"/>
        <v>3.8888888888886919E-5</v>
      </c>
      <c r="I457">
        <f t="shared" ca="1" si="68"/>
        <v>15</v>
      </c>
      <c r="J457" s="2">
        <f t="shared" ca="1" si="69"/>
        <v>2.5925925925924612E-6</v>
      </c>
      <c r="K457">
        <f ca="1">MATCH(ROW(),sub!D:D,0)</f>
        <v>162</v>
      </c>
      <c r="L457" t="b">
        <f t="shared" ca="1" si="70"/>
        <v>1</v>
      </c>
      <c r="M457" s="2">
        <f t="shared" ca="1" si="71"/>
        <v>2.5925925925924612E-6</v>
      </c>
    </row>
    <row r="458" spans="1:13" x14ac:dyDescent="0.3">
      <c r="A458">
        <f ca="1">OFFSET(srt_raw!$A$1,(ROW()-1)*4+COLUMN()-1,0)</f>
        <v>458</v>
      </c>
      <c r="B458" t="str">
        <f ca="1">OFFSET(srt_raw!$A$1,(ROW()-1)*4+COLUMN()-1,0)</f>
        <v>00:25:03,840 --&gt; 00:25:05,640</v>
      </c>
      <c r="C458" t="str">
        <f ca="1">OFFSET(srt_raw!$A$1,(ROW()-1)*4+COLUMN()-1,0)</f>
        <v>我们不断让Y乘以H，</v>
      </c>
      <c r="D458" t="str">
        <f t="shared" ca="1" si="63"/>
        <v>00:25:03,840</v>
      </c>
      <c r="E458" t="str">
        <f t="shared" ca="1" si="64"/>
        <v>00:25:05,640</v>
      </c>
      <c r="F458" s="5" t="str">
        <f t="shared" ca="1" si="65"/>
        <v>00:25:03.840</v>
      </c>
      <c r="G458" s="1" t="str">
        <f t="shared" ca="1" si="66"/>
        <v>00:25:05.640</v>
      </c>
      <c r="H458" s="2">
        <f t="shared" ca="1" si="67"/>
        <v>2.0833333333334508E-5</v>
      </c>
      <c r="I458">
        <f t="shared" ca="1" si="68"/>
        <v>10</v>
      </c>
      <c r="J458" s="2">
        <f t="shared" ca="1" si="69"/>
        <v>2.0833333333334507E-6</v>
      </c>
      <c r="K458" t="e">
        <f ca="1">MATCH(ROW(),sub!D:D,0)</f>
        <v>#N/A</v>
      </c>
      <c r="L458" t="b">
        <f t="shared" ca="1" si="70"/>
        <v>1</v>
      </c>
      <c r="M458" s="2">
        <f t="shared" ca="1" si="71"/>
        <v>2.0833333333334507E-6</v>
      </c>
    </row>
    <row r="459" spans="1:13" x14ac:dyDescent="0.3">
      <c r="A459">
        <f ca="1">OFFSET(srt_raw!$A$1,(ROW()-1)*4+COLUMN()-1,0)</f>
        <v>459</v>
      </c>
      <c r="B459" t="str">
        <f ca="1">OFFSET(srt_raw!$A$1,(ROW()-1)*4+COLUMN()-1,0)</f>
        <v>00:25:05,760 --&gt; 00:25:08,960</v>
      </c>
      <c r="C459" t="str">
        <f ca="1">OFFSET(srt_raw!$A$1,(ROW()-1)*4+COLUMN()-1,0)</f>
        <v>然后使用向量乘以矩阵的方法求得Z。</v>
      </c>
      <c r="D459" t="str">
        <f t="shared" ca="1" si="63"/>
        <v>00:25:05,760</v>
      </c>
      <c r="E459" t="str">
        <f t="shared" ca="1" si="64"/>
        <v>00:25:08,960</v>
      </c>
      <c r="F459" s="5" t="str">
        <f t="shared" ca="1" si="65"/>
        <v>00:25:05.760</v>
      </c>
      <c r="G459" s="1" t="str">
        <f t="shared" ca="1" si="66"/>
        <v>00:25:08.960</v>
      </c>
      <c r="H459" s="2">
        <f t="shared" ca="1" si="67"/>
        <v>3.7037037037036813E-5</v>
      </c>
      <c r="I459">
        <f t="shared" ca="1" si="68"/>
        <v>17</v>
      </c>
      <c r="J459" s="2">
        <f t="shared" ca="1" si="69"/>
        <v>2.1786492374727536E-6</v>
      </c>
      <c r="K459" t="e">
        <f ca="1">MATCH(ROW(),sub!D:D,0)</f>
        <v>#N/A</v>
      </c>
      <c r="L459" t="b">
        <f t="shared" ca="1" si="70"/>
        <v>0</v>
      </c>
      <c r="M459" s="2">
        <f t="shared" ca="1" si="71"/>
        <v>0</v>
      </c>
    </row>
    <row r="460" spans="1:13" x14ac:dyDescent="0.3">
      <c r="A460">
        <f ca="1">OFFSET(srt_raw!$A$1,(ROW()-1)*4+COLUMN()-1,0)</f>
        <v>460</v>
      </c>
      <c r="B460" t="str">
        <f ca="1">OFFSET(srt_raw!$A$1,(ROW()-1)*4+COLUMN()-1,0)</f>
        <v>00:25:10,480 --&gt; 00:25:14,320</v>
      </c>
      <c r="C460" t="str">
        <f ca="1">OFFSET(srt_raw!$A$1,(ROW()-1)*4+COLUMN()-1,0)</f>
        <v>现在我们有公式Z等于GHX，</v>
      </c>
      <c r="D460" t="str">
        <f t="shared" ca="1" si="63"/>
        <v>00:25:10,480</v>
      </c>
      <c r="E460" t="str">
        <f t="shared" ca="1" si="64"/>
        <v>00:25:14,320</v>
      </c>
      <c r="F460" s="5" t="str">
        <f t="shared" ca="1" si="65"/>
        <v>00:25:10.480</v>
      </c>
      <c r="G460" s="1" t="str">
        <f t="shared" ca="1" si="66"/>
        <v>00:25:14.320</v>
      </c>
      <c r="H460" s="2">
        <f t="shared" ca="1" si="67"/>
        <v>4.4444444444444176E-5</v>
      </c>
      <c r="I460">
        <f t="shared" ca="1" si="68"/>
        <v>14</v>
      </c>
      <c r="J460" s="2">
        <f t="shared" ca="1" si="69"/>
        <v>3.1746031746031556E-6</v>
      </c>
      <c r="K460">
        <f ca="1">MATCH(ROW(),sub!D:D,0)</f>
        <v>163</v>
      </c>
      <c r="L460" t="b">
        <f t="shared" ca="1" si="70"/>
        <v>1</v>
      </c>
      <c r="M460" s="2">
        <f t="shared" ca="1" si="71"/>
        <v>3.1746031746031556E-6</v>
      </c>
    </row>
    <row r="461" spans="1:13" x14ac:dyDescent="0.3">
      <c r="A461">
        <f ca="1">OFFSET(srt_raw!$A$1,(ROW()-1)*4+COLUMN()-1,0)</f>
        <v>461</v>
      </c>
      <c r="B461" t="str">
        <f ca="1">OFFSET(srt_raw!$A$1,(ROW()-1)*4+COLUMN()-1,0)</f>
        <v>00:25:14,320 --&gt; 00:25:16,080</v>
      </c>
      <c r="C461" t="str">
        <f ca="1">OFFSET(srt_raw!$A$1,(ROW()-1)*4+COLUMN()-1,0)</f>
        <v>由于需要求得的是X，</v>
      </c>
      <c r="D461" t="str">
        <f t="shared" ca="1" si="63"/>
        <v>00:25:14,320</v>
      </c>
      <c r="E461" t="str">
        <f t="shared" ca="1" si="64"/>
        <v>00:25:16,080</v>
      </c>
      <c r="F461" s="5" t="str">
        <f t="shared" ca="1" si="65"/>
        <v>00:25:14.320</v>
      </c>
      <c r="G461" s="1" t="str">
        <f t="shared" ca="1" si="66"/>
        <v>00:25:16.080</v>
      </c>
      <c r="H461" s="2">
        <f t="shared" ca="1" si="67"/>
        <v>2.0370370370368512E-5</v>
      </c>
      <c r="I461">
        <f t="shared" ca="1" si="68"/>
        <v>10</v>
      </c>
      <c r="J461" s="2">
        <f t="shared" ca="1" si="69"/>
        <v>2.0370370370368512E-6</v>
      </c>
      <c r="K461" t="e">
        <f ca="1">MATCH(ROW(),sub!D:D,0)</f>
        <v>#N/A</v>
      </c>
      <c r="L461" t="b">
        <f t="shared" ca="1" si="70"/>
        <v>1</v>
      </c>
      <c r="M461" s="2">
        <f t="shared" ca="1" si="71"/>
        <v>2.0370370370368512E-6</v>
      </c>
    </row>
    <row r="462" spans="1:13" x14ac:dyDescent="0.3">
      <c r="A462">
        <f ca="1">OFFSET(srt_raw!$A$1,(ROW()-1)*4+COLUMN()-1,0)</f>
        <v>462</v>
      </c>
      <c r="B462" t="str">
        <f ca="1">OFFSET(srt_raw!$A$1,(ROW()-1)*4+COLUMN()-1,0)</f>
        <v>00:25:16,160 --&gt; 00:25:18,560</v>
      </c>
      <c r="C462" t="str">
        <f ca="1">OFFSET(srt_raw!$A$1,(ROW()-1)*4+COLUMN()-1,0)</f>
        <v>因此不能再使用这个方法来求解。</v>
      </c>
      <c r="D462" t="str">
        <f t="shared" ca="1" si="63"/>
        <v>00:25:16,160</v>
      </c>
      <c r="E462" t="str">
        <f t="shared" ca="1" si="64"/>
        <v>00:25:18,560</v>
      </c>
      <c r="F462" s="5" t="str">
        <f t="shared" ca="1" si="65"/>
        <v>00:25:16.160</v>
      </c>
      <c r="G462" s="1" t="str">
        <f t="shared" ca="1" si="66"/>
        <v>00:25:18.560</v>
      </c>
      <c r="H462" s="2">
        <f t="shared" ca="1" si="67"/>
        <v>2.7777777777775875E-5</v>
      </c>
      <c r="I462">
        <f t="shared" ca="1" si="68"/>
        <v>15</v>
      </c>
      <c r="J462" s="2">
        <f t="shared" ca="1" si="69"/>
        <v>1.851851851851725E-6</v>
      </c>
      <c r="K462" t="e">
        <f ca="1">MATCH(ROW(),sub!D:D,0)</f>
        <v>#N/A</v>
      </c>
      <c r="L462" t="b">
        <f t="shared" ca="1" si="70"/>
        <v>0</v>
      </c>
      <c r="M462" s="2">
        <f t="shared" ca="1" si="71"/>
        <v>0</v>
      </c>
    </row>
    <row r="463" spans="1:13" x14ac:dyDescent="0.3">
      <c r="A463">
        <f ca="1">OFFSET(srt_raw!$A$1,(ROW()-1)*4+COLUMN()-1,0)</f>
        <v>463</v>
      </c>
      <c r="B463" t="str">
        <f ca="1">OFFSET(srt_raw!$A$1,(ROW()-1)*4+COLUMN()-1,0)</f>
        <v>00:25:20,080 --&gt; 00:25:23,120</v>
      </c>
      <c r="C463" t="str">
        <f ca="1">OFFSET(srt_raw!$A$1,(ROW()-1)*4+COLUMN()-1,0)</f>
        <v>这次我们需要用反向叠加法来求X，</v>
      </c>
      <c r="D463" t="str">
        <f t="shared" ca="1" si="63"/>
        <v>00:25:20,080</v>
      </c>
      <c r="E463" t="str">
        <f t="shared" ca="1" si="64"/>
        <v>00:25:23,120</v>
      </c>
      <c r="F463" s="5" t="str">
        <f t="shared" ca="1" si="65"/>
        <v>00:25:20.080</v>
      </c>
      <c r="G463" s="1" t="str">
        <f t="shared" ca="1" si="66"/>
        <v>00:25:23.120</v>
      </c>
      <c r="H463" s="2">
        <f t="shared" ca="1" si="67"/>
        <v>3.5185185185183238E-5</v>
      </c>
      <c r="I463">
        <f t="shared" ca="1" si="68"/>
        <v>16</v>
      </c>
      <c r="J463" s="2">
        <f t="shared" ca="1" si="69"/>
        <v>2.1990740740739523E-6</v>
      </c>
      <c r="K463">
        <f ca="1">MATCH(ROW(),sub!D:D,0)</f>
        <v>164</v>
      </c>
      <c r="L463" t="b">
        <f t="shared" ca="1" si="70"/>
        <v>1</v>
      </c>
      <c r="M463" s="2">
        <f t="shared" ca="1" si="71"/>
        <v>2.1990740740739523E-6</v>
      </c>
    </row>
    <row r="464" spans="1:13" x14ac:dyDescent="0.3">
      <c r="A464">
        <f ca="1">OFFSET(srt_raw!$A$1,(ROW()-1)*4+COLUMN()-1,0)</f>
        <v>464</v>
      </c>
      <c r="B464" t="str">
        <f ca="1">OFFSET(srt_raw!$A$1,(ROW()-1)*4+COLUMN()-1,0)</f>
        <v>00:25:23,600 --&gt; 00:25:26,960</v>
      </c>
      <c r="C464" t="str">
        <f ca="1">OFFSET(srt_raw!$A$1,(ROW()-1)*4+COLUMN()-1,0)</f>
        <v>我们以N等于5为例，</v>
      </c>
      <c r="D464" t="str">
        <f t="shared" ca="1" si="63"/>
        <v>00:25:23,600</v>
      </c>
      <c r="E464" t="str">
        <f t="shared" ca="1" si="64"/>
        <v>00:25:26,960</v>
      </c>
      <c r="F464" s="5" t="str">
        <f t="shared" ca="1" si="65"/>
        <v>00:25:23.600</v>
      </c>
      <c r="G464" s="1" t="str">
        <f t="shared" ca="1" si="66"/>
        <v>00:25:26.960</v>
      </c>
      <c r="H464" s="2">
        <f t="shared" ca="1" si="67"/>
        <v>3.8888888888890388E-5</v>
      </c>
      <c r="I464">
        <f t="shared" ca="1" si="68"/>
        <v>10</v>
      </c>
      <c r="J464" s="2">
        <f t="shared" ca="1" si="69"/>
        <v>3.8888888888890387E-6</v>
      </c>
      <c r="K464" t="e">
        <f ca="1">MATCH(ROW(),sub!D:D,0)</f>
        <v>#N/A</v>
      </c>
      <c r="L464" t="b">
        <f t="shared" ca="1" si="70"/>
        <v>0</v>
      </c>
      <c r="M464" s="2">
        <f t="shared" ca="1" si="71"/>
        <v>0</v>
      </c>
    </row>
    <row r="465" spans="1:13" x14ac:dyDescent="0.3">
      <c r="A465">
        <f ca="1">OFFSET(srt_raw!$A$1,(ROW()-1)*4+COLUMN()-1,0)</f>
        <v>465</v>
      </c>
      <c r="B465" t="str">
        <f ca="1">OFFSET(srt_raw!$A$1,(ROW()-1)*4+COLUMN()-1,0)</f>
        <v>00:25:26,960 --&gt; 00:25:31,600</v>
      </c>
      <c r="C465" t="str">
        <f ca="1">OFFSET(srt_raw!$A$1,(ROW()-1)*4+COLUMN()-1,0)</f>
        <v>首先我们需要使用类似生成矩阵B的方法生成GH，</v>
      </c>
      <c r="D465" t="str">
        <f t="shared" ca="1" si="63"/>
        <v>00:25:26,960</v>
      </c>
      <c r="E465" t="str">
        <f t="shared" ca="1" si="64"/>
        <v>00:25:31,600</v>
      </c>
      <c r="F465" s="5" t="str">
        <f t="shared" ca="1" si="65"/>
        <v>00:25:26.960</v>
      </c>
      <c r="G465" s="1" t="str">
        <f t="shared" ca="1" si="66"/>
        <v>00:25:31.600</v>
      </c>
      <c r="H465" s="2">
        <f t="shared" ca="1" si="67"/>
        <v>5.3703703703701644E-5</v>
      </c>
      <c r="I465">
        <f t="shared" ca="1" si="68"/>
        <v>23</v>
      </c>
      <c r="J465" s="2">
        <f t="shared" ca="1" si="69"/>
        <v>2.3349436392913758E-6</v>
      </c>
      <c r="K465">
        <f ca="1">MATCH(ROW(),sub!D:D,0)</f>
        <v>165</v>
      </c>
      <c r="L465" t="b">
        <f t="shared" ca="1" si="70"/>
        <v>1</v>
      </c>
      <c r="M465" s="2">
        <f t="shared" ca="1" si="71"/>
        <v>2.3349436392913758E-6</v>
      </c>
    </row>
    <row r="466" spans="1:13" x14ac:dyDescent="0.3">
      <c r="A466">
        <f ca="1">OFFSET(srt_raw!$A$1,(ROW()-1)*4+COLUMN()-1,0)</f>
        <v>466</v>
      </c>
      <c r="B466" t="str">
        <f ca="1">OFFSET(srt_raw!$A$1,(ROW()-1)*4+COLUMN()-1,0)</f>
        <v>00:25:31,600 --&gt; 00:25:33,080</v>
      </c>
      <c r="C466" t="str">
        <f ca="1">OFFSET(srt_raw!$A$1,(ROW()-1)*4+COLUMN()-1,0)</f>
        <v>这里即为矩阵D，</v>
      </c>
      <c r="D466" t="str">
        <f t="shared" ca="1" si="63"/>
        <v>00:25:31,600</v>
      </c>
      <c r="E466" t="str">
        <f t="shared" ca="1" si="64"/>
        <v>00:25:33,080</v>
      </c>
      <c r="F466" s="5" t="str">
        <f t="shared" ca="1" si="65"/>
        <v>00:25:31.600</v>
      </c>
      <c r="G466" s="1" t="str">
        <f t="shared" ca="1" si="66"/>
        <v>00:25:33.080</v>
      </c>
      <c r="H466" s="2">
        <f t="shared" ca="1" si="67"/>
        <v>1.7129629629630827E-5</v>
      </c>
      <c r="I466">
        <f t="shared" ca="1" si="68"/>
        <v>8</v>
      </c>
      <c r="J466" s="2">
        <f t="shared" ca="1" si="69"/>
        <v>2.1412037037038534E-6</v>
      </c>
      <c r="K466" t="e">
        <f ca="1">MATCH(ROW(),sub!D:D,0)</f>
        <v>#N/A</v>
      </c>
      <c r="L466" t="b">
        <f t="shared" ca="1" si="70"/>
        <v>1</v>
      </c>
      <c r="M466" s="2">
        <f t="shared" ca="1" si="71"/>
        <v>2.1412037037038534E-6</v>
      </c>
    </row>
    <row r="467" spans="1:13" x14ac:dyDescent="0.3">
      <c r="A467">
        <f ca="1">OFFSET(srt_raw!$A$1,(ROW()-1)*4+COLUMN()-1,0)</f>
        <v>467</v>
      </c>
      <c r="B467" t="str">
        <f ca="1">OFFSET(srt_raw!$A$1,(ROW()-1)*4+COLUMN()-1,0)</f>
        <v>00:25:33,080 --&gt; 00:25:36,720</v>
      </c>
      <c r="C467" t="str">
        <f ca="1">OFFSET(srt_raw!$A$1,(ROW()-1)*4+COLUMN()-1,0)</f>
        <v>其质与矩阵B相同，</v>
      </c>
      <c r="D467" t="str">
        <f t="shared" ca="1" si="63"/>
        <v>00:25:33,080</v>
      </c>
      <c r="E467" t="str">
        <f t="shared" ca="1" si="64"/>
        <v>00:25:36,720</v>
      </c>
      <c r="F467" s="5" t="str">
        <f t="shared" ca="1" si="65"/>
        <v>00:25:33.080</v>
      </c>
      <c r="G467" s="1" t="str">
        <f t="shared" ca="1" si="66"/>
        <v>00:25:36.720</v>
      </c>
      <c r="H467" s="2">
        <f t="shared" ca="1" si="67"/>
        <v>4.2129629629628074E-5</v>
      </c>
      <c r="I467">
        <f t="shared" ca="1" si="68"/>
        <v>9</v>
      </c>
      <c r="J467" s="2">
        <f t="shared" ca="1" si="69"/>
        <v>4.6810699588475636E-6</v>
      </c>
      <c r="K467" t="e">
        <f ca="1">MATCH(ROW(),sub!D:D,0)</f>
        <v>#N/A</v>
      </c>
      <c r="L467" t="b">
        <f t="shared" ca="1" si="70"/>
        <v>0</v>
      </c>
      <c r="M467" s="2">
        <f t="shared" ca="1" si="71"/>
        <v>0</v>
      </c>
    </row>
    <row r="468" spans="1:13" x14ac:dyDescent="0.3">
      <c r="A468">
        <f ca="1">OFFSET(srt_raw!$A$1,(ROW()-1)*4+COLUMN()-1,0)</f>
        <v>468</v>
      </c>
      <c r="B468" t="str">
        <f ca="1">OFFSET(srt_raw!$A$1,(ROW()-1)*4+COLUMN()-1,0)</f>
        <v>00:25:36,720 --&gt; 00:25:38,640</v>
      </c>
      <c r="C468" t="str">
        <f ca="1">OFFSET(srt_raw!$A$1,(ROW()-1)*4+COLUMN()-1,0)</f>
        <v>一创建N个单位向量，</v>
      </c>
      <c r="D468" t="str">
        <f t="shared" ca="1" si="63"/>
        <v>00:25:36,720</v>
      </c>
      <c r="E468" t="str">
        <f t="shared" ca="1" si="64"/>
        <v>00:25:38,640</v>
      </c>
      <c r="F468" s="5" t="str">
        <f t="shared" ca="1" si="65"/>
        <v>00:25:36.720</v>
      </c>
      <c r="G468" s="1" t="str">
        <f t="shared" ca="1" si="66"/>
        <v>00:25:38.640</v>
      </c>
      <c r="H468" s="2">
        <f t="shared" ca="1" si="67"/>
        <v>2.2222222222225557E-5</v>
      </c>
      <c r="I468">
        <f t="shared" ca="1" si="68"/>
        <v>10</v>
      </c>
      <c r="J468" s="2">
        <f t="shared" ca="1" si="69"/>
        <v>2.2222222222225558E-6</v>
      </c>
      <c r="K468">
        <f ca="1">MATCH(ROW(),sub!D:D,0)</f>
        <v>166</v>
      </c>
      <c r="L468" t="b">
        <f t="shared" ca="1" si="70"/>
        <v>1</v>
      </c>
      <c r="M468" s="2">
        <f t="shared" ca="1" si="71"/>
        <v>2.2222222222225558E-6</v>
      </c>
    </row>
    <row r="469" spans="1:13" x14ac:dyDescent="0.3">
      <c r="A469">
        <f ca="1">OFFSET(srt_raw!$A$1,(ROW()-1)*4+COLUMN()-1,0)</f>
        <v>469</v>
      </c>
      <c r="B469" t="str">
        <f ca="1">OFFSET(srt_raw!$A$1,(ROW()-1)*4+COLUMN()-1,0)</f>
        <v>00:25:38,720 --&gt; 00:25:40,560</v>
      </c>
      <c r="C469" t="str">
        <f ca="1">OFFSET(srt_raw!$A$1,(ROW()-1)*4+COLUMN()-1,0)</f>
        <v>也就是矩阵D的第一行，</v>
      </c>
      <c r="D469" t="str">
        <f t="shared" ca="1" si="63"/>
        <v>00:25:38,720</v>
      </c>
      <c r="E469" t="str">
        <f t="shared" ca="1" si="64"/>
        <v>00:25:40,560</v>
      </c>
      <c r="F469" s="5" t="str">
        <f t="shared" ca="1" si="65"/>
        <v>00:25:38.720</v>
      </c>
      <c r="G469" s="1" t="str">
        <f t="shared" ca="1" si="66"/>
        <v>00:25:40.560</v>
      </c>
      <c r="H469" s="2">
        <f t="shared" ca="1" si="67"/>
        <v>2.1296296296293565E-5</v>
      </c>
      <c r="I469">
        <f t="shared" ca="1" si="68"/>
        <v>11</v>
      </c>
      <c r="J469" s="2">
        <f t="shared" ca="1" si="69"/>
        <v>1.936026936026688E-6</v>
      </c>
      <c r="K469" t="e">
        <f ca="1">MATCH(ROW(),sub!D:D,0)</f>
        <v>#N/A</v>
      </c>
      <c r="L469" t="b">
        <f t="shared" ca="1" si="70"/>
        <v>1</v>
      </c>
      <c r="M469" s="2">
        <f t="shared" ca="1" si="71"/>
        <v>1.936026936026688E-6</v>
      </c>
    </row>
    <row r="470" spans="1:13" x14ac:dyDescent="0.3">
      <c r="A470">
        <f ca="1">OFFSET(srt_raw!$A$1,(ROW()-1)*4+COLUMN()-1,0)</f>
        <v>470</v>
      </c>
      <c r="B470" t="str">
        <f ca="1">OFFSET(srt_raw!$A$1,(ROW()-1)*4+COLUMN()-1,0)</f>
        <v>00:25:41,040 --&gt; 00:25:42,720</v>
      </c>
      <c r="C470" t="str">
        <f ca="1">OFFSET(srt_raw!$A$1,(ROW()-1)*4+COLUMN()-1,0)</f>
        <v>这里和矩阵B相同，</v>
      </c>
      <c r="D470" t="str">
        <f t="shared" ca="1" si="63"/>
        <v>00:25:41,040</v>
      </c>
      <c r="E470" t="str">
        <f t="shared" ca="1" si="64"/>
        <v>00:25:42,720</v>
      </c>
      <c r="F470" s="5" t="str">
        <f t="shared" ca="1" si="65"/>
        <v>00:25:41.040</v>
      </c>
      <c r="G470" s="1" t="str">
        <f t="shared" ca="1" si="66"/>
        <v>00:25:42.720</v>
      </c>
      <c r="H470" s="2">
        <f t="shared" ca="1" si="67"/>
        <v>1.9444444444443459E-5</v>
      </c>
      <c r="I470">
        <f t="shared" ca="1" si="68"/>
        <v>9</v>
      </c>
      <c r="J470" s="2">
        <f t="shared" ca="1" si="69"/>
        <v>2.1604938271603845E-6</v>
      </c>
      <c r="K470" t="e">
        <f ca="1">MATCH(ROW(),sub!D:D,0)</f>
        <v>#N/A</v>
      </c>
      <c r="L470" t="b">
        <f t="shared" ca="1" si="70"/>
        <v>1</v>
      </c>
      <c r="M470" s="2">
        <f t="shared" ca="1" si="71"/>
        <v>2.1604938271603845E-6</v>
      </c>
    </row>
    <row r="471" spans="1:13" x14ac:dyDescent="0.3">
      <c r="A471">
        <f ca="1">OFFSET(srt_raw!$A$1,(ROW()-1)*4+COLUMN()-1,0)</f>
        <v>471</v>
      </c>
      <c r="B471" t="str">
        <f ca="1">OFFSET(srt_raw!$A$1,(ROW()-1)*4+COLUMN()-1,0)</f>
        <v>00:25:42,720 --&gt; 00:25:44,160</v>
      </c>
      <c r="C471" t="str">
        <f ca="1">OFFSET(srt_raw!$A$1,(ROW()-1)*4+COLUMN()-1,0)</f>
        <v>一共有N个向量。</v>
      </c>
      <c r="D471" t="str">
        <f t="shared" ca="1" si="63"/>
        <v>00:25:42,720</v>
      </c>
      <c r="E471" t="str">
        <f t="shared" ca="1" si="64"/>
        <v>00:25:44,160</v>
      </c>
      <c r="F471" s="5" t="str">
        <f t="shared" ca="1" si="65"/>
        <v>00:25:42.720</v>
      </c>
      <c r="G471" s="1" t="str">
        <f t="shared" ca="1" si="66"/>
        <v>00:25:44.160</v>
      </c>
      <c r="H471" s="2">
        <f t="shared" ca="1" si="67"/>
        <v>1.6666666666668301E-5</v>
      </c>
      <c r="I471">
        <f t="shared" ca="1" si="68"/>
        <v>8</v>
      </c>
      <c r="J471" s="2">
        <f t="shared" ca="1" si="69"/>
        <v>2.0833333333335376E-6</v>
      </c>
      <c r="K471" t="e">
        <f ca="1">MATCH(ROW(),sub!D:D,0)</f>
        <v>#N/A</v>
      </c>
      <c r="L471" t="b">
        <f t="shared" ca="1" si="70"/>
        <v>0</v>
      </c>
      <c r="M471" s="2">
        <f t="shared" ca="1" si="71"/>
        <v>0</v>
      </c>
    </row>
    <row r="472" spans="1:13" x14ac:dyDescent="0.3">
      <c r="A472">
        <f ca="1">OFFSET(srt_raw!$A$1,(ROW()-1)*4+COLUMN()-1,0)</f>
        <v>472</v>
      </c>
      <c r="B472" t="str">
        <f ca="1">OFFSET(srt_raw!$A$1,(ROW()-1)*4+COLUMN()-1,0)</f>
        <v>00:25:46,080 --&gt; 00:25:50,640</v>
      </c>
      <c r="C472" t="str">
        <f ca="1">OFFSET(srt_raw!$A$1,(ROW()-1)*4+COLUMN()-1,0)</f>
        <v>二使用矩阵H将每个矩阵地的第一行扩散到后续的行，</v>
      </c>
      <c r="D472" t="str">
        <f t="shared" ca="1" si="63"/>
        <v>00:25:46,080</v>
      </c>
      <c r="E472" t="str">
        <f t="shared" ca="1" si="64"/>
        <v>00:25:50,640</v>
      </c>
      <c r="F472" s="5" t="str">
        <f t="shared" ca="1" si="65"/>
        <v>00:25:46.080</v>
      </c>
      <c r="G472" s="1" t="str">
        <f t="shared" ca="1" si="66"/>
        <v>00:25:50.640</v>
      </c>
      <c r="H472" s="2">
        <f t="shared" ca="1" si="67"/>
        <v>5.2777777777780061E-5</v>
      </c>
      <c r="I472">
        <f t="shared" ca="1" si="68"/>
        <v>24</v>
      </c>
      <c r="J472" s="2">
        <f t="shared" ca="1" si="69"/>
        <v>2.1990740740741692E-6</v>
      </c>
      <c r="K472">
        <f ca="1">MATCH(ROW(),sub!D:D,0)</f>
        <v>167</v>
      </c>
      <c r="L472" t="b">
        <f t="shared" ca="1" si="70"/>
        <v>0</v>
      </c>
      <c r="M472" s="2">
        <f t="shared" ca="1" si="71"/>
        <v>0</v>
      </c>
    </row>
    <row r="473" spans="1:13" x14ac:dyDescent="0.3">
      <c r="A473">
        <f ca="1">OFFSET(srt_raw!$A$1,(ROW()-1)*4+COLUMN()-1,0)</f>
        <v>473</v>
      </c>
      <c r="B473" t="str">
        <f ca="1">OFFSET(srt_raw!$A$1,(ROW()-1)*4+COLUMN()-1,0)</f>
        <v>00:25:52,560 --&gt; 00:25:57,440</v>
      </c>
      <c r="C473" t="str">
        <f ca="1">OFFSET(srt_raw!$A$1,(ROW()-1)*4+COLUMN()-1,0)</f>
        <v>三根据多项式GX将每个矩阵地的对应行叠加起来，</v>
      </c>
      <c r="D473" t="str">
        <f t="shared" ca="1" si="63"/>
        <v>00:25:52,560</v>
      </c>
      <c r="E473" t="str">
        <f t="shared" ca="1" si="64"/>
        <v>00:25:57,440</v>
      </c>
      <c r="F473" s="5" t="str">
        <f t="shared" ca="1" si="65"/>
        <v>00:25:52.560</v>
      </c>
      <c r="G473" s="1" t="str">
        <f t="shared" ca="1" si="66"/>
        <v>00:25:57.440</v>
      </c>
      <c r="H473" s="2">
        <f t="shared" ca="1" si="67"/>
        <v>5.6481481481483742E-5</v>
      </c>
      <c r="I473">
        <f t="shared" ca="1" si="68"/>
        <v>23</v>
      </c>
      <c r="J473" s="2">
        <f t="shared" ca="1" si="69"/>
        <v>2.4557165861514671E-6</v>
      </c>
      <c r="K473">
        <f ca="1">MATCH(ROW(),sub!D:D,0)</f>
        <v>168</v>
      </c>
      <c r="L473" t="b">
        <f t="shared" ca="1" si="70"/>
        <v>1</v>
      </c>
      <c r="M473" s="2">
        <f t="shared" ca="1" si="71"/>
        <v>2.4557165861514671E-6</v>
      </c>
    </row>
    <row r="474" spans="1:13" x14ac:dyDescent="0.3">
      <c r="A474">
        <f ca="1">OFFSET(srt_raw!$A$1,(ROW()-1)*4+COLUMN()-1,0)</f>
        <v>474</v>
      </c>
      <c r="B474" t="str">
        <f ca="1">OFFSET(srt_raw!$A$1,(ROW()-1)*4+COLUMN()-1,0)</f>
        <v>00:25:57,440 --&gt; 00:26:00,320</v>
      </c>
      <c r="C474" t="str">
        <f ca="1">OFFSET(srt_raw!$A$1,(ROW()-1)*4+COLUMN()-1,0)</f>
        <v>叠加完的行共同构成一个新的矩阵地，</v>
      </c>
      <c r="D474" t="str">
        <f t="shared" ca="1" si="63"/>
        <v>00:25:57,440</v>
      </c>
      <c r="E474" t="str">
        <f t="shared" ca="1" si="64"/>
        <v>00:26:00,320</v>
      </c>
      <c r="F474" s="5" t="str">
        <f t="shared" ca="1" si="65"/>
        <v>00:25:57.440</v>
      </c>
      <c r="G474" s="1" t="str">
        <f t="shared" ca="1" si="66"/>
        <v>00:26:00.320</v>
      </c>
      <c r="H474" s="2">
        <f t="shared" ca="1" si="67"/>
        <v>3.3333333333329662E-5</v>
      </c>
      <c r="I474">
        <f t="shared" ca="1" si="68"/>
        <v>17</v>
      </c>
      <c r="J474" s="2">
        <f t="shared" ca="1" si="69"/>
        <v>1.9607843137252742E-6</v>
      </c>
      <c r="K474" t="e">
        <f ca="1">MATCH(ROW(),sub!D:D,0)</f>
        <v>#N/A</v>
      </c>
      <c r="L474" t="b">
        <f t="shared" ca="1" si="70"/>
        <v>0</v>
      </c>
      <c r="M474" s="2">
        <f t="shared" ca="1" si="71"/>
        <v>0</v>
      </c>
    </row>
    <row r="475" spans="1:13" x14ac:dyDescent="0.3">
      <c r="A475">
        <f ca="1">OFFSET(srt_raw!$A$1,(ROW()-1)*4+COLUMN()-1,0)</f>
        <v>475</v>
      </c>
      <c r="B475" t="str">
        <f ca="1">OFFSET(srt_raw!$A$1,(ROW()-1)*4+COLUMN()-1,0)</f>
        <v>00:26:01,840 --&gt; 00:26:04,960</v>
      </c>
      <c r="C475" t="str">
        <f ca="1">OFFSET(srt_raw!$A$1,(ROW()-1)*4+COLUMN()-1,0)</f>
        <v>可以发现这里的步骤和首行叠加法类似，</v>
      </c>
      <c r="D475" t="str">
        <f t="shared" ca="1" si="63"/>
        <v>00:26:01,840</v>
      </c>
      <c r="E475" t="str">
        <f t="shared" ca="1" si="64"/>
        <v>00:26:04,960</v>
      </c>
      <c r="F475" s="5" t="str">
        <f t="shared" ca="1" si="65"/>
        <v>00:26:01.840</v>
      </c>
      <c r="G475" s="1" t="str">
        <f t="shared" ca="1" si="66"/>
        <v>00:26:04.960</v>
      </c>
      <c r="H475" s="2">
        <f t="shared" ca="1" si="67"/>
        <v>3.611111111111176E-5</v>
      </c>
      <c r="I475">
        <f t="shared" ca="1" si="68"/>
        <v>18</v>
      </c>
      <c r="J475" s="2">
        <f t="shared" ca="1" si="69"/>
        <v>2.0061728395062087E-6</v>
      </c>
      <c r="K475">
        <f ca="1">MATCH(ROW(),sub!D:D,0)</f>
        <v>169</v>
      </c>
      <c r="L475" t="b">
        <f t="shared" ca="1" si="70"/>
        <v>1</v>
      </c>
      <c r="M475" s="2">
        <f t="shared" ca="1" si="71"/>
        <v>2.0061728395062087E-6</v>
      </c>
    </row>
    <row r="476" spans="1:13" x14ac:dyDescent="0.3">
      <c r="A476">
        <f ca="1">OFFSET(srt_raw!$A$1,(ROW()-1)*4+COLUMN()-1,0)</f>
        <v>476</v>
      </c>
      <c r="B476" t="str">
        <f ca="1">OFFSET(srt_raw!$A$1,(ROW()-1)*4+COLUMN()-1,0)</f>
        <v>00:26:05,120 --&gt; 00:26:07,000</v>
      </c>
      <c r="C476" t="str">
        <f ca="1">OFFSET(srt_raw!$A$1,(ROW()-1)*4+COLUMN()-1,0)</f>
        <v>共有N个矩阵要生成，</v>
      </c>
      <c r="D476" t="str">
        <f t="shared" ca="1" si="63"/>
        <v>00:26:05,120</v>
      </c>
      <c r="E476" t="str">
        <f t="shared" ca="1" si="64"/>
        <v>00:26:07,000</v>
      </c>
      <c r="F476" s="5" t="str">
        <f t="shared" ca="1" si="65"/>
        <v>00:26:05.120</v>
      </c>
      <c r="G476" s="1" t="str">
        <f t="shared" ca="1" si="66"/>
        <v>00:26:07.000</v>
      </c>
      <c r="H476" s="2">
        <f t="shared" ca="1" si="67"/>
        <v>2.1759259259263031E-5</v>
      </c>
      <c r="I476">
        <f t="shared" ca="1" si="68"/>
        <v>10</v>
      </c>
      <c r="J476" s="2">
        <f t="shared" ca="1" si="69"/>
        <v>2.1759259259263031E-6</v>
      </c>
      <c r="K476" t="e">
        <f ca="1">MATCH(ROW(),sub!D:D,0)</f>
        <v>#N/A</v>
      </c>
      <c r="L476" t="b">
        <f t="shared" ca="1" si="70"/>
        <v>1</v>
      </c>
      <c r="M476" s="2">
        <f t="shared" ca="1" si="71"/>
        <v>2.1759259259263031E-6</v>
      </c>
    </row>
    <row r="477" spans="1:13" x14ac:dyDescent="0.3">
      <c r="A477">
        <f ca="1">OFFSET(srt_raw!$A$1,(ROW()-1)*4+COLUMN()-1,0)</f>
        <v>477</v>
      </c>
      <c r="B477" t="str">
        <f ca="1">OFFSET(srt_raw!$A$1,(ROW()-1)*4+COLUMN()-1,0)</f>
        <v>00:26:07,000 --&gt; 00:26:11,160</v>
      </c>
      <c r="C477" t="str">
        <f ca="1">OFFSET(srt_raw!$A$1,(ROW()-1)*4+COLUMN()-1,0)</f>
        <v>时间复杂度是ON的三次方，</v>
      </c>
      <c r="D477" t="str">
        <f t="shared" ca="1" si="63"/>
        <v>00:26:07,000</v>
      </c>
      <c r="E477" t="str">
        <f t="shared" ca="1" si="64"/>
        <v>00:26:11,160</v>
      </c>
      <c r="F477" s="5" t="str">
        <f t="shared" ca="1" si="65"/>
        <v>00:26:07.000</v>
      </c>
      <c r="G477" s="1" t="str">
        <f t="shared" ca="1" si="66"/>
        <v>00:26:11.160</v>
      </c>
      <c r="H477" s="2">
        <f t="shared" ca="1" si="67"/>
        <v>4.8148148148147857E-5</v>
      </c>
      <c r="I477">
        <f t="shared" ca="1" si="68"/>
        <v>13</v>
      </c>
      <c r="J477" s="2">
        <f t="shared" ca="1" si="69"/>
        <v>3.7037037037036813E-6</v>
      </c>
      <c r="K477" t="e">
        <f ca="1">MATCH(ROW(),sub!D:D,0)</f>
        <v>#N/A</v>
      </c>
      <c r="L477" t="b">
        <f t="shared" ca="1" si="70"/>
        <v>0</v>
      </c>
      <c r="M477" s="2">
        <f t="shared" ca="1" si="71"/>
        <v>0</v>
      </c>
    </row>
    <row r="478" spans="1:13" x14ac:dyDescent="0.3">
      <c r="A478">
        <f ca="1">OFFSET(srt_raw!$A$1,(ROW()-1)*4+COLUMN()-1,0)</f>
        <v>478</v>
      </c>
      <c r="B478" t="str">
        <f ca="1">OFFSET(srt_raw!$A$1,(ROW()-1)*4+COLUMN()-1,0)</f>
        <v>00:26:11,160 --&gt; 00:26:13,240</v>
      </c>
      <c r="C478" t="str">
        <f ca="1">OFFSET(srt_raw!$A$1,(ROW()-1)*4+COLUMN()-1,0)</f>
        <v>不过聪明的你一定能想到。</v>
      </c>
      <c r="D478" t="str">
        <f t="shared" ca="1" si="63"/>
        <v>00:26:11,160</v>
      </c>
      <c r="E478" t="str">
        <f t="shared" ca="1" si="64"/>
        <v>00:26:13,240</v>
      </c>
      <c r="F478" s="5" t="str">
        <f t="shared" ca="1" si="65"/>
        <v>00:26:11.160</v>
      </c>
      <c r="G478" s="1" t="str">
        <f t="shared" ca="1" si="66"/>
        <v>00:26:13.240</v>
      </c>
      <c r="H478" s="2">
        <f t="shared" ca="1" si="67"/>
        <v>2.4074074074072194E-5</v>
      </c>
      <c r="I478">
        <f t="shared" ca="1" si="68"/>
        <v>12</v>
      </c>
      <c r="J478" s="2">
        <f t="shared" ca="1" si="69"/>
        <v>2.006172839506016E-6</v>
      </c>
      <c r="K478">
        <f ca="1">MATCH(ROW(),sub!D:D,0)</f>
        <v>170</v>
      </c>
      <c r="L478" t="b">
        <f t="shared" ca="1" si="70"/>
        <v>1</v>
      </c>
      <c r="M478" s="2">
        <f t="shared" ca="1" si="71"/>
        <v>2.006172839506016E-6</v>
      </c>
    </row>
    <row r="479" spans="1:13" x14ac:dyDescent="0.3">
      <c r="A479">
        <f ca="1">OFFSET(srt_raw!$A$1,(ROW()-1)*4+COLUMN()-1,0)</f>
        <v>479</v>
      </c>
      <c r="B479" t="str">
        <f ca="1">OFFSET(srt_raw!$A$1,(ROW()-1)*4+COLUMN()-1,0)</f>
        <v>00:26:13,440 --&gt; 00:26:16,320</v>
      </c>
      <c r="C479" t="str">
        <f ca="1">OFFSET(srt_raw!$A$1,(ROW()-1)*4+COLUMN()-1,0)</f>
        <v>通过生成矩阵法调换矩阵的行以后，</v>
      </c>
      <c r="D479" t="str">
        <f t="shared" ca="1" si="63"/>
        <v>00:26:13,440</v>
      </c>
      <c r="E479" t="str">
        <f t="shared" ca="1" si="64"/>
        <v>00:26:16,320</v>
      </c>
      <c r="F479" s="5" t="str">
        <f t="shared" ca="1" si="65"/>
        <v>00:26:13.440</v>
      </c>
      <c r="G479" s="1" t="str">
        <f t="shared" ca="1" si="66"/>
        <v>00:26:16.320</v>
      </c>
      <c r="H479" s="2">
        <f t="shared" ca="1" si="67"/>
        <v>3.3333333333333132E-5</v>
      </c>
      <c r="I479">
        <f t="shared" ca="1" si="68"/>
        <v>16</v>
      </c>
      <c r="J479" s="2">
        <f t="shared" ca="1" si="69"/>
        <v>2.0833333333333207E-6</v>
      </c>
      <c r="K479" t="e">
        <f ca="1">MATCH(ROW(),sub!D:D,0)</f>
        <v>#N/A</v>
      </c>
      <c r="L479" t="b">
        <f t="shared" ca="1" si="70"/>
        <v>1</v>
      </c>
      <c r="M479" s="2">
        <f t="shared" ca="1" si="71"/>
        <v>2.0833333333333207E-6</v>
      </c>
    </row>
    <row r="480" spans="1:13" x14ac:dyDescent="0.3">
      <c r="A480">
        <f ca="1">OFFSET(srt_raw!$A$1,(ROW()-1)*4+COLUMN()-1,0)</f>
        <v>480</v>
      </c>
      <c r="B480" t="str">
        <f ca="1">OFFSET(srt_raw!$A$1,(ROW()-1)*4+COLUMN()-1,0)</f>
        <v>00:26:16,320 --&gt; 00:26:20,640</v>
      </c>
      <c r="C480" t="str">
        <f ca="1">OFFSET(srt_raw!$A$1,(ROW()-1)*4+COLUMN()-1,0)</f>
        <v>这些矩阵也都满足十字偶校验约束，</v>
      </c>
      <c r="D480" t="str">
        <f t="shared" ca="1" si="63"/>
        <v>00:26:16,320</v>
      </c>
      <c r="E480" t="str">
        <f t="shared" ca="1" si="64"/>
        <v>00:26:20,640</v>
      </c>
      <c r="F480" s="5" t="str">
        <f t="shared" ca="1" si="65"/>
        <v>00:26:16.320</v>
      </c>
      <c r="G480" s="1" t="str">
        <f t="shared" ca="1" si="66"/>
        <v>00:26:20.640</v>
      </c>
      <c r="H480" s="2">
        <f t="shared" ca="1" si="67"/>
        <v>5.0000000000001432E-5</v>
      </c>
      <c r="I480">
        <f t="shared" ca="1" si="68"/>
        <v>16</v>
      </c>
      <c r="J480" s="2">
        <f t="shared" ca="1" si="69"/>
        <v>3.1250000000000895E-6</v>
      </c>
      <c r="K480" t="e">
        <f ca="1">MATCH(ROW(),sub!D:D,0)</f>
        <v>#N/A</v>
      </c>
      <c r="L480" t="b">
        <f t="shared" ca="1" si="70"/>
        <v>0</v>
      </c>
      <c r="M480" s="2">
        <f t="shared" ca="1" si="71"/>
        <v>0</v>
      </c>
    </row>
    <row r="481" spans="1:13" x14ac:dyDescent="0.3">
      <c r="A481">
        <f ca="1">OFFSET(srt_raw!$A$1,(ROW()-1)*4+COLUMN()-1,0)</f>
        <v>481</v>
      </c>
      <c r="B481" t="str">
        <f ca="1">OFFSET(srt_raw!$A$1,(ROW()-1)*4+COLUMN()-1,0)</f>
        <v>00:26:20,640 --&gt; 00:26:23,560</v>
      </c>
      <c r="C481" t="str">
        <f ca="1">OFFSET(srt_raw!$A$1,(ROW()-1)*4+COLUMN()-1,0)</f>
        <v>因此我们同样只需要生成第一个矩阵，</v>
      </c>
      <c r="D481" t="str">
        <f t="shared" ca="1" si="63"/>
        <v>00:26:20,640</v>
      </c>
      <c r="E481" t="str">
        <f t="shared" ca="1" si="64"/>
        <v>00:26:23,560</v>
      </c>
      <c r="F481" s="5" t="str">
        <f t="shared" ca="1" si="65"/>
        <v>00:26:20.640</v>
      </c>
      <c r="G481" s="1" t="str">
        <f t="shared" ca="1" si="66"/>
        <v>00:26:23.560</v>
      </c>
      <c r="H481" s="2">
        <f t="shared" ca="1" si="67"/>
        <v>3.3796296296292189E-5</v>
      </c>
      <c r="I481">
        <f t="shared" ca="1" si="68"/>
        <v>17</v>
      </c>
      <c r="J481" s="2">
        <f t="shared" ca="1" si="69"/>
        <v>1.9880174291936583E-6</v>
      </c>
      <c r="K481">
        <f ca="1">MATCH(ROW(),sub!D:D,0)</f>
        <v>171</v>
      </c>
      <c r="L481" t="b">
        <f t="shared" ca="1" si="70"/>
        <v>1</v>
      </c>
      <c r="M481" s="2">
        <f t="shared" ca="1" si="71"/>
        <v>1.9880174291936583E-6</v>
      </c>
    </row>
    <row r="482" spans="1:13" x14ac:dyDescent="0.3">
      <c r="A482">
        <f ca="1">OFFSET(srt_raw!$A$1,(ROW()-1)*4+COLUMN()-1,0)</f>
        <v>482</v>
      </c>
      <c r="B482" t="str">
        <f ca="1">OFFSET(srt_raw!$A$1,(ROW()-1)*4+COLUMN()-1,0)</f>
        <v>00:26:23,760 --&gt; 00:26:25,760</v>
      </c>
      <c r="C482" t="str">
        <f ca="1">OFFSET(srt_raw!$A$1,(ROW()-1)*4+COLUMN()-1,0)</f>
        <v>然后递推即可得到矩阵地，</v>
      </c>
      <c r="D482" t="str">
        <f t="shared" ca="1" si="63"/>
        <v>00:26:23,760</v>
      </c>
      <c r="E482" t="str">
        <f t="shared" ca="1" si="64"/>
        <v>00:26:25,760</v>
      </c>
      <c r="F482" s="5" t="str">
        <f t="shared" ca="1" si="65"/>
        <v>00:26:23.760</v>
      </c>
      <c r="G482" s="1" t="str">
        <f t="shared" ca="1" si="66"/>
        <v>00:26:25.760</v>
      </c>
      <c r="H482" s="2">
        <f t="shared" ca="1" si="67"/>
        <v>2.3148148148147141E-5</v>
      </c>
      <c r="I482">
        <f t="shared" ca="1" si="68"/>
        <v>12</v>
      </c>
      <c r="J482" s="2">
        <f t="shared" ca="1" si="69"/>
        <v>1.9290123456789285E-6</v>
      </c>
      <c r="K482" t="e">
        <f ca="1">MATCH(ROW(),sub!D:D,0)</f>
        <v>#N/A</v>
      </c>
      <c r="L482" t="b">
        <f t="shared" ca="1" si="70"/>
        <v>1</v>
      </c>
      <c r="M482" s="2">
        <f t="shared" ca="1" si="71"/>
        <v>1.9290123456789285E-6</v>
      </c>
    </row>
    <row r="483" spans="1:13" x14ac:dyDescent="0.3">
      <c r="A483">
        <f ca="1">OFFSET(srt_raw!$A$1,(ROW()-1)*4+COLUMN()-1,0)</f>
        <v>483</v>
      </c>
      <c r="B483" t="str">
        <f ca="1">OFFSET(srt_raw!$A$1,(ROW()-1)*4+COLUMN()-1,0)</f>
        <v>00:26:26,080 --&gt; 00:26:30,640</v>
      </c>
      <c r="C483" t="str">
        <f ca="1">OFFSET(srt_raw!$A$1,(ROW()-1)*4+COLUMN()-1,0)</f>
        <v>时间复杂度降位了ON的二次方，</v>
      </c>
      <c r="D483" t="str">
        <f t="shared" ca="1" si="63"/>
        <v>00:26:26,080</v>
      </c>
      <c r="E483" t="str">
        <f t="shared" ca="1" si="64"/>
        <v>00:26:30,640</v>
      </c>
      <c r="F483" s="5" t="str">
        <f t="shared" ca="1" si="65"/>
        <v>00:26:26.080</v>
      </c>
      <c r="G483" s="1" t="str">
        <f t="shared" ca="1" si="66"/>
        <v>00:26:30.640</v>
      </c>
      <c r="H483" s="2">
        <f t="shared" ca="1" si="67"/>
        <v>5.2777777777780061E-5</v>
      </c>
      <c r="I483">
        <f t="shared" ca="1" si="68"/>
        <v>15</v>
      </c>
      <c r="J483" s="2">
        <f t="shared" ca="1" si="69"/>
        <v>3.5185185185186708E-6</v>
      </c>
      <c r="K483" t="e">
        <f ca="1">MATCH(ROW(),sub!D:D,0)</f>
        <v>#N/A</v>
      </c>
      <c r="L483" t="b">
        <f t="shared" ca="1" si="70"/>
        <v>0</v>
      </c>
      <c r="M483" s="2">
        <f t="shared" ca="1" si="71"/>
        <v>0</v>
      </c>
    </row>
    <row r="484" spans="1:13" x14ac:dyDescent="0.3">
      <c r="A484">
        <f ca="1">OFFSET(srt_raw!$A$1,(ROW()-1)*4+COLUMN()-1,0)</f>
        <v>484</v>
      </c>
      <c r="B484" t="str">
        <f ca="1">OFFSET(srt_raw!$A$1,(ROW()-1)*4+COLUMN()-1,0)</f>
        <v>00:26:30,640 --&gt; 00:26:32,640</v>
      </c>
      <c r="C484" t="str">
        <f ca="1">OFFSET(srt_raw!$A$1,(ROW()-1)*4+COLUMN()-1,0)</f>
        <v>在生成第一个矩阵的过程中，</v>
      </c>
      <c r="D484" t="str">
        <f t="shared" ca="1" si="63"/>
        <v>00:26:30,640</v>
      </c>
      <c r="E484" t="str">
        <f t="shared" ca="1" si="64"/>
        <v>00:26:32,640</v>
      </c>
      <c r="F484" s="5" t="str">
        <f t="shared" ca="1" si="65"/>
        <v>00:26:30.640</v>
      </c>
      <c r="G484" s="1" t="str">
        <f t="shared" ca="1" si="66"/>
        <v>00:26:32.640</v>
      </c>
      <c r="H484" s="2">
        <f t="shared" ca="1" si="67"/>
        <v>2.3148148148147141E-5</v>
      </c>
      <c r="I484">
        <f t="shared" ca="1" si="68"/>
        <v>13</v>
      </c>
      <c r="J484" s="2">
        <f t="shared" ca="1" si="69"/>
        <v>1.7806267806267031E-6</v>
      </c>
      <c r="K484">
        <f ca="1">MATCH(ROW(),sub!D:D,0)</f>
        <v>172</v>
      </c>
      <c r="L484" t="b">
        <f t="shared" ca="1" si="70"/>
        <v>1</v>
      </c>
      <c r="M484" s="2">
        <f t="shared" ca="1" si="71"/>
        <v>1.7806267806267031E-6</v>
      </c>
    </row>
    <row r="485" spans="1:13" x14ac:dyDescent="0.3">
      <c r="A485">
        <f ca="1">OFFSET(srt_raw!$A$1,(ROW()-1)*4+COLUMN()-1,0)</f>
        <v>485</v>
      </c>
      <c r="B485" t="str">
        <f ca="1">OFFSET(srt_raw!$A$1,(ROW()-1)*4+COLUMN()-1,0)</f>
        <v>00:26:32,640 --&gt; 00:26:36,400</v>
      </c>
      <c r="C485" t="str">
        <f ca="1">OFFSET(srt_raw!$A$1,(ROW()-1)*4+COLUMN()-1,0)</f>
        <v>每行乘以矩阵H的结果就是刚才的矩阵K，</v>
      </c>
      <c r="D485" t="str">
        <f t="shared" ca="1" si="63"/>
        <v>00:26:32,640</v>
      </c>
      <c r="E485" t="str">
        <f t="shared" ca="1" si="64"/>
        <v>00:26:36,400</v>
      </c>
      <c r="F485" s="5" t="str">
        <f t="shared" ca="1" si="65"/>
        <v>00:26:32.640</v>
      </c>
      <c r="G485" s="1" t="str">
        <f t="shared" ca="1" si="66"/>
        <v>00:26:36.400</v>
      </c>
      <c r="H485" s="2">
        <f t="shared" ca="1" si="67"/>
        <v>4.3518518518519123E-5</v>
      </c>
      <c r="I485">
        <f t="shared" ca="1" si="68"/>
        <v>19</v>
      </c>
      <c r="J485" s="2">
        <f t="shared" ca="1" si="69"/>
        <v>2.2904483430799538E-6</v>
      </c>
      <c r="K485" t="e">
        <f ca="1">MATCH(ROW(),sub!D:D,0)</f>
        <v>#N/A</v>
      </c>
      <c r="L485" t="b">
        <f t="shared" ca="1" si="70"/>
        <v>0</v>
      </c>
      <c r="M485" s="2">
        <f t="shared" ca="1" si="71"/>
        <v>0</v>
      </c>
    </row>
    <row r="486" spans="1:13" x14ac:dyDescent="0.3">
      <c r="A486">
        <f ca="1">OFFSET(srt_raw!$A$1,(ROW()-1)*4+COLUMN()-1,0)</f>
        <v>486</v>
      </c>
      <c r="B486" t="str">
        <f ca="1">OFFSET(srt_raw!$A$1,(ROW()-1)*4+COLUMN()-1,0)</f>
        <v>00:26:37,920 --&gt; 00:26:40,720</v>
      </c>
      <c r="C486" t="str">
        <f ca="1">OFFSET(srt_raw!$A$1,(ROW()-1)*4+COLUMN()-1,0)</f>
        <v>因此类似Q撇0等于KQ。</v>
      </c>
      <c r="D486" t="str">
        <f t="shared" ca="1" si="63"/>
        <v>00:26:37,920</v>
      </c>
      <c r="E486" t="str">
        <f t="shared" ca="1" si="64"/>
        <v>00:26:40,720</v>
      </c>
      <c r="F486" s="5" t="str">
        <f t="shared" ca="1" si="65"/>
        <v>00:26:37.920</v>
      </c>
      <c r="G486" s="1" t="str">
        <f t="shared" ca="1" si="66"/>
        <v>00:26:40.720</v>
      </c>
      <c r="H486" s="2">
        <f t="shared" ca="1" si="67"/>
        <v>3.2407407407408079E-5</v>
      </c>
      <c r="I486">
        <f t="shared" ca="1" si="68"/>
        <v>12</v>
      </c>
      <c r="J486" s="2">
        <f t="shared" ca="1" si="69"/>
        <v>2.7006172839506731E-6</v>
      </c>
      <c r="K486">
        <f ca="1">MATCH(ROW(),sub!D:D,0)</f>
        <v>173</v>
      </c>
      <c r="L486" t="b">
        <f t="shared" ca="1" si="70"/>
        <v>1</v>
      </c>
      <c r="M486" s="2">
        <f t="shared" ca="1" si="71"/>
        <v>2.7006172839506731E-6</v>
      </c>
    </row>
    <row r="487" spans="1:13" x14ac:dyDescent="0.3">
      <c r="A487">
        <f ca="1">OFFSET(srt_raw!$A$1,(ROW()-1)*4+COLUMN()-1,0)</f>
        <v>487</v>
      </c>
      <c r="B487" t="str">
        <f ca="1">OFFSET(srt_raw!$A$1,(ROW()-1)*4+COLUMN()-1,0)</f>
        <v>00:26:40,960 --&gt; 00:26:47,160</v>
      </c>
      <c r="C487" t="str">
        <f ca="1">OFFSET(srt_raw!$A$1,(ROW()-1)*4+COLUMN()-1,0)</f>
        <v>只需要将GX和K直接相乘即可得到第一个矩阵的最后一行即矩阵地</v>
      </c>
      <c r="D487" t="str">
        <f t="shared" ca="1" si="63"/>
        <v>00:26:40,960</v>
      </c>
      <c r="E487" t="str">
        <f t="shared" ca="1" si="64"/>
        <v>00:26:47,160</v>
      </c>
      <c r="F487" s="5" t="str">
        <f t="shared" ca="1" si="65"/>
        <v>00:26:40.960</v>
      </c>
      <c r="G487" s="1" t="str">
        <f t="shared" ca="1" si="66"/>
        <v>00:26:47.160</v>
      </c>
      <c r="H487" s="2">
        <f t="shared" ca="1" si="67"/>
        <v>7.1759259259260993E-5</v>
      </c>
      <c r="I487">
        <f t="shared" ca="1" si="68"/>
        <v>30</v>
      </c>
      <c r="J487" s="2">
        <f t="shared" ca="1" si="69"/>
        <v>2.3919753086420331E-6</v>
      </c>
      <c r="K487" t="e">
        <f ca="1">MATCH(ROW(),sub!D:D,0)</f>
        <v>#N/A</v>
      </c>
      <c r="L487" t="b">
        <f t="shared" ca="1" si="70"/>
        <v>1</v>
      </c>
      <c r="M487" s="2">
        <f t="shared" ca="1" si="71"/>
        <v>2.3919753086420331E-6</v>
      </c>
    </row>
    <row r="488" spans="1:13" x14ac:dyDescent="0.3">
      <c r="A488">
        <f ca="1">OFFSET(srt_raw!$A$1,(ROW()-1)*4+COLUMN()-1,0)</f>
        <v>488</v>
      </c>
      <c r="B488" t="str">
        <f ca="1">OFFSET(srt_raw!$A$1,(ROW()-1)*4+COLUMN()-1,0)</f>
        <v>00:26:47,160 --&gt; 00:26:48,000</v>
      </c>
      <c r="C488" t="str">
        <f ca="1">OFFSET(srt_raw!$A$1,(ROW()-1)*4+COLUMN()-1,0)</f>
        <v>的第一行地，</v>
      </c>
      <c r="D488" t="str">
        <f t="shared" ca="1" si="63"/>
        <v>00:26:47,160</v>
      </c>
      <c r="E488" t="str">
        <f t="shared" ca="1" si="64"/>
        <v>00:26:48,000</v>
      </c>
      <c r="F488" s="5" t="str">
        <f t="shared" ca="1" si="65"/>
        <v>00:26:47.160</v>
      </c>
      <c r="G488" s="1" t="str">
        <f t="shared" ca="1" si="66"/>
        <v>00:26:48.000</v>
      </c>
      <c r="H488" s="2">
        <f t="shared" ca="1" si="67"/>
        <v>9.722222222219995E-6</v>
      </c>
      <c r="I488">
        <f t="shared" ca="1" si="68"/>
        <v>6</v>
      </c>
      <c r="J488" s="2">
        <f t="shared" ca="1" si="69"/>
        <v>1.6203703703699991E-6</v>
      </c>
      <c r="K488" t="e">
        <f ca="1">MATCH(ROW(),sub!D:D,0)</f>
        <v>#N/A</v>
      </c>
      <c r="L488" t="b">
        <f t="shared" ca="1" si="70"/>
        <v>0</v>
      </c>
      <c r="M488" s="2">
        <f t="shared" ca="1" si="71"/>
        <v>0</v>
      </c>
    </row>
    <row r="489" spans="1:13" x14ac:dyDescent="0.3">
      <c r="A489">
        <f ca="1">OFFSET(srt_raw!$A$1,(ROW()-1)*4+COLUMN()-1,0)</f>
        <v>489</v>
      </c>
      <c r="B489" t="str">
        <f ca="1">OFFSET(srt_raw!$A$1,(ROW()-1)*4+COLUMN()-1,0)</f>
        <v>00:26:49,520 --&gt; 00:26:54,320</v>
      </c>
      <c r="C489" t="str">
        <f ca="1">OFFSET(srt_raw!$A$1,(ROW()-1)*4+COLUMN()-1,0)</f>
        <v>然后我们就可以使用十字偶校验约束的递推关系求得之后的行，</v>
      </c>
      <c r="D489" t="str">
        <f t="shared" ca="1" si="63"/>
        <v>00:26:49,520</v>
      </c>
      <c r="E489" t="str">
        <f t="shared" ca="1" si="64"/>
        <v>00:26:54,320</v>
      </c>
      <c r="F489" s="5" t="str">
        <f t="shared" ca="1" si="65"/>
        <v>00:26:49.520</v>
      </c>
      <c r="G489" s="1" t="str">
        <f t="shared" ca="1" si="66"/>
        <v>00:26:54.320</v>
      </c>
      <c r="H489" s="2">
        <f t="shared" ca="1" si="67"/>
        <v>5.5555555555555219E-5</v>
      </c>
      <c r="I489">
        <f t="shared" ca="1" si="68"/>
        <v>28</v>
      </c>
      <c r="J489" s="2">
        <f t="shared" ca="1" si="69"/>
        <v>1.9841269841269722E-6</v>
      </c>
      <c r="K489">
        <f ca="1">MATCH(ROW(),sub!D:D,0)</f>
        <v>174</v>
      </c>
      <c r="L489" t="b">
        <f t="shared" ca="1" si="70"/>
        <v>0</v>
      </c>
      <c r="M489" s="2">
        <f t="shared" ca="1" si="71"/>
        <v>0</v>
      </c>
    </row>
    <row r="490" spans="1:13" x14ac:dyDescent="0.3">
      <c r="A490">
        <f ca="1">OFFSET(srt_raw!$A$1,(ROW()-1)*4+COLUMN()-1,0)</f>
        <v>490</v>
      </c>
      <c r="B490" t="str">
        <f ca="1">OFFSET(srt_raw!$A$1,(ROW()-1)*4+COLUMN()-1,0)</f>
        <v>00:26:55,840 --&gt; 00:26:58,560</v>
      </c>
      <c r="C490" t="str">
        <f ca="1">OFFSET(srt_raw!$A$1,(ROW()-1)*4+COLUMN()-1,0)</f>
        <v>由于矩阵地是由矩阵H生成的，</v>
      </c>
      <c r="D490" t="str">
        <f t="shared" ca="1" si="63"/>
        <v>00:26:55,840</v>
      </c>
      <c r="E490" t="str">
        <f t="shared" ca="1" si="64"/>
        <v>00:26:58,560</v>
      </c>
      <c r="F490" s="5" t="str">
        <f t="shared" ca="1" si="65"/>
        <v>00:26:55.840</v>
      </c>
      <c r="G490" s="1" t="str">
        <f t="shared" ca="1" si="66"/>
        <v>00:26:58.560</v>
      </c>
      <c r="H490" s="2">
        <f t="shared" ca="1" si="67"/>
        <v>3.1481481481479556E-5</v>
      </c>
      <c r="I490">
        <f t="shared" ca="1" si="68"/>
        <v>14</v>
      </c>
      <c r="J490" s="2">
        <f t="shared" ca="1" si="69"/>
        <v>2.2486772486771112E-6</v>
      </c>
      <c r="K490">
        <f ca="1">MATCH(ROW(),sub!D:D,0)</f>
        <v>175</v>
      </c>
      <c r="L490" t="b">
        <f t="shared" ca="1" si="70"/>
        <v>1</v>
      </c>
      <c r="M490" s="2">
        <f t="shared" ca="1" si="71"/>
        <v>2.2486772486771112E-6</v>
      </c>
    </row>
    <row r="491" spans="1:13" x14ac:dyDescent="0.3">
      <c r="A491">
        <f ca="1">OFFSET(srt_raw!$A$1,(ROW()-1)*4+COLUMN()-1,0)</f>
        <v>491</v>
      </c>
      <c r="B491" t="str">
        <f ca="1">OFFSET(srt_raw!$A$1,(ROW()-1)*4+COLUMN()-1,0)</f>
        <v>00:26:58,560 --&gt; 00:27:01,000</v>
      </c>
      <c r="C491" t="str">
        <f ca="1">OFFSET(srt_raw!$A$1,(ROW()-1)*4+COLUMN()-1,0)</f>
        <v>因此具有以下这些性质，</v>
      </c>
      <c r="D491" t="str">
        <f t="shared" ca="1" si="63"/>
        <v>00:26:58,560</v>
      </c>
      <c r="E491" t="str">
        <f t="shared" ca="1" si="64"/>
        <v>00:27:01,000</v>
      </c>
      <c r="F491" s="5" t="str">
        <f t="shared" ca="1" si="65"/>
        <v>00:26:58.560</v>
      </c>
      <c r="G491" s="1" t="str">
        <f t="shared" ca="1" si="66"/>
        <v>00:27:01.000</v>
      </c>
      <c r="H491" s="2">
        <f t="shared" ca="1" si="67"/>
        <v>2.8240740740741871E-5</v>
      </c>
      <c r="I491">
        <f t="shared" ca="1" si="68"/>
        <v>11</v>
      </c>
      <c r="J491" s="2">
        <f t="shared" ca="1" si="69"/>
        <v>2.5673400673401703E-6</v>
      </c>
      <c r="K491" t="e">
        <f ca="1">MATCH(ROW(),sub!D:D,0)</f>
        <v>#N/A</v>
      </c>
      <c r="L491" t="b">
        <f t="shared" ca="1" si="70"/>
        <v>1</v>
      </c>
      <c r="M491" s="2">
        <f t="shared" ca="1" si="71"/>
        <v>2.5673400673401703E-6</v>
      </c>
    </row>
    <row r="492" spans="1:13" x14ac:dyDescent="0.3">
      <c r="A492">
        <f ca="1">OFFSET(srt_raw!$A$1,(ROW()-1)*4+COLUMN()-1,0)</f>
        <v>492</v>
      </c>
      <c r="B492" t="str">
        <f ca="1">OFFSET(srt_raw!$A$1,(ROW()-1)*4+COLUMN()-1,0)</f>
        <v>00:27:01,000 --&gt; 00:27:02,320</v>
      </c>
      <c r="C492" t="str">
        <f ca="1">OFFSET(srt_raw!$A$1,(ROW()-1)*4+COLUMN()-1,0)</f>
        <v>这里N等于5，</v>
      </c>
      <c r="D492" t="str">
        <f t="shared" ca="1" si="63"/>
        <v>00:27:01,000</v>
      </c>
      <c r="E492" t="str">
        <f t="shared" ca="1" si="64"/>
        <v>00:27:02,320</v>
      </c>
      <c r="F492" s="5" t="str">
        <f t="shared" ca="1" si="65"/>
        <v>00:27:01.000</v>
      </c>
      <c r="G492" s="1" t="str">
        <f t="shared" ca="1" si="66"/>
        <v>00:27:02.320</v>
      </c>
      <c r="H492" s="2">
        <f t="shared" ca="1" si="67"/>
        <v>1.5277777777777252E-5</v>
      </c>
      <c r="I492">
        <f t="shared" ca="1" si="68"/>
        <v>7</v>
      </c>
      <c r="J492" s="2">
        <f t="shared" ca="1" si="69"/>
        <v>2.1825396825396074E-6</v>
      </c>
      <c r="K492" t="e">
        <f ca="1">MATCH(ROW(),sub!D:D,0)</f>
        <v>#N/A</v>
      </c>
      <c r="L492" t="b">
        <f t="shared" ca="1" si="70"/>
        <v>1</v>
      </c>
      <c r="M492" s="2">
        <f t="shared" ca="1" si="71"/>
        <v>2.1825396825396074E-6</v>
      </c>
    </row>
    <row r="493" spans="1:13" x14ac:dyDescent="0.3">
      <c r="A493">
        <f ca="1">OFFSET(srt_raw!$A$1,(ROW()-1)*4+COLUMN()-1,0)</f>
        <v>493</v>
      </c>
      <c r="B493" t="str">
        <f ca="1">OFFSET(srt_raw!$A$1,(ROW()-1)*4+COLUMN()-1,0)</f>
        <v>00:27:02,640 --&gt; 00:27:03,280</v>
      </c>
      <c r="C493" t="str">
        <f ca="1">OFFSET(srt_raw!$A$1,(ROW()-1)*4+COLUMN()-1,0)</f>
        <v>R等于3，</v>
      </c>
      <c r="D493" t="str">
        <f t="shared" ca="1" si="63"/>
        <v>00:27:02,640</v>
      </c>
      <c r="E493" t="str">
        <f t="shared" ca="1" si="64"/>
        <v>00:27:03,280</v>
      </c>
      <c r="F493" s="5" t="str">
        <f t="shared" ca="1" si="65"/>
        <v>00:27:02.640</v>
      </c>
      <c r="G493" s="1" t="str">
        <f t="shared" ca="1" si="66"/>
        <v>00:27:03.280</v>
      </c>
      <c r="H493" s="2">
        <f t="shared" ca="1" si="67"/>
        <v>7.4074074074038931E-6</v>
      </c>
      <c r="I493">
        <f t="shared" ca="1" si="68"/>
        <v>5</v>
      </c>
      <c r="J493" s="2">
        <f t="shared" ca="1" si="69"/>
        <v>1.4814814814807786E-6</v>
      </c>
      <c r="K493" t="e">
        <f ca="1">MATCH(ROW(),sub!D:D,0)</f>
        <v>#N/A</v>
      </c>
      <c r="L493" t="b">
        <f t="shared" ca="1" si="70"/>
        <v>1</v>
      </c>
      <c r="M493" s="2">
        <f t="shared" ca="1" si="71"/>
        <v>1.4814814814807786E-6</v>
      </c>
    </row>
    <row r="494" spans="1:13" x14ac:dyDescent="0.3">
      <c r="A494">
        <f ca="1">OFFSET(srt_raw!$A$1,(ROW()-1)*4+COLUMN()-1,0)</f>
        <v>494</v>
      </c>
      <c r="B494" t="str">
        <f ca="1">OFFSET(srt_raw!$A$1,(ROW()-1)*4+COLUMN()-1,0)</f>
        <v>00:27:03,520 --&gt; 00:27:04,560</v>
      </c>
      <c r="C494" t="str">
        <f ca="1">OFFSET(srt_raw!$A$1,(ROW()-1)*4+COLUMN()-1,0)</f>
        <v>二撇等于2，</v>
      </c>
      <c r="D494" t="str">
        <f t="shared" ca="1" si="63"/>
        <v>00:27:03,520</v>
      </c>
      <c r="E494" t="str">
        <f t="shared" ca="1" si="64"/>
        <v>00:27:04,560</v>
      </c>
      <c r="F494" s="5" t="str">
        <f t="shared" ca="1" si="65"/>
        <v>00:27:03.520</v>
      </c>
      <c r="G494" s="1" t="str">
        <f t="shared" ca="1" si="66"/>
        <v>00:27:04.560</v>
      </c>
      <c r="H494" s="2">
        <f t="shared" ca="1" si="67"/>
        <v>1.2037037037036097E-5</v>
      </c>
      <c r="I494">
        <f t="shared" ca="1" si="68"/>
        <v>6</v>
      </c>
      <c r="J494" s="2">
        <f t="shared" ca="1" si="69"/>
        <v>2.006172839506016E-6</v>
      </c>
      <c r="K494" t="e">
        <f ca="1">MATCH(ROW(),sub!D:D,0)</f>
        <v>#N/A</v>
      </c>
      <c r="L494" t="b">
        <f t="shared" ca="1" si="70"/>
        <v>0</v>
      </c>
      <c r="M494" s="2">
        <f t="shared" ca="1" si="71"/>
        <v>0</v>
      </c>
    </row>
    <row r="495" spans="1:13" x14ac:dyDescent="0.3">
      <c r="A495">
        <f ca="1">OFFSET(srt_raw!$A$1,(ROW()-1)*4+COLUMN()-1,0)</f>
        <v>495</v>
      </c>
      <c r="B495" t="str">
        <f ca="1">OFFSET(srt_raw!$A$1,(ROW()-1)*4+COLUMN()-1,0)</f>
        <v>00:27:06,640 --&gt; 00:27:08,240</v>
      </c>
      <c r="C495" t="str">
        <f ca="1">OFFSET(srt_raw!$A$1,(ROW()-1)*4+COLUMN()-1,0)</f>
        <v>1后2等于3行。</v>
      </c>
      <c r="D495" t="str">
        <f t="shared" ca="1" si="63"/>
        <v>00:27:06,640</v>
      </c>
      <c r="E495" t="str">
        <f t="shared" ca="1" si="64"/>
        <v>00:27:08,240</v>
      </c>
      <c r="F495" s="5" t="str">
        <f t="shared" ca="1" si="65"/>
        <v>00:27:06.640</v>
      </c>
      <c r="G495" s="1" t="str">
        <f t="shared" ca="1" si="66"/>
        <v>00:27:08.240</v>
      </c>
      <c r="H495" s="2">
        <f t="shared" ca="1" si="67"/>
        <v>1.8518518518518406E-5</v>
      </c>
      <c r="I495">
        <f t="shared" ca="1" si="68"/>
        <v>8</v>
      </c>
      <c r="J495" s="2">
        <f t="shared" ca="1" si="69"/>
        <v>2.3148148148148008E-6</v>
      </c>
      <c r="K495">
        <f ca="1">MATCH(ROW(),sub!D:D,0)</f>
        <v>176</v>
      </c>
      <c r="L495" t="b">
        <f t="shared" ca="1" si="70"/>
        <v>1</v>
      </c>
      <c r="M495" s="2">
        <f t="shared" ca="1" si="71"/>
        <v>2.3148148148148008E-6</v>
      </c>
    </row>
    <row r="496" spans="1:13" x14ac:dyDescent="0.3">
      <c r="A496">
        <f ca="1">OFFSET(srt_raw!$A$1,(ROW()-1)*4+COLUMN()-1,0)</f>
        <v>496</v>
      </c>
      <c r="B496" t="str">
        <f ca="1">OFFSET(srt_raw!$A$1,(ROW()-1)*4+COLUMN()-1,0)</f>
        <v>00:27:08,560 --&gt; 00:27:12,920</v>
      </c>
      <c r="C496" t="str">
        <f ca="1">OFFSET(srt_raw!$A$1,(ROW()-1)*4+COLUMN()-1,0)</f>
        <v>第n行最左边的n减二撇负一等于n减三个元素为零，</v>
      </c>
      <c r="D496" t="str">
        <f t="shared" ca="1" si="63"/>
        <v>00:27:08,560</v>
      </c>
      <c r="E496" t="str">
        <f t="shared" ca="1" si="64"/>
        <v>00:27:12,920</v>
      </c>
      <c r="F496" s="5" t="str">
        <f t="shared" ca="1" si="65"/>
        <v>00:27:08.560</v>
      </c>
      <c r="G496" s="1" t="str">
        <f t="shared" ca="1" si="66"/>
        <v>00:27:12.920</v>
      </c>
      <c r="H496" s="2">
        <f t="shared" ca="1" si="67"/>
        <v>5.0462962962963959E-5</v>
      </c>
      <c r="I496">
        <f t="shared" ca="1" si="68"/>
        <v>24</v>
      </c>
      <c r="J496" s="2">
        <f t="shared" ca="1" si="69"/>
        <v>2.1026234567901648E-6</v>
      </c>
      <c r="K496" t="e">
        <f ca="1">MATCH(ROW(),sub!D:D,0)</f>
        <v>#N/A</v>
      </c>
      <c r="L496" t="b">
        <f t="shared" ca="1" si="70"/>
        <v>0</v>
      </c>
      <c r="M496" s="2">
        <f t="shared" ca="1" si="71"/>
        <v>0</v>
      </c>
    </row>
    <row r="497" spans="1:13" x14ac:dyDescent="0.3">
      <c r="A497">
        <f ca="1">OFFSET(srt_raw!$A$1,(ROW()-1)*4+COLUMN()-1,0)</f>
        <v>497</v>
      </c>
      <c r="B497" t="str">
        <f ca="1">OFFSET(srt_raw!$A$1,(ROW()-1)*4+COLUMN()-1,0)</f>
        <v>00:27:14,720 --&gt; 00:27:16,400</v>
      </c>
      <c r="C497" t="str">
        <f ca="1">OFFSET(srt_raw!$A$1,(ROW()-1)*4+COLUMN()-1,0)</f>
        <v>二后二等于三行，</v>
      </c>
      <c r="D497" t="str">
        <f t="shared" ca="1" si="63"/>
        <v>00:27:14,720</v>
      </c>
      <c r="E497" t="str">
        <f t="shared" ca="1" si="64"/>
        <v>00:27:16,400</v>
      </c>
      <c r="F497" s="5" t="str">
        <f t="shared" ca="1" si="65"/>
        <v>00:27:14.720</v>
      </c>
      <c r="G497" s="1" t="str">
        <f t="shared" ca="1" si="66"/>
        <v>00:27:16.400</v>
      </c>
      <c r="H497" s="2">
        <f t="shared" ca="1" si="67"/>
        <v>1.9444444444443459E-5</v>
      </c>
      <c r="I497">
        <f t="shared" ca="1" si="68"/>
        <v>8</v>
      </c>
      <c r="J497" s="2">
        <f t="shared" ca="1" si="69"/>
        <v>2.4305555555554324E-6</v>
      </c>
      <c r="K497">
        <f ca="1">MATCH(ROW(),sub!D:D,0)</f>
        <v>177</v>
      </c>
      <c r="L497" t="b">
        <f t="shared" ca="1" si="70"/>
        <v>1</v>
      </c>
      <c r="M497" s="2">
        <f t="shared" ca="1" si="71"/>
        <v>2.4305555555554324E-6</v>
      </c>
    </row>
    <row r="498" spans="1:13" x14ac:dyDescent="0.3">
      <c r="A498">
        <f ca="1">OFFSET(srt_raw!$A$1,(ROW()-1)*4+COLUMN()-1,0)</f>
        <v>498</v>
      </c>
      <c r="B498" t="str">
        <f ca="1">OFFSET(srt_raw!$A$1,(ROW()-1)*4+COLUMN()-1,0)</f>
        <v>00:27:16,560 --&gt; 00:27:22,120</v>
      </c>
      <c r="C498" t="str">
        <f ca="1">OFFSET(srt_raw!$A$1,(ROW()-1)*4+COLUMN()-1,0)</f>
        <v>第n行第n减二撇等于n减二个元素为一，</v>
      </c>
      <c r="D498" t="str">
        <f t="shared" ca="1" si="63"/>
        <v>00:27:16,560</v>
      </c>
      <c r="E498" t="str">
        <f t="shared" ca="1" si="64"/>
        <v>00:27:22,120</v>
      </c>
      <c r="F498" s="5" t="str">
        <f t="shared" ca="1" si="65"/>
        <v>00:27:16.560</v>
      </c>
      <c r="G498" s="1" t="str">
        <f t="shared" ca="1" si="66"/>
        <v>00:27:22.120</v>
      </c>
      <c r="H498" s="2">
        <f t="shared" ca="1" si="67"/>
        <v>6.4351851851850161E-5</v>
      </c>
      <c r="I498">
        <f t="shared" ca="1" si="68"/>
        <v>19</v>
      </c>
      <c r="J498" s="2">
        <f t="shared" ca="1" si="69"/>
        <v>3.3869395711500085E-6</v>
      </c>
      <c r="K498" t="e">
        <f ca="1">MATCH(ROW(),sub!D:D,0)</f>
        <v>#N/A</v>
      </c>
      <c r="L498" t="b">
        <f t="shared" ca="1" si="70"/>
        <v>0</v>
      </c>
      <c r="M498" s="2">
        <f t="shared" ca="1" si="71"/>
        <v>0</v>
      </c>
    </row>
    <row r="499" spans="1:13" x14ac:dyDescent="0.3">
      <c r="A499">
        <f ca="1">OFFSET(srt_raw!$A$1,(ROW()-1)*4+COLUMN()-1,0)</f>
        <v>499</v>
      </c>
      <c r="B499" t="str">
        <f ca="1">OFFSET(srt_raw!$A$1,(ROW()-1)*4+COLUMN()-1,0)</f>
        <v>00:27:22,120 --&gt; 00:27:24,000</v>
      </c>
      <c r="C499" t="str">
        <f ca="1">OFFSET(srt_raw!$A$1,(ROW()-1)*4+COLUMN()-1,0)</f>
        <v>三后二等于三行，</v>
      </c>
      <c r="D499" t="str">
        <f t="shared" ca="1" si="63"/>
        <v>00:27:22,120</v>
      </c>
      <c r="E499" t="str">
        <f t="shared" ca="1" si="64"/>
        <v>00:27:24,000</v>
      </c>
      <c r="F499" s="5" t="str">
        <f t="shared" ca="1" si="65"/>
        <v>00:27:22.120</v>
      </c>
      <c r="G499" s="1" t="str">
        <f t="shared" ca="1" si="66"/>
        <v>00:27:24.000</v>
      </c>
      <c r="H499" s="2">
        <f t="shared" ca="1" si="67"/>
        <v>2.1759259259263031E-5</v>
      </c>
      <c r="I499">
        <f t="shared" ca="1" si="68"/>
        <v>8</v>
      </c>
      <c r="J499" s="2">
        <f t="shared" ca="1" si="69"/>
        <v>2.7199074074078788E-6</v>
      </c>
      <c r="K499">
        <f ca="1">MATCH(ROW(),sub!D:D,0)</f>
        <v>178</v>
      </c>
      <c r="L499" t="b">
        <f t="shared" ca="1" si="70"/>
        <v>1</v>
      </c>
      <c r="M499" s="2">
        <f t="shared" ca="1" si="71"/>
        <v>2.7199074074078788E-6</v>
      </c>
    </row>
    <row r="500" spans="1:13" x14ac:dyDescent="0.3">
      <c r="A500">
        <f ca="1">OFFSET(srt_raw!$A$1,(ROW()-1)*4+COLUMN()-1,0)</f>
        <v>500</v>
      </c>
      <c r="B500" t="str">
        <f ca="1">OFFSET(srt_raw!$A$1,(ROW()-1)*4+COLUMN()-1,0)</f>
        <v>00:27:24,160 --&gt; 00:27:29,720</v>
      </c>
      <c r="C500" t="str">
        <f ca="1">OFFSET(srt_raw!$A$1,(ROW()-1)*4+COLUMN()-1,0)</f>
        <v>任意一行都不能由别的行叠加及线性无关，</v>
      </c>
      <c r="D500" t="str">
        <f t="shared" ca="1" si="63"/>
        <v>00:27:24,160</v>
      </c>
      <c r="E500" t="str">
        <f t="shared" ca="1" si="64"/>
        <v>00:27:29,720</v>
      </c>
      <c r="F500" s="5" t="str">
        <f t="shared" ca="1" si="65"/>
        <v>00:27:24.160</v>
      </c>
      <c r="G500" s="1" t="str">
        <f t="shared" ca="1" si="66"/>
        <v>00:27:29.720</v>
      </c>
      <c r="H500" s="2">
        <f t="shared" ca="1" si="67"/>
        <v>6.4351851851853631E-5</v>
      </c>
      <c r="I500">
        <f t="shared" ca="1" si="68"/>
        <v>19</v>
      </c>
      <c r="J500" s="2">
        <f t="shared" ca="1" si="69"/>
        <v>3.386939571150191E-6</v>
      </c>
      <c r="K500" t="e">
        <f ca="1">MATCH(ROW(),sub!D:D,0)</f>
        <v>#N/A</v>
      </c>
      <c r="L500" t="b">
        <f t="shared" ca="1" si="70"/>
        <v>0</v>
      </c>
      <c r="M500" s="2">
        <f t="shared" ca="1" si="71"/>
        <v>0</v>
      </c>
    </row>
    <row r="501" spans="1:13" x14ac:dyDescent="0.3">
      <c r="A501">
        <f ca="1">OFFSET(srt_raw!$A$1,(ROW()-1)*4+COLUMN()-1,0)</f>
        <v>501</v>
      </c>
      <c r="B501" t="str">
        <f ca="1">OFFSET(srt_raw!$A$1,(ROW()-1)*4+COLUMN()-1,0)</f>
        <v>00:27:29,720 --&gt; 00:27:31,600</v>
      </c>
      <c r="C501" t="str">
        <f ca="1">OFFSET(srt_raw!$A$1,(ROW()-1)*4+COLUMN()-1,0)</f>
        <v>四前二撇等于二行，</v>
      </c>
      <c r="D501" t="str">
        <f t="shared" ca="1" si="63"/>
        <v>00:27:29,720</v>
      </c>
      <c r="E501" t="str">
        <f t="shared" ca="1" si="64"/>
        <v>00:27:31,600</v>
      </c>
      <c r="F501" s="5" t="str">
        <f t="shared" ca="1" si="65"/>
        <v>00:27:29.720</v>
      </c>
      <c r="G501" s="1" t="str">
        <f t="shared" ca="1" si="66"/>
        <v>00:27:31.600</v>
      </c>
      <c r="H501" s="2">
        <f t="shared" ca="1" si="67"/>
        <v>2.1759259259256092E-5</v>
      </c>
      <c r="I501">
        <f t="shared" ca="1" si="68"/>
        <v>9</v>
      </c>
      <c r="J501" s="2">
        <f t="shared" ca="1" si="69"/>
        <v>2.417695473250677E-6</v>
      </c>
      <c r="K501">
        <f ca="1">MATCH(ROW(),sub!D:D,0)</f>
        <v>179</v>
      </c>
      <c r="L501" t="b">
        <f t="shared" ca="1" si="70"/>
        <v>1</v>
      </c>
      <c r="M501" s="2">
        <f t="shared" ca="1" si="71"/>
        <v>2.417695473250677E-6</v>
      </c>
    </row>
    <row r="502" spans="1:13" x14ac:dyDescent="0.3">
      <c r="A502">
        <f ca="1">OFFSET(srt_raw!$A$1,(ROW()-1)*4+COLUMN()-1,0)</f>
        <v>502</v>
      </c>
      <c r="B502" t="str">
        <f ca="1">OFFSET(srt_raw!$A$1,(ROW()-1)*4+COLUMN()-1,0)</f>
        <v>00:27:31,760 --&gt; 00:27:36,320</v>
      </c>
      <c r="C502" t="str">
        <f ca="1">OFFSET(srt_raw!$A$1,(ROW()-1)*4+COLUMN()-1,0)</f>
        <v>任意一行都可以由后二等于三行叠加，</v>
      </c>
      <c r="D502" t="str">
        <f t="shared" ca="1" si="63"/>
        <v>00:27:31,760</v>
      </c>
      <c r="E502" t="str">
        <f t="shared" ca="1" si="64"/>
        <v>00:27:36,320</v>
      </c>
      <c r="F502" s="5" t="str">
        <f t="shared" ca="1" si="65"/>
        <v>00:27:31.760</v>
      </c>
      <c r="G502" s="1" t="str">
        <f t="shared" ca="1" si="66"/>
        <v>00:27:36.320</v>
      </c>
      <c r="H502" s="2">
        <f t="shared" ca="1" si="67"/>
        <v>5.2777777777776591E-5</v>
      </c>
      <c r="I502">
        <f t="shared" ca="1" si="68"/>
        <v>17</v>
      </c>
      <c r="J502" s="2">
        <f t="shared" ca="1" si="69"/>
        <v>3.1045751633986231E-6</v>
      </c>
      <c r="K502" t="e">
        <f ca="1">MATCH(ROW(),sub!D:D,0)</f>
        <v>#N/A</v>
      </c>
      <c r="L502" t="b">
        <f t="shared" ca="1" si="70"/>
        <v>0</v>
      </c>
      <c r="M502" s="2">
        <f t="shared" ca="1" si="71"/>
        <v>0</v>
      </c>
    </row>
    <row r="503" spans="1:13" x14ac:dyDescent="0.3">
      <c r="A503">
        <f ca="1">OFFSET(srt_raw!$A$1,(ROW()-1)*4+COLUMN()-1,0)</f>
        <v>503</v>
      </c>
      <c r="B503" t="str">
        <f ca="1">OFFSET(srt_raw!$A$1,(ROW()-1)*4+COLUMN()-1,0)</f>
        <v>00:27:36,320 --&gt; 00:27:38,000</v>
      </c>
      <c r="C503" t="str">
        <f ca="1">OFFSET(srt_raw!$A$1,(ROW()-1)*4+COLUMN()-1,0)</f>
        <v>这些性质都不难证明。</v>
      </c>
      <c r="D503" t="str">
        <f t="shared" ca="1" si="63"/>
        <v>00:27:36,320</v>
      </c>
      <c r="E503" t="str">
        <f t="shared" ca="1" si="64"/>
        <v>00:27:38,000</v>
      </c>
      <c r="F503" s="5" t="str">
        <f t="shared" ca="1" si="65"/>
        <v>00:27:36.320</v>
      </c>
      <c r="G503" s="1" t="str">
        <f t="shared" ca="1" si="66"/>
        <v>00:27:38.000</v>
      </c>
      <c r="H503" s="2">
        <f t="shared" ca="1" si="67"/>
        <v>1.9444444444446929E-5</v>
      </c>
      <c r="I503">
        <f t="shared" ca="1" si="68"/>
        <v>10</v>
      </c>
      <c r="J503" s="2">
        <f t="shared" ca="1" si="69"/>
        <v>1.944444444444693E-6</v>
      </c>
      <c r="K503">
        <f ca="1">MATCH(ROW(),sub!D:D,0)</f>
        <v>180</v>
      </c>
      <c r="L503" t="b">
        <f t="shared" ca="1" si="70"/>
        <v>1</v>
      </c>
      <c r="M503" s="2">
        <f t="shared" ca="1" si="71"/>
        <v>1.944444444444693E-6</v>
      </c>
    </row>
    <row r="504" spans="1:13" x14ac:dyDescent="0.3">
      <c r="A504">
        <f ca="1">OFFSET(srt_raw!$A$1,(ROW()-1)*4+COLUMN()-1,0)</f>
        <v>504</v>
      </c>
      <c r="B504" t="str">
        <f ca="1">OFFSET(srt_raw!$A$1,(ROW()-1)*4+COLUMN()-1,0)</f>
        <v>00:27:38,160 --&gt; 00:27:40,400</v>
      </c>
      <c r="C504" t="str">
        <f ca="1">OFFSET(srt_raw!$A$1,(ROW()-1)*4+COLUMN()-1,0)</f>
        <v>有兴趣的小伙伴可以自行证明，</v>
      </c>
      <c r="D504" t="str">
        <f t="shared" ca="1" si="63"/>
        <v>00:27:38,160</v>
      </c>
      <c r="E504" t="str">
        <f t="shared" ca="1" si="64"/>
        <v>00:27:40,400</v>
      </c>
      <c r="F504" s="5" t="str">
        <f t="shared" ca="1" si="65"/>
        <v>00:27:38.160</v>
      </c>
      <c r="G504" s="1" t="str">
        <f t="shared" ca="1" si="66"/>
        <v>00:27:40.400</v>
      </c>
      <c r="H504" s="2">
        <f t="shared" ca="1" si="67"/>
        <v>2.5925925925929239E-5</v>
      </c>
      <c r="I504">
        <f t="shared" ca="1" si="68"/>
        <v>14</v>
      </c>
      <c r="J504" s="2">
        <f t="shared" ca="1" si="69"/>
        <v>1.8518518518520884E-6</v>
      </c>
      <c r="K504" t="e">
        <f ca="1">MATCH(ROW(),sub!D:D,0)</f>
        <v>#N/A</v>
      </c>
      <c r="L504" t="b">
        <f t="shared" ca="1" si="70"/>
        <v>0</v>
      </c>
      <c r="M504" s="2">
        <f t="shared" ca="1" si="71"/>
        <v>0</v>
      </c>
    </row>
    <row r="505" spans="1:13" x14ac:dyDescent="0.3">
      <c r="A505">
        <f ca="1">OFFSET(srt_raw!$A$1,(ROW()-1)*4+COLUMN()-1,0)</f>
        <v>505</v>
      </c>
      <c r="B505" t="str">
        <f ca="1">OFFSET(srt_raw!$A$1,(ROW()-1)*4+COLUMN()-1,0)</f>
        <v>00:27:41,840 --&gt; 00:27:45,440</v>
      </c>
      <c r="C505" t="str">
        <f ca="1">OFFSET(srt_raw!$A$1,(ROW()-1)*4+COLUMN()-1,0)</f>
        <v>现在我们有Z等于GHX等于DX，</v>
      </c>
      <c r="D505" t="str">
        <f t="shared" ca="1" si="63"/>
        <v>00:27:41,840</v>
      </c>
      <c r="E505" t="str">
        <f t="shared" ca="1" si="64"/>
        <v>00:27:45,440</v>
      </c>
      <c r="F505" s="5" t="str">
        <f t="shared" ca="1" si="65"/>
        <v>00:27:41.840</v>
      </c>
      <c r="G505" s="1" t="str">
        <f t="shared" ca="1" si="66"/>
        <v>00:27:45.440</v>
      </c>
      <c r="H505" s="2">
        <f t="shared" ca="1" si="67"/>
        <v>4.1666666666665547E-5</v>
      </c>
      <c r="I505">
        <f t="shared" ca="1" si="68"/>
        <v>16</v>
      </c>
      <c r="J505" s="2">
        <f t="shared" ca="1" si="69"/>
        <v>2.6041666666665967E-6</v>
      </c>
      <c r="K505">
        <f ca="1">MATCH(ROW(),sub!D:D,0)</f>
        <v>181</v>
      </c>
      <c r="L505" t="b">
        <f t="shared" ca="1" si="70"/>
        <v>1</v>
      </c>
      <c r="M505" s="2">
        <f t="shared" ca="1" si="71"/>
        <v>2.6041666666665967E-6</v>
      </c>
    </row>
    <row r="506" spans="1:13" x14ac:dyDescent="0.3">
      <c r="A506">
        <f ca="1">OFFSET(srt_raw!$A$1,(ROW()-1)*4+COLUMN()-1,0)</f>
        <v>506</v>
      </c>
      <c r="B506" t="str">
        <f ca="1">OFFSET(srt_raw!$A$1,(ROW()-1)*4+COLUMN()-1,0)</f>
        <v>00:27:45,920 --&gt; 00:27:48,720</v>
      </c>
      <c r="C506" t="str">
        <f ca="1">OFFSET(srt_raw!$A$1,(ROW()-1)*4+COLUMN()-1,0)</f>
        <v>我们可以利用D的性质进行求解。</v>
      </c>
      <c r="D506" t="str">
        <f t="shared" ca="1" si="63"/>
        <v>00:27:45,920</v>
      </c>
      <c r="E506" t="str">
        <f t="shared" ca="1" si="64"/>
        <v>00:27:48,720</v>
      </c>
      <c r="F506" s="5" t="str">
        <f t="shared" ca="1" si="65"/>
        <v>00:27:45.920</v>
      </c>
      <c r="G506" s="1" t="str">
        <f t="shared" ca="1" si="66"/>
        <v>00:27:48.720</v>
      </c>
      <c r="H506" s="2">
        <f t="shared" ca="1" si="67"/>
        <v>3.2407407407408079E-5</v>
      </c>
      <c r="I506">
        <f t="shared" ca="1" si="68"/>
        <v>15</v>
      </c>
      <c r="J506" s="2">
        <f t="shared" ca="1" si="69"/>
        <v>2.1604938271605386E-6</v>
      </c>
      <c r="K506" t="e">
        <f ca="1">MATCH(ROW(),sub!D:D,0)</f>
        <v>#N/A</v>
      </c>
      <c r="L506" t="b">
        <f t="shared" ca="1" si="70"/>
        <v>1</v>
      </c>
      <c r="M506" s="2">
        <f t="shared" ca="1" si="71"/>
        <v>2.1604938271605386E-6</v>
      </c>
    </row>
    <row r="507" spans="1:13" x14ac:dyDescent="0.3">
      <c r="A507">
        <f ca="1">OFFSET(srt_raw!$A$1,(ROW()-1)*4+COLUMN()-1,0)</f>
        <v>507</v>
      </c>
      <c r="B507" t="str">
        <f ca="1">OFFSET(srt_raw!$A$1,(ROW()-1)*4+COLUMN()-1,0)</f>
        <v>00:27:48,720 --&gt; 00:27:52,880</v>
      </c>
      <c r="C507" t="str">
        <f ca="1">OFFSET(srt_raw!$A$1,(ROW()-1)*4+COLUMN()-1,0)</f>
        <v>接下来我们需要将Z拆解成矩阵D的若干行的叠加，</v>
      </c>
      <c r="D507" t="str">
        <f t="shared" ca="1" si="63"/>
        <v>00:27:48,720</v>
      </c>
      <c r="E507" t="str">
        <f t="shared" ca="1" si="64"/>
        <v>00:27:52,880</v>
      </c>
      <c r="F507" s="5" t="str">
        <f t="shared" ca="1" si="65"/>
        <v>00:27:48.720</v>
      </c>
      <c r="G507" s="1" t="str">
        <f t="shared" ca="1" si="66"/>
        <v>00:27:52.880</v>
      </c>
      <c r="H507" s="2">
        <f t="shared" ca="1" si="67"/>
        <v>4.8148148148147857E-5</v>
      </c>
      <c r="I507">
        <f t="shared" ca="1" si="68"/>
        <v>23</v>
      </c>
      <c r="J507" s="2">
        <f t="shared" ca="1" si="69"/>
        <v>2.0933977455716459E-6</v>
      </c>
      <c r="K507" t="e">
        <f ca="1">MATCH(ROW(),sub!D:D,0)</f>
        <v>#N/A</v>
      </c>
      <c r="L507" t="b">
        <f t="shared" ca="1" si="70"/>
        <v>1</v>
      </c>
      <c r="M507" s="2">
        <f t="shared" ca="1" si="71"/>
        <v>2.0933977455716459E-6</v>
      </c>
    </row>
    <row r="508" spans="1:13" x14ac:dyDescent="0.3">
      <c r="A508">
        <f ca="1">OFFSET(srt_raw!$A$1,(ROW()-1)*4+COLUMN()-1,0)</f>
        <v>508</v>
      </c>
      <c r="B508" t="str">
        <f ca="1">OFFSET(srt_raw!$A$1,(ROW()-1)*4+COLUMN()-1,0)</f>
        <v>00:27:52,960 --&gt; 00:27:55,960</v>
      </c>
      <c r="C508" t="str">
        <f ca="1">OFFSET(srt_raw!$A$1,(ROW()-1)*4+COLUMN()-1,0)</f>
        <v>从而表示出X。</v>
      </c>
      <c r="D508" t="str">
        <f t="shared" ca="1" si="63"/>
        <v>00:27:52,960</v>
      </c>
      <c r="E508" t="str">
        <f t="shared" ca="1" si="64"/>
        <v>00:27:55,960</v>
      </c>
      <c r="F508" s="5" t="str">
        <f t="shared" ca="1" si="65"/>
        <v>00:27:52.960</v>
      </c>
      <c r="G508" s="1" t="str">
        <f t="shared" ca="1" si="66"/>
        <v>00:27:55.960</v>
      </c>
      <c r="H508" s="2">
        <f t="shared" ca="1" si="67"/>
        <v>3.4722222222220711E-5</v>
      </c>
      <c r="I508">
        <f t="shared" ca="1" si="68"/>
        <v>7</v>
      </c>
      <c r="J508" s="2">
        <f t="shared" ca="1" si="69"/>
        <v>4.9603174603172443E-6</v>
      </c>
      <c r="K508" t="e">
        <f ca="1">MATCH(ROW(),sub!D:D,0)</f>
        <v>#N/A</v>
      </c>
      <c r="L508" t="b">
        <f t="shared" ca="1" si="70"/>
        <v>0</v>
      </c>
      <c r="M508" s="2">
        <f t="shared" ca="1" si="71"/>
        <v>0</v>
      </c>
    </row>
    <row r="509" spans="1:13" x14ac:dyDescent="0.3">
      <c r="A509">
        <f ca="1">OFFSET(srt_raw!$A$1,(ROW()-1)*4+COLUMN()-1,0)</f>
        <v>509</v>
      </c>
      <c r="B509" t="str">
        <f ca="1">OFFSET(srt_raw!$A$1,(ROW()-1)*4+COLUMN()-1,0)</f>
        <v>00:27:55,960 --&gt; 00:27:58,520</v>
      </c>
      <c r="C509" t="str">
        <f ca="1">OFFSET(srt_raw!$A$1,(ROW()-1)*4+COLUMN()-1,0)</f>
        <v>由于矩阵D后三行线性无关，</v>
      </c>
      <c r="D509" t="str">
        <f t="shared" ca="1" si="63"/>
        <v>00:27:55,960</v>
      </c>
      <c r="E509" t="str">
        <f t="shared" ca="1" si="64"/>
        <v>00:27:58,520</v>
      </c>
      <c r="F509" s="5" t="str">
        <f t="shared" ca="1" si="65"/>
        <v>00:27:55.960</v>
      </c>
      <c r="G509" s="1" t="str">
        <f t="shared" ca="1" si="66"/>
        <v>00:27:58.520</v>
      </c>
      <c r="H509" s="2">
        <f t="shared" ca="1" si="67"/>
        <v>2.962962962962945E-5</v>
      </c>
      <c r="I509">
        <f t="shared" ca="1" si="68"/>
        <v>13</v>
      </c>
      <c r="J509" s="2">
        <f t="shared" ca="1" si="69"/>
        <v>2.2792022792022656E-6</v>
      </c>
      <c r="K509">
        <f ca="1">MATCH(ROW(),sub!D:D,0)</f>
        <v>182</v>
      </c>
      <c r="L509" t="b">
        <f t="shared" ca="1" si="70"/>
        <v>1</v>
      </c>
      <c r="M509" s="2">
        <f t="shared" ca="1" si="71"/>
        <v>2.2792022792022656E-6</v>
      </c>
    </row>
    <row r="510" spans="1:13" x14ac:dyDescent="0.3">
      <c r="A510">
        <f ca="1">OFFSET(srt_raw!$A$1,(ROW()-1)*4+COLUMN()-1,0)</f>
        <v>510</v>
      </c>
      <c r="B510" t="str">
        <f ca="1">OFFSET(srt_raw!$A$1,(ROW()-1)*4+COLUMN()-1,0)</f>
        <v>00:27:58,520 --&gt; 00:28:01,440</v>
      </c>
      <c r="C510" t="str">
        <f ca="1">OFFSET(srt_raw!$A$1,(ROW()-1)*4+COLUMN()-1,0)</f>
        <v>因此我们只考虑把后三行叠加起来，</v>
      </c>
      <c r="D510" t="str">
        <f t="shared" ca="1" si="63"/>
        <v>00:27:58,520</v>
      </c>
      <c r="E510" t="str">
        <f t="shared" ca="1" si="64"/>
        <v>00:28:01,440</v>
      </c>
      <c r="F510" s="5" t="str">
        <f t="shared" ca="1" si="65"/>
        <v>00:27:58.520</v>
      </c>
      <c r="G510" s="1" t="str">
        <f t="shared" ca="1" si="66"/>
        <v>00:28:01.440</v>
      </c>
      <c r="H510" s="2">
        <f t="shared" ca="1" si="67"/>
        <v>3.3796296296299128E-5</v>
      </c>
      <c r="I510">
        <f t="shared" ca="1" si="68"/>
        <v>16</v>
      </c>
      <c r="J510" s="2">
        <f t="shared" ca="1" si="69"/>
        <v>2.1122685185186955E-6</v>
      </c>
      <c r="K510" t="e">
        <f ca="1">MATCH(ROW(),sub!D:D,0)</f>
        <v>#N/A</v>
      </c>
      <c r="L510" t="b">
        <f t="shared" ca="1" si="70"/>
        <v>1</v>
      </c>
      <c r="M510" s="2">
        <f t="shared" ca="1" si="71"/>
        <v>2.1122685185186955E-6</v>
      </c>
    </row>
    <row r="511" spans="1:13" x14ac:dyDescent="0.3">
      <c r="A511">
        <f ca="1">OFFSET(srt_raw!$A$1,(ROW()-1)*4+COLUMN()-1,0)</f>
        <v>511</v>
      </c>
      <c r="B511" t="str">
        <f ca="1">OFFSET(srt_raw!$A$1,(ROW()-1)*4+COLUMN()-1,0)</f>
        <v>00:28:01,440 --&gt; 00:28:02,640</v>
      </c>
      <c r="C511" t="str">
        <f ca="1">OFFSET(srt_raw!$A$1,(ROW()-1)*4+COLUMN()-1,0)</f>
        <v>不考虑前二行。</v>
      </c>
      <c r="D511" t="str">
        <f t="shared" ca="1" si="63"/>
        <v>00:28:01,440</v>
      </c>
      <c r="E511" t="str">
        <f t="shared" ca="1" si="64"/>
        <v>00:28:02,640</v>
      </c>
      <c r="F511" s="5" t="str">
        <f t="shared" ca="1" si="65"/>
        <v>00:28:01.440</v>
      </c>
      <c r="G511" s="1" t="str">
        <f t="shared" ca="1" si="66"/>
        <v>00:28:02.640</v>
      </c>
      <c r="H511" s="2">
        <f t="shared" ca="1" si="67"/>
        <v>1.3888888888889672E-5</v>
      </c>
      <c r="I511">
        <f t="shared" ca="1" si="68"/>
        <v>7</v>
      </c>
      <c r="J511" s="2">
        <f t="shared" ca="1" si="69"/>
        <v>1.9841269841270958E-6</v>
      </c>
      <c r="K511" t="e">
        <f ca="1">MATCH(ROW(),sub!D:D,0)</f>
        <v>#N/A</v>
      </c>
      <c r="L511" t="b">
        <f t="shared" ca="1" si="70"/>
        <v>0</v>
      </c>
      <c r="M511" s="2">
        <f t="shared" ca="1" si="71"/>
        <v>0</v>
      </c>
    </row>
    <row r="512" spans="1:13" x14ac:dyDescent="0.3">
      <c r="A512">
        <f ca="1">OFFSET(srt_raw!$A$1,(ROW()-1)*4+COLUMN()-1,0)</f>
        <v>512</v>
      </c>
      <c r="B512" t="str">
        <f ca="1">OFFSET(srt_raw!$A$1,(ROW()-1)*4+COLUMN()-1,0)</f>
        <v>00:28:04,320 --&gt; 00:28:08,400</v>
      </c>
      <c r="C512" t="str">
        <f ca="1">OFFSET(srt_raw!$A$1,(ROW()-1)*4+COLUMN()-1,0)</f>
        <v>这里我们尝试将后三行的若干行叠加到现有的Z上，</v>
      </c>
      <c r="D512" t="str">
        <f t="shared" ca="1" si="63"/>
        <v>00:28:04,320</v>
      </c>
      <c r="E512" t="str">
        <f t="shared" ca="1" si="64"/>
        <v>00:28:08,400</v>
      </c>
      <c r="F512" s="5" t="str">
        <f t="shared" ca="1" si="65"/>
        <v>00:28:04.320</v>
      </c>
      <c r="G512" s="1" t="str">
        <f t="shared" ca="1" si="66"/>
        <v>00:28:08.400</v>
      </c>
      <c r="H512" s="2">
        <f t="shared" ca="1" si="67"/>
        <v>4.7222222222226273E-5</v>
      </c>
      <c r="I512">
        <f t="shared" ca="1" si="68"/>
        <v>23</v>
      </c>
      <c r="J512" s="2">
        <f t="shared" ca="1" si="69"/>
        <v>2.0531400966185336E-6</v>
      </c>
      <c r="K512">
        <f ca="1">MATCH(ROW(),sub!D:D,0)</f>
        <v>183</v>
      </c>
      <c r="L512" t="b">
        <f t="shared" ca="1" si="70"/>
        <v>1</v>
      </c>
      <c r="M512" s="2">
        <f t="shared" ca="1" si="71"/>
        <v>2.0531400966185336E-6</v>
      </c>
    </row>
    <row r="513" spans="1:13" x14ac:dyDescent="0.3">
      <c r="A513">
        <f ca="1">OFFSET(srt_raw!$A$1,(ROW()-1)*4+COLUMN()-1,0)</f>
        <v>513</v>
      </c>
      <c r="B513" t="str">
        <f ca="1">OFFSET(srt_raw!$A$1,(ROW()-1)*4+COLUMN()-1,0)</f>
        <v>00:28:08,400 --&gt; 00:28:11,080</v>
      </c>
      <c r="C513" t="str">
        <f ca="1">OFFSET(srt_raw!$A$1,(ROW()-1)*4+COLUMN()-1,0)</f>
        <v>使其被消去。</v>
      </c>
      <c r="D513" t="str">
        <f t="shared" ref="D513:D576" ca="1" si="72">LEFT(B513,12)</f>
        <v>00:28:08,400</v>
      </c>
      <c r="E513" t="str">
        <f t="shared" ref="E513:E576" ca="1" si="73">RIGHT(B513,12)</f>
        <v>00:28:11,080</v>
      </c>
      <c r="F513" s="5" t="str">
        <f t="shared" ref="F513:F576" ca="1" si="74">SUBSTITUTE(D513,",",".")</f>
        <v>00:28:08.400</v>
      </c>
      <c r="G513" s="1" t="str">
        <f t="shared" ref="G513:G576" ca="1" si="75">SUBSTITUTE(E513,",",".")</f>
        <v>00:28:11.080</v>
      </c>
      <c r="H513" s="2">
        <f t="shared" ref="H513:H576" ca="1" si="76">G513-F513</f>
        <v>3.101851851851703E-5</v>
      </c>
      <c r="I513">
        <f t="shared" ref="I513:I576" ca="1" si="77">LEN(C513)</f>
        <v>6</v>
      </c>
      <c r="J513" s="2">
        <f t="shared" ref="J513:J576" ca="1" si="78">H513/I513</f>
        <v>5.1697530864195052E-6</v>
      </c>
      <c r="K513" t="e">
        <f ca="1">MATCH(ROW(),sub!D:D,0)</f>
        <v>#N/A</v>
      </c>
      <c r="L513" t="b">
        <f t="shared" ref="L513:L576" ca="1" si="79">ISERROR(K514)</f>
        <v>0</v>
      </c>
      <c r="M513" s="2">
        <f t="shared" ref="M513:M576" ca="1" si="80">IF(L513,J513,0)</f>
        <v>0</v>
      </c>
    </row>
    <row r="514" spans="1:13" x14ac:dyDescent="0.3">
      <c r="A514">
        <f ca="1">OFFSET(srt_raw!$A$1,(ROW()-1)*4+COLUMN()-1,0)</f>
        <v>514</v>
      </c>
      <c r="B514" t="str">
        <f ca="1">OFFSET(srt_raw!$A$1,(ROW()-1)*4+COLUMN()-1,0)</f>
        <v>00:28:11,080 --&gt; 00:28:14,320</v>
      </c>
      <c r="C514" t="str">
        <f ca="1">OFFSET(srt_raw!$A$1,(ROW()-1)*4+COLUMN()-1,0)</f>
        <v>让我们观察Z的第一个元素和D的后三行，</v>
      </c>
      <c r="D514" t="str">
        <f t="shared" ca="1" si="72"/>
        <v>00:28:11,080</v>
      </c>
      <c r="E514" t="str">
        <f t="shared" ca="1" si="73"/>
        <v>00:28:14,320</v>
      </c>
      <c r="F514" s="5" t="str">
        <f t="shared" ca="1" si="74"/>
        <v>00:28:11.080</v>
      </c>
      <c r="G514" s="1" t="str">
        <f t="shared" ca="1" si="75"/>
        <v>00:28:14.320</v>
      </c>
      <c r="H514" s="2">
        <f t="shared" ca="1" si="76"/>
        <v>3.7499999999999339E-5</v>
      </c>
      <c r="I514">
        <f t="shared" ca="1" si="77"/>
        <v>19</v>
      </c>
      <c r="J514" s="2">
        <f t="shared" ca="1" si="78"/>
        <v>1.973684210526281E-6</v>
      </c>
      <c r="K514">
        <f ca="1">MATCH(ROW(),sub!D:D,0)</f>
        <v>184</v>
      </c>
      <c r="L514" t="b">
        <f t="shared" ca="1" si="79"/>
        <v>1</v>
      </c>
      <c r="M514" s="2">
        <f t="shared" ca="1" si="80"/>
        <v>1.973684210526281E-6</v>
      </c>
    </row>
    <row r="515" spans="1:13" x14ac:dyDescent="0.3">
      <c r="A515">
        <f ca="1">OFFSET(srt_raw!$A$1,(ROW()-1)*4+COLUMN()-1,0)</f>
        <v>515</v>
      </c>
      <c r="B515" t="str">
        <f ca="1">OFFSET(srt_raw!$A$1,(ROW()-1)*4+COLUMN()-1,0)</f>
        <v>00:28:14,880 --&gt; 00:28:16,320</v>
      </c>
      <c r="C515" t="str">
        <f ca="1">OFFSET(srt_raw!$A$1,(ROW()-1)*4+COLUMN()-1,0)</f>
        <v>在D的后三行中，</v>
      </c>
      <c r="D515" t="str">
        <f t="shared" ca="1" si="72"/>
        <v>00:28:14,880</v>
      </c>
      <c r="E515" t="str">
        <f t="shared" ca="1" si="73"/>
        <v>00:28:16,320</v>
      </c>
      <c r="F515" s="5" t="str">
        <f t="shared" ca="1" si="74"/>
        <v>00:28:14.880</v>
      </c>
      <c r="G515" s="1" t="str">
        <f t="shared" ca="1" si="75"/>
        <v>00:28:16.320</v>
      </c>
      <c r="H515" s="2">
        <f t="shared" ca="1" si="76"/>
        <v>1.6666666666664831E-5</v>
      </c>
      <c r="I515">
        <f t="shared" ca="1" si="77"/>
        <v>8</v>
      </c>
      <c r="J515" s="2">
        <f t="shared" ca="1" si="78"/>
        <v>2.0833333333331039E-6</v>
      </c>
      <c r="K515" t="e">
        <f ca="1">MATCH(ROW(),sub!D:D,0)</f>
        <v>#N/A</v>
      </c>
      <c r="L515" t="b">
        <f t="shared" ca="1" si="79"/>
        <v>1</v>
      </c>
      <c r="M515" s="2">
        <f t="shared" ca="1" si="80"/>
        <v>2.0833333333331039E-6</v>
      </c>
    </row>
    <row r="516" spans="1:13" x14ac:dyDescent="0.3">
      <c r="A516">
        <f ca="1">OFFSET(srt_raw!$A$1,(ROW()-1)*4+COLUMN()-1,0)</f>
        <v>516</v>
      </c>
      <c r="B516" t="str">
        <f ca="1">OFFSET(srt_raw!$A$1,(ROW()-1)*4+COLUMN()-1,0)</f>
        <v>00:28:16,320 --&gt; 00:28:19,760</v>
      </c>
      <c r="C516" t="str">
        <f ca="1">OFFSET(srt_raw!$A$1,(ROW()-1)*4+COLUMN()-1,0)</f>
        <v>第三行的第一个元素为一。</v>
      </c>
      <c r="D516" t="str">
        <f t="shared" ca="1" si="72"/>
        <v>00:28:16,320</v>
      </c>
      <c r="E516" t="str">
        <f t="shared" ca="1" si="73"/>
        <v>00:28:19,760</v>
      </c>
      <c r="F516" s="5" t="str">
        <f t="shared" ca="1" si="74"/>
        <v>00:28:16.320</v>
      </c>
      <c r="G516" s="1" t="str">
        <f t="shared" ca="1" si="75"/>
        <v>00:28:19.760</v>
      </c>
      <c r="H516" s="2">
        <f t="shared" ca="1" si="76"/>
        <v>3.9814814814815441E-5</v>
      </c>
      <c r="I516">
        <f t="shared" ca="1" si="77"/>
        <v>12</v>
      </c>
      <c r="J516" s="2">
        <f t="shared" ca="1" si="78"/>
        <v>3.3179012345679534E-6</v>
      </c>
      <c r="K516" t="e">
        <f ca="1">MATCH(ROW(),sub!D:D,0)</f>
        <v>#N/A</v>
      </c>
      <c r="L516" t="b">
        <f t="shared" ca="1" si="79"/>
        <v>0</v>
      </c>
      <c r="M516" s="2">
        <f t="shared" ca="1" si="80"/>
        <v>0</v>
      </c>
    </row>
    <row r="517" spans="1:13" x14ac:dyDescent="0.3">
      <c r="A517">
        <f ca="1">OFFSET(srt_raw!$A$1,(ROW()-1)*4+COLUMN()-1,0)</f>
        <v>517</v>
      </c>
      <c r="B517" t="str">
        <f ca="1">OFFSET(srt_raw!$A$1,(ROW()-1)*4+COLUMN()-1,0)</f>
        <v>00:28:19,760 --&gt; 00:28:22,160</v>
      </c>
      <c r="C517" t="str">
        <f ca="1">OFFSET(srt_raw!$A$1,(ROW()-1)*4+COLUMN()-1,0)</f>
        <v>由于Z的第一个元素已经为零，</v>
      </c>
      <c r="D517" t="str">
        <f t="shared" ca="1" si="72"/>
        <v>00:28:19,760</v>
      </c>
      <c r="E517" t="str">
        <f t="shared" ca="1" si="73"/>
        <v>00:28:22,160</v>
      </c>
      <c r="F517" s="5" t="str">
        <f t="shared" ca="1" si="74"/>
        <v>00:28:19.760</v>
      </c>
      <c r="G517" s="1" t="str">
        <f t="shared" ca="1" si="75"/>
        <v>00:28:22.160</v>
      </c>
      <c r="H517" s="2">
        <f t="shared" ca="1" si="76"/>
        <v>2.7777777777779344E-5</v>
      </c>
      <c r="I517">
        <f t="shared" ca="1" si="77"/>
        <v>14</v>
      </c>
      <c r="J517" s="2">
        <f t="shared" ca="1" si="78"/>
        <v>1.9841269841270958E-6</v>
      </c>
      <c r="K517">
        <f ca="1">MATCH(ROW(),sub!D:D,0)</f>
        <v>185</v>
      </c>
      <c r="L517" t="b">
        <f t="shared" ca="1" si="79"/>
        <v>1</v>
      </c>
      <c r="M517" s="2">
        <f t="shared" ca="1" si="80"/>
        <v>1.9841269841270958E-6</v>
      </c>
    </row>
    <row r="518" spans="1:13" x14ac:dyDescent="0.3">
      <c r="A518">
        <f ca="1">OFFSET(srt_raw!$A$1,(ROW()-1)*4+COLUMN()-1,0)</f>
        <v>518</v>
      </c>
      <c r="B518" t="str">
        <f ca="1">OFFSET(srt_raw!$A$1,(ROW()-1)*4+COLUMN()-1,0)</f>
        <v>00:28:22,640 --&gt; 00:28:24,160</v>
      </c>
      <c r="C518" t="str">
        <f ca="1">OFFSET(srt_raw!$A$1,(ROW()-1)*4+COLUMN()-1,0)</f>
        <v>如果我们叠加第三行，</v>
      </c>
      <c r="D518" t="str">
        <f t="shared" ca="1" si="72"/>
        <v>00:28:22,640</v>
      </c>
      <c r="E518" t="str">
        <f t="shared" ca="1" si="73"/>
        <v>00:28:24,160</v>
      </c>
      <c r="F518" s="5" t="str">
        <f t="shared" ca="1" si="74"/>
        <v>00:28:22.640</v>
      </c>
      <c r="G518" s="1" t="str">
        <f t="shared" ca="1" si="75"/>
        <v>00:28:24.160</v>
      </c>
      <c r="H518" s="2">
        <f t="shared" ca="1" si="76"/>
        <v>1.7592592592593354E-5</v>
      </c>
      <c r="I518">
        <f t="shared" ca="1" si="77"/>
        <v>10</v>
      </c>
      <c r="J518" s="2">
        <f t="shared" ca="1" si="78"/>
        <v>1.7592592592593354E-6</v>
      </c>
      <c r="K518" t="e">
        <f ca="1">MATCH(ROW(),sub!D:D,0)</f>
        <v>#N/A</v>
      </c>
      <c r="L518" t="b">
        <f t="shared" ca="1" si="79"/>
        <v>1</v>
      </c>
      <c r="M518" s="2">
        <f t="shared" ca="1" si="80"/>
        <v>1.7592592592593354E-6</v>
      </c>
    </row>
    <row r="519" spans="1:13" x14ac:dyDescent="0.3">
      <c r="A519">
        <f ca="1">OFFSET(srt_raw!$A$1,(ROW()-1)*4+COLUMN()-1,0)</f>
        <v>519</v>
      </c>
      <c r="B519" t="str">
        <f ca="1">OFFSET(srt_raw!$A$1,(ROW()-1)*4+COLUMN()-1,0)</f>
        <v>00:28:24,240 --&gt; 00:28:27,200</v>
      </c>
      <c r="C519" t="str">
        <f ca="1">OFFSET(srt_raw!$A$1,(ROW()-1)*4+COLUMN()-1,0)</f>
        <v>则Z的第一个元素会变为一，</v>
      </c>
      <c r="D519" t="str">
        <f t="shared" ca="1" si="72"/>
        <v>00:28:24,240</v>
      </c>
      <c r="E519" t="str">
        <f t="shared" ca="1" si="73"/>
        <v>00:28:27,200</v>
      </c>
      <c r="F519" s="5" t="str">
        <f t="shared" ca="1" si="74"/>
        <v>00:28:24.240</v>
      </c>
      <c r="G519" s="1" t="str">
        <f t="shared" ca="1" si="75"/>
        <v>00:28:27.200</v>
      </c>
      <c r="H519" s="2">
        <f t="shared" ca="1" si="76"/>
        <v>3.4259259259261654E-5</v>
      </c>
      <c r="I519">
        <f t="shared" ca="1" si="77"/>
        <v>13</v>
      </c>
      <c r="J519" s="2">
        <f t="shared" ca="1" si="78"/>
        <v>2.6353276353278195E-6</v>
      </c>
      <c r="K519" t="e">
        <f ca="1">MATCH(ROW(),sub!D:D,0)</f>
        <v>#N/A</v>
      </c>
      <c r="L519" t="b">
        <f t="shared" ca="1" si="79"/>
        <v>1</v>
      </c>
      <c r="M519" s="2">
        <f t="shared" ca="1" si="80"/>
        <v>2.6353276353278195E-6</v>
      </c>
    </row>
    <row r="520" spans="1:13" x14ac:dyDescent="0.3">
      <c r="A520">
        <f ca="1">OFFSET(srt_raw!$A$1,(ROW()-1)*4+COLUMN()-1,0)</f>
        <v>520</v>
      </c>
      <c r="B520" t="str">
        <f ca="1">OFFSET(srt_raw!$A$1,(ROW()-1)*4+COLUMN()-1,0)</f>
        <v>00:28:27,200 --&gt; 00:28:29,040</v>
      </c>
      <c r="C520" t="str">
        <f ca="1">OFFSET(srt_raw!$A$1,(ROW()-1)*4+COLUMN()-1,0)</f>
        <v>因此不能叠加第三行。</v>
      </c>
      <c r="D520" t="str">
        <f t="shared" ca="1" si="72"/>
        <v>00:28:27,200</v>
      </c>
      <c r="E520" t="str">
        <f t="shared" ca="1" si="73"/>
        <v>00:28:29,040</v>
      </c>
      <c r="F520" s="5" t="str">
        <f t="shared" ca="1" si="74"/>
        <v>00:28:27.200</v>
      </c>
      <c r="G520" s="1" t="str">
        <f t="shared" ca="1" si="75"/>
        <v>00:28:29.040</v>
      </c>
      <c r="H520" s="2">
        <f t="shared" ca="1" si="76"/>
        <v>2.1296296296293565E-5</v>
      </c>
      <c r="I520">
        <f t="shared" ca="1" si="77"/>
        <v>10</v>
      </c>
      <c r="J520" s="2">
        <f t="shared" ca="1" si="78"/>
        <v>2.1296296296293566E-6</v>
      </c>
      <c r="K520" t="e">
        <f ca="1">MATCH(ROW(),sub!D:D,0)</f>
        <v>#N/A</v>
      </c>
      <c r="L520" t="b">
        <f t="shared" ca="1" si="79"/>
        <v>0</v>
      </c>
      <c r="M520" s="2">
        <f t="shared" ca="1" si="80"/>
        <v>0</v>
      </c>
    </row>
    <row r="521" spans="1:13" x14ac:dyDescent="0.3">
      <c r="A521">
        <f ca="1">OFFSET(srt_raw!$A$1,(ROW()-1)*4+COLUMN()-1,0)</f>
        <v>521</v>
      </c>
      <c r="B521" t="str">
        <f ca="1">OFFSET(srt_raw!$A$1,(ROW()-1)*4+COLUMN()-1,0)</f>
        <v>00:28:30,560 --&gt; 00:28:32,560</v>
      </c>
      <c r="C521" t="str">
        <f ca="1">OFFSET(srt_raw!$A$1,(ROW()-1)*4+COLUMN()-1,0)</f>
        <v>我们再看Z的第二个元素，</v>
      </c>
      <c r="D521" t="str">
        <f t="shared" ca="1" si="72"/>
        <v>00:28:30,560</v>
      </c>
      <c r="E521" t="str">
        <f t="shared" ca="1" si="73"/>
        <v>00:28:32,560</v>
      </c>
      <c r="F521" s="5" t="str">
        <f t="shared" ca="1" si="74"/>
        <v>00:28:30.560</v>
      </c>
      <c r="G521" s="1" t="str">
        <f t="shared" ca="1" si="75"/>
        <v>00:28:32.560</v>
      </c>
      <c r="H521" s="2">
        <f t="shared" ca="1" si="76"/>
        <v>2.3148148148147141E-5</v>
      </c>
      <c r="I521">
        <f t="shared" ca="1" si="77"/>
        <v>12</v>
      </c>
      <c r="J521" s="2">
        <f t="shared" ca="1" si="78"/>
        <v>1.9290123456789285E-6</v>
      </c>
      <c r="K521">
        <f ca="1">MATCH(ROW(),sub!D:D,0)</f>
        <v>186</v>
      </c>
      <c r="L521" t="b">
        <f t="shared" ca="1" si="79"/>
        <v>1</v>
      </c>
      <c r="M521" s="2">
        <f t="shared" ca="1" si="80"/>
        <v>1.9290123456789285E-6</v>
      </c>
    </row>
    <row r="522" spans="1:13" x14ac:dyDescent="0.3">
      <c r="A522">
        <f ca="1">OFFSET(srt_raw!$A$1,(ROW()-1)*4+COLUMN()-1,0)</f>
        <v>522</v>
      </c>
      <c r="B522" t="str">
        <f ca="1">OFFSET(srt_raw!$A$1,(ROW()-1)*4+COLUMN()-1,0)</f>
        <v>00:28:32,560 --&gt; 00:28:33,600</v>
      </c>
      <c r="C522" t="str">
        <f ca="1">OFFSET(srt_raw!$A$1,(ROW()-1)*4+COLUMN()-1,0)</f>
        <v>该元素为一。</v>
      </c>
      <c r="D522" t="str">
        <f t="shared" ca="1" si="72"/>
        <v>00:28:32,560</v>
      </c>
      <c r="E522" t="str">
        <f t="shared" ca="1" si="73"/>
        <v>00:28:33,600</v>
      </c>
      <c r="F522" s="5" t="str">
        <f t="shared" ca="1" si="74"/>
        <v>00:28:32.560</v>
      </c>
      <c r="G522" s="1" t="str">
        <f t="shared" ca="1" si="75"/>
        <v>00:28:33.600</v>
      </c>
      <c r="H522" s="2">
        <f t="shared" ca="1" si="76"/>
        <v>1.2037037037036097E-5</v>
      </c>
      <c r="I522">
        <f t="shared" ca="1" si="77"/>
        <v>6</v>
      </c>
      <c r="J522" s="2">
        <f t="shared" ca="1" si="78"/>
        <v>2.006172839506016E-6</v>
      </c>
      <c r="K522" t="e">
        <f ca="1">MATCH(ROW(),sub!D:D,0)</f>
        <v>#N/A</v>
      </c>
      <c r="L522" t="b">
        <f t="shared" ca="1" si="79"/>
        <v>1</v>
      </c>
      <c r="M522" s="2">
        <f t="shared" ca="1" si="80"/>
        <v>2.006172839506016E-6</v>
      </c>
    </row>
    <row r="523" spans="1:13" x14ac:dyDescent="0.3">
      <c r="A523">
        <f ca="1">OFFSET(srt_raw!$A$1,(ROW()-1)*4+COLUMN()-1,0)</f>
        <v>523</v>
      </c>
      <c r="B523" t="str">
        <f ca="1">OFFSET(srt_raw!$A$1,(ROW()-1)*4+COLUMN()-1,0)</f>
        <v>00:28:33,720 --&gt; 00:28:34,240</v>
      </c>
      <c r="C523" t="str">
        <f ca="1">OFFSET(srt_raw!$A$1,(ROW()-1)*4+COLUMN()-1,0)</f>
        <v>因此，</v>
      </c>
      <c r="D523" t="str">
        <f t="shared" ca="1" si="72"/>
        <v>00:28:33,720</v>
      </c>
      <c r="E523" t="str">
        <f t="shared" ca="1" si="73"/>
        <v>00:28:34,240</v>
      </c>
      <c r="F523" s="5" t="str">
        <f t="shared" ca="1" si="74"/>
        <v>00:28:33.720</v>
      </c>
      <c r="G523" s="1" t="str">
        <f t="shared" ca="1" si="75"/>
        <v>00:28:34.240</v>
      </c>
      <c r="H523" s="2">
        <f t="shared" ca="1" si="76"/>
        <v>6.0185185185197831E-6</v>
      </c>
      <c r="I523">
        <f t="shared" ca="1" si="77"/>
        <v>3</v>
      </c>
      <c r="J523" s="2">
        <f t="shared" ca="1" si="78"/>
        <v>2.0061728395065945E-6</v>
      </c>
      <c r="K523" t="e">
        <f ca="1">MATCH(ROW(),sub!D:D,0)</f>
        <v>#N/A</v>
      </c>
      <c r="L523" t="b">
        <f t="shared" ca="1" si="79"/>
        <v>1</v>
      </c>
      <c r="M523" s="2">
        <f t="shared" ca="1" si="80"/>
        <v>2.0061728395065945E-6</v>
      </c>
    </row>
    <row r="524" spans="1:13" x14ac:dyDescent="0.3">
      <c r="A524">
        <f ca="1">OFFSET(srt_raw!$A$1,(ROW()-1)*4+COLUMN()-1,0)</f>
        <v>524</v>
      </c>
      <c r="B524" t="str">
        <f ca="1">OFFSET(srt_raw!$A$1,(ROW()-1)*4+COLUMN()-1,0)</f>
        <v>00:28:34,240 --&gt; 00:28:38,120</v>
      </c>
      <c r="C524" t="str">
        <f ca="1">OFFSET(srt_raw!$A$1,(ROW()-1)*4+COLUMN()-1,0)</f>
        <v>我们需要将第四行叠加到Z上。</v>
      </c>
      <c r="D524" t="str">
        <f t="shared" ca="1" si="72"/>
        <v>00:28:34,240</v>
      </c>
      <c r="E524" t="str">
        <f t="shared" ca="1" si="73"/>
        <v>00:28:38,120</v>
      </c>
      <c r="F524" s="5" t="str">
        <f t="shared" ca="1" si="74"/>
        <v>00:28:34.240</v>
      </c>
      <c r="G524" s="1" t="str">
        <f t="shared" ca="1" si="75"/>
        <v>00:28:38.120</v>
      </c>
      <c r="H524" s="2">
        <f t="shared" ca="1" si="76"/>
        <v>4.4907407407403233E-5</v>
      </c>
      <c r="I524">
        <f t="shared" ca="1" si="77"/>
        <v>14</v>
      </c>
      <c r="J524" s="2">
        <f t="shared" ca="1" si="78"/>
        <v>3.2076719576716595E-6</v>
      </c>
      <c r="K524" t="e">
        <f ca="1">MATCH(ROW(),sub!D:D,0)</f>
        <v>#N/A</v>
      </c>
      <c r="L524" t="b">
        <f t="shared" ca="1" si="79"/>
        <v>0</v>
      </c>
      <c r="M524" s="2">
        <f t="shared" ca="1" si="80"/>
        <v>0</v>
      </c>
    </row>
    <row r="525" spans="1:13" x14ac:dyDescent="0.3">
      <c r="A525">
        <f ca="1">OFFSET(srt_raw!$A$1,(ROW()-1)*4+COLUMN()-1,0)</f>
        <v>525</v>
      </c>
      <c r="B525" t="str">
        <f ca="1">OFFSET(srt_raw!$A$1,(ROW()-1)*4+COLUMN()-1,0)</f>
        <v>00:28:38,120 --&gt; 00:28:40,920</v>
      </c>
      <c r="C525" t="str">
        <f ca="1">OFFSET(srt_raw!$A$1,(ROW()-1)*4+COLUMN()-1,0)</f>
        <v>现在Z的第二个元素被消去了，</v>
      </c>
      <c r="D525" t="str">
        <f t="shared" ca="1" si="72"/>
        <v>00:28:38,120</v>
      </c>
      <c r="E525" t="str">
        <f t="shared" ca="1" si="73"/>
        <v>00:28:40,920</v>
      </c>
      <c r="F525" s="5" t="str">
        <f t="shared" ca="1" si="74"/>
        <v>00:28:38.120</v>
      </c>
      <c r="G525" s="1" t="str">
        <f t="shared" ca="1" si="75"/>
        <v>00:28:40.920</v>
      </c>
      <c r="H525" s="2">
        <f t="shared" ca="1" si="76"/>
        <v>3.2407407407411548E-5</v>
      </c>
      <c r="I525">
        <f t="shared" ca="1" si="77"/>
        <v>14</v>
      </c>
      <c r="J525" s="2">
        <f t="shared" ca="1" si="78"/>
        <v>2.3148148148151104E-6</v>
      </c>
      <c r="K525">
        <f ca="1">MATCH(ROW(),sub!D:D,0)</f>
        <v>187</v>
      </c>
      <c r="L525" t="b">
        <f t="shared" ca="1" si="79"/>
        <v>1</v>
      </c>
      <c r="M525" s="2">
        <f t="shared" ca="1" si="80"/>
        <v>2.3148148148151104E-6</v>
      </c>
    </row>
    <row r="526" spans="1:13" x14ac:dyDescent="0.3">
      <c r="A526">
        <f ca="1">OFFSET(srt_raw!$A$1,(ROW()-1)*4+COLUMN()-1,0)</f>
        <v>526</v>
      </c>
      <c r="B526" t="str">
        <f ca="1">OFFSET(srt_raw!$A$1,(ROW()-1)*4+COLUMN()-1,0)</f>
        <v>00:28:40,920 --&gt; 00:28:45,680</v>
      </c>
      <c r="C526" t="str">
        <f ca="1">OFFSET(srt_raw!$A$1,(ROW()-1)*4+COLUMN()-1,0)</f>
        <v>同时X的第四个元素被标记为1。</v>
      </c>
      <c r="D526" t="str">
        <f t="shared" ca="1" si="72"/>
        <v>00:28:40,920</v>
      </c>
      <c r="E526" t="str">
        <f t="shared" ca="1" si="73"/>
        <v>00:28:45,680</v>
      </c>
      <c r="F526" s="5" t="str">
        <f t="shared" ca="1" si="74"/>
        <v>00:28:40.920</v>
      </c>
      <c r="G526" s="1" t="str">
        <f t="shared" ca="1" si="75"/>
        <v>00:28:45.680</v>
      </c>
      <c r="H526" s="2">
        <f t="shared" ca="1" si="76"/>
        <v>5.5092592592592693E-5</v>
      </c>
      <c r="I526">
        <f t="shared" ca="1" si="77"/>
        <v>15</v>
      </c>
      <c r="J526" s="2">
        <f t="shared" ca="1" si="78"/>
        <v>3.6728395061728461E-6</v>
      </c>
      <c r="K526" t="e">
        <f ca="1">MATCH(ROW(),sub!D:D,0)</f>
        <v>#N/A</v>
      </c>
      <c r="L526" t="b">
        <f t="shared" ca="1" si="79"/>
        <v>0</v>
      </c>
      <c r="M526" s="2">
        <f t="shared" ca="1" si="80"/>
        <v>0</v>
      </c>
    </row>
    <row r="527" spans="1:13" x14ac:dyDescent="0.3">
      <c r="A527">
        <f ca="1">OFFSET(srt_raw!$A$1,(ROW()-1)*4+COLUMN()-1,0)</f>
        <v>527</v>
      </c>
      <c r="B527" t="str">
        <f ca="1">OFFSET(srt_raw!$A$1,(ROW()-1)*4+COLUMN()-1,0)</f>
        <v>00:28:45,680 --&gt; 00:28:48,400</v>
      </c>
      <c r="C527" t="str">
        <f ca="1">OFFSET(srt_raw!$A$1,(ROW()-1)*4+COLUMN()-1,0)</f>
        <v>我们接着看Z的第三个元素，</v>
      </c>
      <c r="D527" t="str">
        <f t="shared" ca="1" si="72"/>
        <v>00:28:45,680</v>
      </c>
      <c r="E527" t="str">
        <f t="shared" ca="1" si="73"/>
        <v>00:28:48,400</v>
      </c>
      <c r="F527" s="5" t="str">
        <f t="shared" ca="1" si="74"/>
        <v>00:28:45.680</v>
      </c>
      <c r="G527" s="1" t="str">
        <f t="shared" ca="1" si="75"/>
        <v>00:28:48.400</v>
      </c>
      <c r="H527" s="2">
        <f t="shared" ca="1" si="76"/>
        <v>3.1481481481479556E-5</v>
      </c>
      <c r="I527">
        <f t="shared" ca="1" si="77"/>
        <v>13</v>
      </c>
      <c r="J527" s="2">
        <f t="shared" ca="1" si="78"/>
        <v>2.4216524216522735E-6</v>
      </c>
      <c r="K527">
        <f ca="1">MATCH(ROW(),sub!D:D,0)</f>
        <v>188</v>
      </c>
      <c r="L527" t="b">
        <f t="shared" ca="1" si="79"/>
        <v>1</v>
      </c>
      <c r="M527" s="2">
        <f t="shared" ca="1" si="80"/>
        <v>2.4216524216522735E-6</v>
      </c>
    </row>
    <row r="528" spans="1:13" x14ac:dyDescent="0.3">
      <c r="A528">
        <f ca="1">OFFSET(srt_raw!$A$1,(ROW()-1)*4+COLUMN()-1,0)</f>
        <v>528</v>
      </c>
      <c r="B528" t="str">
        <f ca="1">OFFSET(srt_raw!$A$1,(ROW()-1)*4+COLUMN()-1,0)</f>
        <v>00:28:48,400 --&gt; 00:28:50,640</v>
      </c>
      <c r="C528" t="str">
        <f ca="1">OFFSET(srt_raw!$A$1,(ROW()-1)*4+COLUMN()-1,0)</f>
        <v>由于Z的第三个元素变为了1，</v>
      </c>
      <c r="D528" t="str">
        <f t="shared" ca="1" si="72"/>
        <v>00:28:48,400</v>
      </c>
      <c r="E528" t="str">
        <f t="shared" ca="1" si="73"/>
        <v>00:28:50,640</v>
      </c>
      <c r="F528" s="5" t="str">
        <f t="shared" ca="1" si="74"/>
        <v>00:28:48.400</v>
      </c>
      <c r="G528" s="1" t="str">
        <f t="shared" ca="1" si="75"/>
        <v>00:28:50.640</v>
      </c>
      <c r="H528" s="2">
        <f t="shared" ca="1" si="76"/>
        <v>2.5925925925929239E-5</v>
      </c>
      <c r="I528">
        <f t="shared" ca="1" si="77"/>
        <v>14</v>
      </c>
      <c r="J528" s="2">
        <f t="shared" ca="1" si="78"/>
        <v>1.8518518518520884E-6</v>
      </c>
      <c r="K528" t="e">
        <f ca="1">MATCH(ROW(),sub!D:D,0)</f>
        <v>#N/A</v>
      </c>
      <c r="L528" t="b">
        <f t="shared" ca="1" si="79"/>
        <v>1</v>
      </c>
      <c r="M528" s="2">
        <f t="shared" ca="1" si="80"/>
        <v>1.8518518518520884E-6</v>
      </c>
    </row>
    <row r="529" spans="1:13" x14ac:dyDescent="0.3">
      <c r="A529">
        <f ca="1">OFFSET(srt_raw!$A$1,(ROW()-1)*4+COLUMN()-1,0)</f>
        <v>529</v>
      </c>
      <c r="B529" t="str">
        <f ca="1">OFFSET(srt_raw!$A$1,(ROW()-1)*4+COLUMN()-1,0)</f>
        <v>00:28:50,800 --&gt; 00:28:52,560</v>
      </c>
      <c r="C529" t="str">
        <f ca="1">OFFSET(srt_raw!$A$1,(ROW()-1)*4+COLUMN()-1,0)</f>
        <v>我们需要叠加D的第五行。</v>
      </c>
      <c r="D529" t="str">
        <f t="shared" ca="1" si="72"/>
        <v>00:28:50,800</v>
      </c>
      <c r="E529" t="str">
        <f t="shared" ca="1" si="73"/>
        <v>00:28:52,560</v>
      </c>
      <c r="F529" s="5" t="str">
        <f t="shared" ca="1" si="74"/>
        <v>00:28:50.800</v>
      </c>
      <c r="G529" s="1" t="str">
        <f t="shared" ca="1" si="75"/>
        <v>00:28:52.560</v>
      </c>
      <c r="H529" s="2">
        <f t="shared" ca="1" si="76"/>
        <v>2.0370370370368512E-5</v>
      </c>
      <c r="I529">
        <f t="shared" ca="1" si="77"/>
        <v>12</v>
      </c>
      <c r="J529" s="2">
        <f t="shared" ca="1" si="78"/>
        <v>1.697530864197376E-6</v>
      </c>
      <c r="K529" t="e">
        <f ca="1">MATCH(ROW(),sub!D:D,0)</f>
        <v>#N/A</v>
      </c>
      <c r="L529" t="b">
        <f t="shared" ca="1" si="79"/>
        <v>0</v>
      </c>
      <c r="M529" s="2">
        <f t="shared" ca="1" si="80"/>
        <v>0</v>
      </c>
    </row>
    <row r="530" spans="1:13" x14ac:dyDescent="0.3">
      <c r="A530">
        <f ca="1">OFFSET(srt_raw!$A$1,(ROW()-1)*4+COLUMN()-1,0)</f>
        <v>530</v>
      </c>
      <c r="B530" t="str">
        <f ca="1">OFFSET(srt_raw!$A$1,(ROW()-1)*4+COLUMN()-1,0)</f>
        <v>00:28:54,160 --&gt; 00:28:56,400</v>
      </c>
      <c r="C530" t="str">
        <f ca="1">OFFSET(srt_raw!$A$1,(ROW()-1)*4+COLUMN()-1,0)</f>
        <v>这次Z被彻底消去了，</v>
      </c>
      <c r="D530" t="str">
        <f t="shared" ca="1" si="72"/>
        <v>00:28:54,160</v>
      </c>
      <c r="E530" t="str">
        <f t="shared" ca="1" si="73"/>
        <v>00:28:56,400</v>
      </c>
      <c r="F530" s="5" t="str">
        <f t="shared" ca="1" si="74"/>
        <v>00:28:54.160</v>
      </c>
      <c r="G530" s="1" t="str">
        <f t="shared" ca="1" si="75"/>
        <v>00:28:56.400</v>
      </c>
      <c r="H530" s="2">
        <f t="shared" ca="1" si="76"/>
        <v>2.5925925925925769E-5</v>
      </c>
      <c r="I530">
        <f t="shared" ca="1" si="77"/>
        <v>10</v>
      </c>
      <c r="J530" s="2">
        <f t="shared" ca="1" si="78"/>
        <v>2.5925925925925768E-6</v>
      </c>
      <c r="K530">
        <f ca="1">MATCH(ROW(),sub!D:D,0)</f>
        <v>189</v>
      </c>
      <c r="L530" t="b">
        <f t="shared" ca="1" si="79"/>
        <v>1</v>
      </c>
      <c r="M530" s="2">
        <f t="shared" ca="1" si="80"/>
        <v>2.5925925925925768E-6</v>
      </c>
    </row>
    <row r="531" spans="1:13" x14ac:dyDescent="0.3">
      <c r="A531">
        <f ca="1">OFFSET(srt_raw!$A$1,(ROW()-1)*4+COLUMN()-1,0)</f>
        <v>531</v>
      </c>
      <c r="B531" t="str">
        <f ca="1">OFFSET(srt_raw!$A$1,(ROW()-1)*4+COLUMN()-1,0)</f>
        <v>00:28:56,400 --&gt; 00:28:57,200</v>
      </c>
      <c r="C531" t="str">
        <f ca="1">OFFSET(srt_raw!$A$1,(ROW()-1)*4+COLUMN()-1,0)</f>
        <v>变为了0，</v>
      </c>
      <c r="D531" t="str">
        <f t="shared" ca="1" si="72"/>
        <v>00:28:56,400</v>
      </c>
      <c r="E531" t="str">
        <f t="shared" ca="1" si="73"/>
        <v>00:28:57,200</v>
      </c>
      <c r="F531" s="5" t="str">
        <f t="shared" ca="1" si="74"/>
        <v>00:28:56.400</v>
      </c>
      <c r="G531" s="1" t="str">
        <f t="shared" ca="1" si="75"/>
        <v>00:28:57.200</v>
      </c>
      <c r="H531" s="2">
        <f t="shared" ca="1" si="76"/>
        <v>9.2592592592574685E-6</v>
      </c>
      <c r="I531">
        <f t="shared" ca="1" si="77"/>
        <v>5</v>
      </c>
      <c r="J531" s="2">
        <f t="shared" ca="1" si="78"/>
        <v>1.8518518518514938E-6</v>
      </c>
      <c r="K531" t="e">
        <f ca="1">MATCH(ROW(),sub!D:D,0)</f>
        <v>#N/A</v>
      </c>
      <c r="L531" t="b">
        <f t="shared" ca="1" si="79"/>
        <v>1</v>
      </c>
      <c r="M531" s="2">
        <f t="shared" ca="1" si="80"/>
        <v>1.8518518518514938E-6</v>
      </c>
    </row>
    <row r="532" spans="1:13" x14ac:dyDescent="0.3">
      <c r="A532">
        <f ca="1">OFFSET(srt_raw!$A$1,(ROW()-1)*4+COLUMN()-1,0)</f>
        <v>532</v>
      </c>
      <c r="B532" t="str">
        <f ca="1">OFFSET(srt_raw!$A$1,(ROW()-1)*4+COLUMN()-1,0)</f>
        <v>00:28:57,360 --&gt; 00:29:00,320</v>
      </c>
      <c r="C532" t="str">
        <f ca="1">OFFSET(srt_raw!$A$1,(ROW()-1)*4+COLUMN()-1,0)</f>
        <v>并且X的第五个元素被标记为1。</v>
      </c>
      <c r="D532" t="str">
        <f t="shared" ca="1" si="72"/>
        <v>00:28:57,360</v>
      </c>
      <c r="E532" t="str">
        <f t="shared" ca="1" si="73"/>
        <v>00:29:00,320</v>
      </c>
      <c r="F532" s="5" t="str">
        <f t="shared" ca="1" si="74"/>
        <v>00:28:57.360</v>
      </c>
      <c r="G532" s="1" t="str">
        <f t="shared" ca="1" si="75"/>
        <v>00:29:00.320</v>
      </c>
      <c r="H532" s="2">
        <f t="shared" ca="1" si="76"/>
        <v>3.4259259259258185E-5</v>
      </c>
      <c r="I532">
        <f t="shared" ca="1" si="77"/>
        <v>15</v>
      </c>
      <c r="J532" s="2">
        <f t="shared" ca="1" si="78"/>
        <v>2.2839506172838788E-6</v>
      </c>
      <c r="K532" t="e">
        <f ca="1">MATCH(ROW(),sub!D:D,0)</f>
        <v>#N/A</v>
      </c>
      <c r="L532" t="b">
        <f t="shared" ca="1" si="79"/>
        <v>0</v>
      </c>
      <c r="M532" s="2">
        <f t="shared" ca="1" si="80"/>
        <v>0</v>
      </c>
    </row>
    <row r="533" spans="1:13" x14ac:dyDescent="0.3">
      <c r="A533">
        <f ca="1">OFFSET(srt_raw!$A$1,(ROW()-1)*4+COLUMN()-1,0)</f>
        <v>533</v>
      </c>
      <c r="B533" t="str">
        <f ca="1">OFFSET(srt_raw!$A$1,(ROW()-1)*4+COLUMN()-1,0)</f>
        <v>00:29:02,000 --&gt; 00:29:02,520</v>
      </c>
      <c r="C533" t="str">
        <f ca="1">OFFSET(srt_raw!$A$1,(ROW()-1)*4+COLUMN()-1,0)</f>
        <v>由此，</v>
      </c>
      <c r="D533" t="str">
        <f t="shared" ca="1" si="72"/>
        <v>00:29:02,000</v>
      </c>
      <c r="E533" t="str">
        <f t="shared" ca="1" si="73"/>
        <v>00:29:02,520</v>
      </c>
      <c r="F533" s="5" t="str">
        <f t="shared" ca="1" si="74"/>
        <v>00:29:02.000</v>
      </c>
      <c r="G533" s="1" t="str">
        <f t="shared" ca="1" si="75"/>
        <v>00:29:02.520</v>
      </c>
      <c r="H533" s="2">
        <f t="shared" ca="1" si="76"/>
        <v>6.0185185185163137E-6</v>
      </c>
      <c r="I533">
        <f t="shared" ca="1" si="77"/>
        <v>3</v>
      </c>
      <c r="J533" s="2">
        <f t="shared" ca="1" si="78"/>
        <v>2.0061728395054379E-6</v>
      </c>
      <c r="K533">
        <f ca="1">MATCH(ROW(),sub!D:D,0)</f>
        <v>190</v>
      </c>
      <c r="L533" t="b">
        <f t="shared" ca="1" si="79"/>
        <v>1</v>
      </c>
      <c r="M533" s="2">
        <f t="shared" ca="1" si="80"/>
        <v>2.0061728395054379E-6</v>
      </c>
    </row>
    <row r="534" spans="1:13" x14ac:dyDescent="0.3">
      <c r="A534">
        <f ca="1">OFFSET(srt_raw!$A$1,(ROW()-1)*4+COLUMN()-1,0)</f>
        <v>534</v>
      </c>
      <c r="B534" t="str">
        <f ca="1">OFFSET(srt_raw!$A$1,(ROW()-1)*4+COLUMN()-1,0)</f>
        <v>00:29:02,520 --&gt; 00:29:06,800</v>
      </c>
      <c r="C534" t="str">
        <f ca="1">OFFSET(srt_raw!$A$1,(ROW()-1)*4+COLUMN()-1,0)</f>
        <v>我们通过一次叠加地的后三行将Z的元素依次消去，</v>
      </c>
      <c r="D534" t="str">
        <f t="shared" ca="1" si="72"/>
        <v>00:29:02,520</v>
      </c>
      <c r="E534" t="str">
        <f t="shared" ca="1" si="73"/>
        <v>00:29:06,800</v>
      </c>
      <c r="F534" s="5" t="str">
        <f t="shared" ca="1" si="74"/>
        <v>00:29:02.520</v>
      </c>
      <c r="G534" s="1" t="str">
        <f t="shared" ca="1" si="75"/>
        <v>00:29:06.800</v>
      </c>
      <c r="H534" s="2">
        <f t="shared" ca="1" si="76"/>
        <v>4.9537037037038906E-5</v>
      </c>
      <c r="I534">
        <f t="shared" ca="1" si="77"/>
        <v>23</v>
      </c>
      <c r="J534" s="2">
        <f t="shared" ca="1" si="78"/>
        <v>2.1537842190016916E-6</v>
      </c>
      <c r="K534" t="e">
        <f ca="1">MATCH(ROW(),sub!D:D,0)</f>
        <v>#N/A</v>
      </c>
      <c r="L534" t="b">
        <f t="shared" ca="1" si="79"/>
        <v>1</v>
      </c>
      <c r="M534" s="2">
        <f t="shared" ca="1" si="80"/>
        <v>2.1537842190016916E-6</v>
      </c>
    </row>
    <row r="535" spans="1:13" x14ac:dyDescent="0.3">
      <c r="A535">
        <f ca="1">OFFSET(srt_raw!$A$1,(ROW()-1)*4+COLUMN()-1,0)</f>
        <v>535</v>
      </c>
      <c r="B535" t="str">
        <f ca="1">OFFSET(srt_raw!$A$1,(ROW()-1)*4+COLUMN()-1,0)</f>
        <v>00:29:07,280 --&gt; 00:29:09,680</v>
      </c>
      <c r="C535" t="str">
        <f ca="1">OFFSET(srt_raw!$A$1,(ROW()-1)*4+COLUMN()-1,0)</f>
        <v>同时将叠加的行标记为一，</v>
      </c>
      <c r="D535" t="str">
        <f t="shared" ca="1" si="72"/>
        <v>00:29:07,280</v>
      </c>
      <c r="E535" t="str">
        <f t="shared" ca="1" si="73"/>
        <v>00:29:09,680</v>
      </c>
      <c r="F535" s="5" t="str">
        <f t="shared" ca="1" si="74"/>
        <v>00:29:07.280</v>
      </c>
      <c r="G535" s="1" t="str">
        <f t="shared" ca="1" si="75"/>
        <v>00:29:09.680</v>
      </c>
      <c r="H535" s="2">
        <f t="shared" ca="1" si="76"/>
        <v>2.7777777777779344E-5</v>
      </c>
      <c r="I535">
        <f t="shared" ca="1" si="77"/>
        <v>12</v>
      </c>
      <c r="J535" s="2">
        <f t="shared" ca="1" si="78"/>
        <v>2.3148148148149452E-6</v>
      </c>
      <c r="K535" t="e">
        <f ca="1">MATCH(ROW(),sub!D:D,0)</f>
        <v>#N/A</v>
      </c>
      <c r="L535" t="b">
        <f t="shared" ca="1" si="79"/>
        <v>1</v>
      </c>
      <c r="M535" s="2">
        <f t="shared" ca="1" si="80"/>
        <v>2.3148148148149452E-6</v>
      </c>
    </row>
    <row r="536" spans="1:13" x14ac:dyDescent="0.3">
      <c r="A536">
        <f ca="1">OFFSET(srt_raw!$A$1,(ROW()-1)*4+COLUMN()-1,0)</f>
        <v>536</v>
      </c>
      <c r="B536" t="str">
        <f ca="1">OFFSET(srt_raw!$A$1,(ROW()-1)*4+COLUMN()-1,0)</f>
        <v>00:29:09,680 --&gt; 00:29:11,440</v>
      </c>
      <c r="C536" t="str">
        <f ca="1">OFFSET(srt_raw!$A$1,(ROW()-1)*4+COLUMN()-1,0)</f>
        <v>也就求得了最终的X。</v>
      </c>
      <c r="D536" t="str">
        <f t="shared" ca="1" si="72"/>
        <v>00:29:09,680</v>
      </c>
      <c r="E536" t="str">
        <f t="shared" ca="1" si="73"/>
        <v>00:29:11,440</v>
      </c>
      <c r="F536" s="5" t="str">
        <f t="shared" ca="1" si="74"/>
        <v>00:29:09.680</v>
      </c>
      <c r="G536" s="1" t="str">
        <f t="shared" ca="1" si="75"/>
        <v>00:29:11.440</v>
      </c>
      <c r="H536" s="2">
        <f t="shared" ca="1" si="76"/>
        <v>2.0370370370371982E-5</v>
      </c>
      <c r="I536">
        <f t="shared" ca="1" si="77"/>
        <v>10</v>
      </c>
      <c r="J536" s="2">
        <f t="shared" ca="1" si="78"/>
        <v>2.037037037037198E-6</v>
      </c>
      <c r="K536" t="e">
        <f ca="1">MATCH(ROW(),sub!D:D,0)</f>
        <v>#N/A</v>
      </c>
      <c r="L536" t="b">
        <f t="shared" ca="1" si="79"/>
        <v>0</v>
      </c>
      <c r="M536" s="2">
        <f t="shared" ca="1" si="80"/>
        <v>0</v>
      </c>
    </row>
    <row r="537" spans="1:13" x14ac:dyDescent="0.3">
      <c r="A537">
        <f ca="1">OFFSET(srt_raw!$A$1,(ROW()-1)*4+COLUMN()-1,0)</f>
        <v>537</v>
      </c>
      <c r="B537" t="str">
        <f ca="1">OFFSET(srt_raw!$A$1,(ROW()-1)*4+COLUMN()-1,0)</f>
        <v>00:29:12,960 --&gt; 00:29:15,880</v>
      </c>
      <c r="C537" t="str">
        <f ca="1">OFFSET(srt_raw!$A$1,(ROW()-1)*4+COLUMN()-1,0)</f>
        <v>不难发现这里求得的X是一个特解，</v>
      </c>
      <c r="D537" t="str">
        <f t="shared" ca="1" si="72"/>
        <v>00:29:12,960</v>
      </c>
      <c r="E537" t="str">
        <f t="shared" ca="1" si="73"/>
        <v>00:29:15,880</v>
      </c>
      <c r="F537" s="5" t="str">
        <f t="shared" ca="1" si="74"/>
        <v>00:29:12.960</v>
      </c>
      <c r="G537" s="1" t="str">
        <f t="shared" ca="1" si="75"/>
        <v>00:29:15.880</v>
      </c>
      <c r="H537" s="2">
        <f t="shared" ca="1" si="76"/>
        <v>3.3796296296295658E-5</v>
      </c>
      <c r="I537">
        <f t="shared" ca="1" si="77"/>
        <v>16</v>
      </c>
      <c r="J537" s="2">
        <f t="shared" ca="1" si="78"/>
        <v>2.1122685185184786E-6</v>
      </c>
      <c r="K537">
        <f ca="1">MATCH(ROW(),sub!D:D,0)</f>
        <v>191</v>
      </c>
      <c r="L537" t="b">
        <f t="shared" ca="1" si="79"/>
        <v>0</v>
      </c>
      <c r="M537" s="2">
        <f t="shared" ca="1" si="80"/>
        <v>0</v>
      </c>
    </row>
    <row r="538" spans="1:13" x14ac:dyDescent="0.3">
      <c r="A538">
        <f ca="1">OFFSET(srt_raw!$A$1,(ROW()-1)*4+COLUMN()-1,0)</f>
        <v>538</v>
      </c>
      <c r="B538" t="str">
        <f ca="1">OFFSET(srt_raw!$A$1,(ROW()-1)*4+COLUMN()-1,0)</f>
        <v>00:29:17,360 --&gt; 00:29:20,920</v>
      </c>
      <c r="C538" t="str">
        <f ca="1">OFFSET(srt_raw!$A$1,(ROW()-1)*4+COLUMN()-1,0)</f>
        <v>由于前二撇行可以表示为后二行的线性叠加，</v>
      </c>
      <c r="D538" t="str">
        <f t="shared" ca="1" si="72"/>
        <v>00:29:17,360</v>
      </c>
      <c r="E538" t="str">
        <f t="shared" ca="1" si="73"/>
        <v>00:29:20,920</v>
      </c>
      <c r="F538" s="5" t="str">
        <f t="shared" ca="1" si="74"/>
        <v>00:29:17.360</v>
      </c>
      <c r="G538" s="1" t="str">
        <f t="shared" ca="1" si="75"/>
        <v>00:29:20.920</v>
      </c>
      <c r="H538" s="2">
        <f t="shared" ca="1" si="76"/>
        <v>4.120370370370649E-5</v>
      </c>
      <c r="I538">
        <f t="shared" ca="1" si="77"/>
        <v>20</v>
      </c>
      <c r="J538" s="2">
        <f t="shared" ca="1" si="78"/>
        <v>2.0601851851853246E-6</v>
      </c>
      <c r="K538">
        <f ca="1">MATCH(ROW(),sub!D:D,0)</f>
        <v>192</v>
      </c>
      <c r="L538" t="b">
        <f t="shared" ca="1" si="79"/>
        <v>1</v>
      </c>
      <c r="M538" s="2">
        <f t="shared" ca="1" si="80"/>
        <v>2.0601851851853246E-6</v>
      </c>
    </row>
    <row r="539" spans="1:13" x14ac:dyDescent="0.3">
      <c r="A539">
        <f ca="1">OFFSET(srt_raw!$A$1,(ROW()-1)*4+COLUMN()-1,0)</f>
        <v>539</v>
      </c>
      <c r="B539" t="str">
        <f ca="1">OFFSET(srt_raw!$A$1,(ROW()-1)*4+COLUMN()-1,0)</f>
        <v>00:29:21,120 --&gt; 00:29:26,080</v>
      </c>
      <c r="C539" t="str">
        <f ca="1">OFFSET(srt_raw!$A$1,(ROW()-1)*4+COLUMN()-1,0)</f>
        <v>因此我们可以在消去Z之前先将其和前二撇的任意行叠加，</v>
      </c>
      <c r="D539" t="str">
        <f t="shared" ca="1" si="72"/>
        <v>00:29:21,120</v>
      </c>
      <c r="E539" t="str">
        <f t="shared" ca="1" si="73"/>
        <v>00:29:26,080</v>
      </c>
      <c r="F539" s="5" t="str">
        <f t="shared" ca="1" si="74"/>
        <v>00:29:21.120</v>
      </c>
      <c r="G539" s="1" t="str">
        <f t="shared" ca="1" si="75"/>
        <v>00:29:26.080</v>
      </c>
      <c r="H539" s="2">
        <f t="shared" ca="1" si="76"/>
        <v>5.7407407407405325E-5</v>
      </c>
      <c r="I539">
        <f t="shared" ca="1" si="77"/>
        <v>26</v>
      </c>
      <c r="J539" s="2">
        <f t="shared" ca="1" si="78"/>
        <v>2.2079772079771278E-6</v>
      </c>
      <c r="K539" t="e">
        <f ca="1">MATCH(ROW(),sub!D:D,0)</f>
        <v>#N/A</v>
      </c>
      <c r="L539" t="b">
        <f t="shared" ca="1" si="79"/>
        <v>1</v>
      </c>
      <c r="M539" s="2">
        <f t="shared" ca="1" si="80"/>
        <v>2.2079772079771278E-6</v>
      </c>
    </row>
    <row r="540" spans="1:13" x14ac:dyDescent="0.3">
      <c r="A540">
        <f ca="1">OFFSET(srt_raw!$A$1,(ROW()-1)*4+COLUMN()-1,0)</f>
        <v>540</v>
      </c>
      <c r="B540" t="str">
        <f ca="1">OFFSET(srt_raw!$A$1,(ROW()-1)*4+COLUMN()-1,0)</f>
        <v>00:29:26,080 --&gt; 00:29:27,240</v>
      </c>
      <c r="C540" t="str">
        <f ca="1">OFFSET(srt_raw!$A$1,(ROW()-1)*4+COLUMN()-1,0)</f>
        <v>然后再求解。</v>
      </c>
      <c r="D540" t="str">
        <f t="shared" ca="1" si="72"/>
        <v>00:29:26,080</v>
      </c>
      <c r="E540" t="str">
        <f t="shared" ca="1" si="73"/>
        <v>00:29:27,240</v>
      </c>
      <c r="F540" s="5" t="str">
        <f t="shared" ca="1" si="74"/>
        <v>00:29:26.080</v>
      </c>
      <c r="G540" s="1" t="str">
        <f t="shared" ca="1" si="75"/>
        <v>00:29:27.240</v>
      </c>
      <c r="H540" s="2">
        <f t="shared" ca="1" si="76"/>
        <v>1.3425925925927146E-5</v>
      </c>
      <c r="I540">
        <f t="shared" ca="1" si="77"/>
        <v>6</v>
      </c>
      <c r="J540" s="2">
        <f t="shared" ca="1" si="78"/>
        <v>2.2376543209878578E-6</v>
      </c>
      <c r="K540" t="e">
        <f ca="1">MATCH(ROW(),sub!D:D,0)</f>
        <v>#N/A</v>
      </c>
      <c r="L540" t="b">
        <f t="shared" ca="1" si="79"/>
        <v>0</v>
      </c>
      <c r="M540" s="2">
        <f t="shared" ca="1" si="80"/>
        <v>0</v>
      </c>
    </row>
    <row r="541" spans="1:13" x14ac:dyDescent="0.3">
      <c r="A541">
        <f ca="1">OFFSET(srt_raw!$A$1,(ROW()-1)*4+COLUMN()-1,0)</f>
        <v>541</v>
      </c>
      <c r="B541" t="str">
        <f ca="1">OFFSET(srt_raw!$A$1,(ROW()-1)*4+COLUMN()-1,0)</f>
        <v>00:29:28,720 --&gt; 00:29:31,600</v>
      </c>
      <c r="C541" t="str">
        <f ca="1">OFFSET(srt_raw!$A$1,(ROW()-1)*4+COLUMN()-1,0)</f>
        <v>由于前二撇行共有二的二撇次方种。</v>
      </c>
      <c r="D541" t="str">
        <f t="shared" ca="1" si="72"/>
        <v>00:29:28,720</v>
      </c>
      <c r="E541" t="str">
        <f t="shared" ca="1" si="73"/>
        <v>00:29:31,600</v>
      </c>
      <c r="F541" s="5" t="str">
        <f t="shared" ca="1" si="74"/>
        <v>00:29:28.720</v>
      </c>
      <c r="G541" s="1" t="str">
        <f t="shared" ca="1" si="75"/>
        <v>00:29:31.600</v>
      </c>
      <c r="H541" s="2">
        <f t="shared" ca="1" si="76"/>
        <v>3.3333333333333132E-5</v>
      </c>
      <c r="I541">
        <f t="shared" ca="1" si="77"/>
        <v>16</v>
      </c>
      <c r="J541" s="2">
        <f t="shared" ca="1" si="78"/>
        <v>2.0833333333333207E-6</v>
      </c>
      <c r="K541">
        <f ca="1">MATCH(ROW(),sub!D:D,0)</f>
        <v>193</v>
      </c>
      <c r="L541" t="b">
        <f t="shared" ca="1" si="79"/>
        <v>1</v>
      </c>
      <c r="M541" s="2">
        <f t="shared" ca="1" si="80"/>
        <v>2.0833333333333207E-6</v>
      </c>
    </row>
    <row r="542" spans="1:13" x14ac:dyDescent="0.3">
      <c r="A542">
        <f ca="1">OFFSET(srt_raw!$A$1,(ROW()-1)*4+COLUMN()-1,0)</f>
        <v>542</v>
      </c>
      <c r="B542" t="str">
        <f ca="1">OFFSET(srt_raw!$A$1,(ROW()-1)*4+COLUMN()-1,0)</f>
        <v>00:29:31,760 --&gt; 00:29:32,240</v>
      </c>
      <c r="C542" t="str">
        <f ca="1">OFFSET(srt_raw!$A$1,(ROW()-1)*4+COLUMN()-1,0)</f>
        <v>因此，</v>
      </c>
      <c r="D542" t="str">
        <f t="shared" ca="1" si="72"/>
        <v>00:29:31,760</v>
      </c>
      <c r="E542" t="str">
        <f t="shared" ca="1" si="73"/>
        <v>00:29:32,240</v>
      </c>
      <c r="F542" s="5" t="str">
        <f t="shared" ca="1" si="74"/>
        <v>00:29:31.760</v>
      </c>
      <c r="G542" s="1" t="str">
        <f t="shared" ca="1" si="75"/>
        <v>00:29:32.240</v>
      </c>
      <c r="H542" s="2">
        <f t="shared" ca="1" si="76"/>
        <v>5.5555555555572567E-6</v>
      </c>
      <c r="I542">
        <f t="shared" ca="1" si="77"/>
        <v>3</v>
      </c>
      <c r="J542" s="2">
        <f t="shared" ca="1" si="78"/>
        <v>1.851851851852419E-6</v>
      </c>
      <c r="K542" t="e">
        <f ca="1">MATCH(ROW(),sub!D:D,0)</f>
        <v>#N/A</v>
      </c>
      <c r="L542" t="b">
        <f t="shared" ca="1" si="79"/>
        <v>1</v>
      </c>
      <c r="M542" s="2">
        <f t="shared" ca="1" si="80"/>
        <v>1.851851851852419E-6</v>
      </c>
    </row>
    <row r="543" spans="1:13" x14ac:dyDescent="0.3">
      <c r="A543">
        <f ca="1">OFFSET(srt_raw!$A$1,(ROW()-1)*4+COLUMN()-1,0)</f>
        <v>543</v>
      </c>
      <c r="B543" t="str">
        <f ca="1">OFFSET(srt_raw!$A$1,(ROW()-1)*4+COLUMN()-1,0)</f>
        <v>00:29:32,240 --&gt; 00:29:34,640</v>
      </c>
      <c r="C543" t="str">
        <f ca="1">OFFSET(srt_raw!$A$1,(ROW()-1)*4+COLUMN()-1,0)</f>
        <v>求得的解也有2的2撇次方种。</v>
      </c>
      <c r="D543" t="str">
        <f t="shared" ca="1" si="72"/>
        <v>00:29:32,240</v>
      </c>
      <c r="E543" t="str">
        <f t="shared" ca="1" si="73"/>
        <v>00:29:34,640</v>
      </c>
      <c r="F543" s="5" t="str">
        <f t="shared" ca="1" si="74"/>
        <v>00:29:32.240</v>
      </c>
      <c r="G543" s="1" t="str">
        <f t="shared" ca="1" si="75"/>
        <v>00:29:34.640</v>
      </c>
      <c r="H543" s="2">
        <f t="shared" ca="1" si="76"/>
        <v>2.7777777777779344E-5</v>
      </c>
      <c r="I543">
        <f t="shared" ca="1" si="77"/>
        <v>14</v>
      </c>
      <c r="J543" s="2">
        <f t="shared" ca="1" si="78"/>
        <v>1.9841269841270958E-6</v>
      </c>
      <c r="K543" t="e">
        <f ca="1">MATCH(ROW(),sub!D:D,0)</f>
        <v>#N/A</v>
      </c>
      <c r="L543" t="b">
        <f t="shared" ca="1" si="79"/>
        <v>0</v>
      </c>
      <c r="M543" s="2">
        <f t="shared" ca="1" si="80"/>
        <v>0</v>
      </c>
    </row>
    <row r="544" spans="1:13" x14ac:dyDescent="0.3">
      <c r="A544">
        <f ca="1">OFFSET(srt_raw!$A$1,(ROW()-1)*4+COLUMN()-1,0)</f>
        <v>544</v>
      </c>
      <c r="B544" t="str">
        <f ca="1">OFFSET(srt_raw!$A$1,(ROW()-1)*4+COLUMN()-1,0)</f>
        <v>00:29:36,160 --&gt; 00:29:36,880</v>
      </c>
      <c r="C544" t="str">
        <f ca="1">OFFSET(srt_raw!$A$1,(ROW()-1)*4+COLUMN()-1,0)</f>
        <v>另一方面，</v>
      </c>
      <c r="D544" t="str">
        <f t="shared" ca="1" si="72"/>
        <v>00:29:36,160</v>
      </c>
      <c r="E544" t="str">
        <f t="shared" ca="1" si="73"/>
        <v>00:29:36,880</v>
      </c>
      <c r="F544" s="5" t="str">
        <f t="shared" ca="1" si="74"/>
        <v>00:29:36.160</v>
      </c>
      <c r="G544" s="1" t="str">
        <f t="shared" ca="1" si="75"/>
        <v>00:29:36.880</v>
      </c>
      <c r="H544" s="2">
        <f t="shared" ca="1" si="76"/>
        <v>8.3333333333324155E-6</v>
      </c>
      <c r="I544">
        <f t="shared" ca="1" si="77"/>
        <v>5</v>
      </c>
      <c r="J544" s="2">
        <f t="shared" ca="1" si="78"/>
        <v>1.6666666666664831E-6</v>
      </c>
      <c r="K544">
        <f ca="1">MATCH(ROW(),sub!D:D,0)</f>
        <v>194</v>
      </c>
      <c r="L544" t="b">
        <f t="shared" ca="1" si="79"/>
        <v>1</v>
      </c>
      <c r="M544" s="2">
        <f t="shared" ca="1" si="80"/>
        <v>1.6666666666664831E-6</v>
      </c>
    </row>
    <row r="545" spans="1:13" x14ac:dyDescent="0.3">
      <c r="A545">
        <f ca="1">OFFSET(srt_raw!$A$1,(ROW()-1)*4+COLUMN()-1,0)</f>
        <v>545</v>
      </c>
      <c r="B545" t="str">
        <f ca="1">OFFSET(srt_raw!$A$1,(ROW()-1)*4+COLUMN()-1,0)</f>
        <v>00:29:36,960 --&gt; 00:29:39,680</v>
      </c>
      <c r="C545" t="str">
        <f ca="1">OFFSET(srt_raw!$A$1,(ROW()-1)*4+COLUMN()-1,0)</f>
        <v>由于矩阵地满足10字偶校验约束，</v>
      </c>
      <c r="D545" t="str">
        <f t="shared" ca="1" si="72"/>
        <v>00:29:36,960</v>
      </c>
      <c r="E545" t="str">
        <f t="shared" ca="1" si="73"/>
        <v>00:29:39,680</v>
      </c>
      <c r="F545" s="5" t="str">
        <f t="shared" ca="1" si="74"/>
        <v>00:29:36.960</v>
      </c>
      <c r="G545" s="1" t="str">
        <f t="shared" ca="1" si="75"/>
        <v>00:29:39.680</v>
      </c>
      <c r="H545" s="2">
        <f t="shared" ca="1" si="76"/>
        <v>3.1481481481483026E-5</v>
      </c>
      <c r="I545">
        <f t="shared" ca="1" si="77"/>
        <v>16</v>
      </c>
      <c r="J545" s="2">
        <f t="shared" ca="1" si="78"/>
        <v>1.9675925925926891E-6</v>
      </c>
      <c r="K545" t="e">
        <f ca="1">MATCH(ROW(),sub!D:D,0)</f>
        <v>#N/A</v>
      </c>
      <c r="L545" t="b">
        <f t="shared" ca="1" si="79"/>
        <v>1</v>
      </c>
      <c r="M545" s="2">
        <f t="shared" ca="1" si="80"/>
        <v>1.9675925925926891E-6</v>
      </c>
    </row>
    <row r="546" spans="1:13" x14ac:dyDescent="0.3">
      <c r="A546">
        <f ca="1">OFFSET(srt_raw!$A$1,(ROW()-1)*4+COLUMN()-1,0)</f>
        <v>546</v>
      </c>
      <c r="B546" t="str">
        <f ca="1">OFFSET(srt_raw!$A$1,(ROW()-1)*4+COLUMN()-1,0)</f>
        <v>00:29:39,680 --&gt; 00:29:41,960</v>
      </c>
      <c r="C546" t="str">
        <f ca="1">OFFSET(srt_raw!$A$1,(ROW()-1)*4+COLUMN()-1,0)</f>
        <v>表现出高度的对称性。</v>
      </c>
      <c r="D546" t="str">
        <f t="shared" ca="1" si="72"/>
        <v>00:29:39,680</v>
      </c>
      <c r="E546" t="str">
        <f t="shared" ca="1" si="73"/>
        <v>00:29:41,960</v>
      </c>
      <c r="F546" s="5" t="str">
        <f t="shared" ca="1" si="74"/>
        <v>00:29:39.680</v>
      </c>
      <c r="G546" s="1" t="str">
        <f t="shared" ca="1" si="75"/>
        <v>00:29:41.960</v>
      </c>
      <c r="H546" s="2">
        <f t="shared" ca="1" si="76"/>
        <v>2.6388888888888296E-5</v>
      </c>
      <c r="I546">
        <f t="shared" ca="1" si="77"/>
        <v>10</v>
      </c>
      <c r="J546" s="2">
        <f t="shared" ca="1" si="78"/>
        <v>2.6388888888888296E-6</v>
      </c>
      <c r="K546" t="e">
        <f ca="1">MATCH(ROW(),sub!D:D,0)</f>
        <v>#N/A</v>
      </c>
      <c r="L546" t="b">
        <f t="shared" ca="1" si="79"/>
        <v>1</v>
      </c>
      <c r="M546" s="2">
        <f t="shared" ca="1" si="80"/>
        <v>2.6388888888888296E-6</v>
      </c>
    </row>
    <row r="547" spans="1:13" x14ac:dyDescent="0.3">
      <c r="A547">
        <f ca="1">OFFSET(srt_raw!$A$1,(ROW()-1)*4+COLUMN()-1,0)</f>
        <v>547</v>
      </c>
      <c r="B547" t="str">
        <f ca="1">OFFSET(srt_raw!$A$1,(ROW()-1)*4+COLUMN()-1,0)</f>
        <v>00:29:41,960 --&gt; 00:29:42,520</v>
      </c>
      <c r="C547" t="str">
        <f ca="1">OFFSET(srt_raw!$A$1,(ROW()-1)*4+COLUMN()-1,0)</f>
        <v>其中，</v>
      </c>
      <c r="D547" t="str">
        <f t="shared" ca="1" si="72"/>
        <v>00:29:41,960</v>
      </c>
      <c r="E547" t="str">
        <f t="shared" ca="1" si="73"/>
        <v>00:29:42,520</v>
      </c>
      <c r="F547" s="5" t="str">
        <f t="shared" ca="1" si="74"/>
        <v>00:29:41.960</v>
      </c>
      <c r="G547" s="1" t="str">
        <f t="shared" ca="1" si="75"/>
        <v>00:29:42.520</v>
      </c>
      <c r="H547" s="2">
        <f t="shared" ca="1" si="76"/>
        <v>6.4814814814788402E-6</v>
      </c>
      <c r="I547">
        <f t="shared" ca="1" si="77"/>
        <v>3</v>
      </c>
      <c r="J547" s="2">
        <f t="shared" ca="1" si="78"/>
        <v>2.1604938271596133E-6</v>
      </c>
      <c r="K547" t="e">
        <f ca="1">MATCH(ROW(),sub!D:D,0)</f>
        <v>#N/A</v>
      </c>
      <c r="L547" t="b">
        <f t="shared" ca="1" si="79"/>
        <v>1</v>
      </c>
      <c r="M547" s="2">
        <f t="shared" ca="1" si="80"/>
        <v>2.1604938271596133E-6</v>
      </c>
    </row>
    <row r="548" spans="1:13" x14ac:dyDescent="0.3">
      <c r="A548">
        <f ca="1">OFFSET(srt_raw!$A$1,(ROW()-1)*4+COLUMN()-1,0)</f>
        <v>548</v>
      </c>
      <c r="B548" t="str">
        <f ca="1">OFFSET(srt_raw!$A$1,(ROW()-1)*4+COLUMN()-1,0)</f>
        <v>00:29:42,520 --&gt; 00:29:44,320</v>
      </c>
      <c r="C548" t="str">
        <f ca="1">OFFSET(srt_raw!$A$1,(ROW()-1)*4+COLUMN()-1,0)</f>
        <v>行和列的坐标可以互换，</v>
      </c>
      <c r="D548" t="str">
        <f t="shared" ca="1" si="72"/>
        <v>00:29:42,520</v>
      </c>
      <c r="E548" t="str">
        <f t="shared" ca="1" si="73"/>
        <v>00:29:44,320</v>
      </c>
      <c r="F548" s="5" t="str">
        <f t="shared" ca="1" si="74"/>
        <v>00:29:42.520</v>
      </c>
      <c r="G548" s="1" t="str">
        <f t="shared" ca="1" si="75"/>
        <v>00:29:44.320</v>
      </c>
      <c r="H548" s="2">
        <f t="shared" ca="1" si="76"/>
        <v>2.0833333333334508E-5</v>
      </c>
      <c r="I548">
        <f t="shared" ca="1" si="77"/>
        <v>11</v>
      </c>
      <c r="J548" s="2">
        <f t="shared" ca="1" si="78"/>
        <v>1.8939393939395008E-6</v>
      </c>
      <c r="K548" t="e">
        <f ca="1">MATCH(ROW(),sub!D:D,0)</f>
        <v>#N/A</v>
      </c>
      <c r="L548" t="b">
        <f t="shared" ca="1" si="79"/>
        <v>0</v>
      </c>
      <c r="M548" s="2">
        <f t="shared" ca="1" si="80"/>
        <v>0</v>
      </c>
    </row>
    <row r="549" spans="1:13" x14ac:dyDescent="0.3">
      <c r="A549">
        <f ca="1">OFFSET(srt_raw!$A$1,(ROW()-1)*4+COLUMN()-1,0)</f>
        <v>549</v>
      </c>
      <c r="B549" t="str">
        <f ca="1">OFFSET(srt_raw!$A$1,(ROW()-1)*4+COLUMN()-1,0)</f>
        <v>00:29:45,840 --&gt; 00:29:48,400</v>
      </c>
      <c r="C549" t="str">
        <f ca="1">OFFSET(srt_raw!$A$1,(ROW()-1)*4+COLUMN()-1,0)</f>
        <v>因此我们可以同样只叠加前2行，</v>
      </c>
      <c r="D549" t="str">
        <f t="shared" ca="1" si="72"/>
        <v>00:29:45,840</v>
      </c>
      <c r="E549" t="str">
        <f t="shared" ca="1" si="73"/>
        <v>00:29:48,400</v>
      </c>
      <c r="F549" s="5" t="str">
        <f t="shared" ca="1" si="74"/>
        <v>00:29:45.840</v>
      </c>
      <c r="G549" s="1" t="str">
        <f t="shared" ca="1" si="75"/>
        <v>00:29:48.400</v>
      </c>
      <c r="H549" s="2">
        <f t="shared" ca="1" si="76"/>
        <v>2.962962962962945E-5</v>
      </c>
      <c r="I549">
        <f t="shared" ca="1" si="77"/>
        <v>15</v>
      </c>
      <c r="J549" s="2">
        <f t="shared" ca="1" si="78"/>
        <v>1.9753086419752969E-6</v>
      </c>
      <c r="K549">
        <f ca="1">MATCH(ROW(),sub!D:D,0)</f>
        <v>195</v>
      </c>
      <c r="L549" t="b">
        <f t="shared" ca="1" si="79"/>
        <v>1</v>
      </c>
      <c r="M549" s="2">
        <f t="shared" ca="1" si="80"/>
        <v>1.9753086419752969E-6</v>
      </c>
    </row>
    <row r="550" spans="1:13" x14ac:dyDescent="0.3">
      <c r="A550">
        <f ca="1">OFFSET(srt_raw!$A$1,(ROW()-1)*4+COLUMN()-1,0)</f>
        <v>550</v>
      </c>
      <c r="B550" t="str">
        <f ca="1">OFFSET(srt_raw!$A$1,(ROW()-1)*4+COLUMN()-1,0)</f>
        <v>00:29:48,560 --&gt; 00:29:51,040</v>
      </c>
      <c r="C550" t="str">
        <f ca="1">OFFSET(srt_raw!$A$1,(ROW()-1)*4+COLUMN()-1,0)</f>
        <v>从右往左进行消去。</v>
      </c>
      <c r="D550" t="str">
        <f t="shared" ca="1" si="72"/>
        <v>00:29:48,560</v>
      </c>
      <c r="E550" t="str">
        <f t="shared" ca="1" si="73"/>
        <v>00:29:51,040</v>
      </c>
      <c r="F550" s="5" t="str">
        <f t="shared" ca="1" si="74"/>
        <v>00:29:48.560</v>
      </c>
      <c r="G550" s="1" t="str">
        <f t="shared" ca="1" si="75"/>
        <v>00:29:51.040</v>
      </c>
      <c r="H550" s="2">
        <f t="shared" ca="1" si="76"/>
        <v>2.8703703703704397E-5</v>
      </c>
      <c r="I550">
        <f t="shared" ca="1" si="77"/>
        <v>9</v>
      </c>
      <c r="J550" s="2">
        <f t="shared" ca="1" si="78"/>
        <v>3.1893004115227108E-6</v>
      </c>
      <c r="K550" t="e">
        <f ca="1">MATCH(ROW(),sub!D:D,0)</f>
        <v>#N/A</v>
      </c>
      <c r="L550" t="b">
        <f t="shared" ca="1" si="79"/>
        <v>1</v>
      </c>
      <c r="M550" s="2">
        <f t="shared" ca="1" si="80"/>
        <v>3.1893004115227108E-6</v>
      </c>
    </row>
    <row r="551" spans="1:13" x14ac:dyDescent="0.3">
      <c r="A551">
        <f ca="1">OFFSET(srt_raw!$A$1,(ROW()-1)*4+COLUMN()-1,0)</f>
        <v>551</v>
      </c>
      <c r="B551" t="str">
        <f ca="1">OFFSET(srt_raw!$A$1,(ROW()-1)*4+COLUMN()-1,0)</f>
        <v>00:29:51,040 --&gt; 00:29:52,560</v>
      </c>
      <c r="C551" t="str">
        <f ca="1">OFFSET(srt_raw!$A$1,(ROW()-1)*4+COLUMN()-1,0)</f>
        <v>由于结果是相同的，</v>
      </c>
      <c r="D551" t="str">
        <f t="shared" ca="1" si="72"/>
        <v>00:29:51,040</v>
      </c>
      <c r="E551" t="str">
        <f t="shared" ca="1" si="73"/>
        <v>00:29:52,560</v>
      </c>
      <c r="F551" s="5" t="str">
        <f t="shared" ca="1" si="74"/>
        <v>00:29:51.040</v>
      </c>
      <c r="G551" s="1" t="str">
        <f t="shared" ca="1" si="75"/>
        <v>00:29:52.560</v>
      </c>
      <c r="H551" s="2">
        <f t="shared" ca="1" si="76"/>
        <v>1.7592592592593354E-5</v>
      </c>
      <c r="I551">
        <f t="shared" ca="1" si="77"/>
        <v>9</v>
      </c>
      <c r="J551" s="2">
        <f t="shared" ca="1" si="78"/>
        <v>1.9547325102881505E-6</v>
      </c>
      <c r="K551" t="e">
        <f ca="1">MATCH(ROW(),sub!D:D,0)</f>
        <v>#N/A</v>
      </c>
      <c r="L551" t="b">
        <f t="shared" ca="1" si="79"/>
        <v>1</v>
      </c>
      <c r="M551" s="2">
        <f t="shared" ca="1" si="80"/>
        <v>1.9547325102881505E-6</v>
      </c>
    </row>
    <row r="552" spans="1:13" x14ac:dyDescent="0.3">
      <c r="A552">
        <f ca="1">OFFSET(srt_raw!$A$1,(ROW()-1)*4+COLUMN()-1,0)</f>
        <v>552</v>
      </c>
      <c r="B552" t="str">
        <f ca="1">OFFSET(srt_raw!$A$1,(ROW()-1)*4+COLUMN()-1,0)</f>
        <v>00:29:52,560 --&gt; 00:29:53,760</v>
      </c>
      <c r="C552" t="str">
        <f ca="1">OFFSET(srt_raw!$A$1,(ROW()-1)*4+COLUMN()-1,0)</f>
        <v>这里不再赘述。</v>
      </c>
      <c r="D552" t="str">
        <f t="shared" ca="1" si="72"/>
        <v>00:29:52,560</v>
      </c>
      <c r="E552" t="str">
        <f t="shared" ca="1" si="73"/>
        <v>00:29:53,760</v>
      </c>
      <c r="F552" s="5" t="str">
        <f t="shared" ca="1" si="74"/>
        <v>00:29:52.560</v>
      </c>
      <c r="G552" s="1" t="str">
        <f t="shared" ca="1" si="75"/>
        <v>00:29:53.760</v>
      </c>
      <c r="H552" s="2">
        <f t="shared" ca="1" si="76"/>
        <v>1.3888888888889672E-5</v>
      </c>
      <c r="I552">
        <f t="shared" ca="1" si="77"/>
        <v>7</v>
      </c>
      <c r="J552" s="2">
        <f t="shared" ca="1" si="78"/>
        <v>1.9841269841270958E-6</v>
      </c>
      <c r="K552" t="e">
        <f ca="1">MATCH(ROW(),sub!D:D,0)</f>
        <v>#N/A</v>
      </c>
      <c r="L552" t="b">
        <f t="shared" ca="1" si="79"/>
        <v>0</v>
      </c>
      <c r="M552" s="2">
        <f t="shared" ca="1" si="80"/>
        <v>0</v>
      </c>
    </row>
    <row r="553" spans="1:13" x14ac:dyDescent="0.3">
      <c r="A553">
        <f ca="1">OFFSET(srt_raw!$A$1,(ROW()-1)*4+COLUMN()-1,0)</f>
        <v>553</v>
      </c>
      <c r="B553" t="str">
        <f ca="1">OFFSET(srt_raw!$A$1,(ROW()-1)*4+COLUMN()-1,0)</f>
        <v>00:29:55,200 --&gt; 00:29:56,920</v>
      </c>
      <c r="C553" t="str">
        <f ca="1">OFFSET(srt_raw!$A$1,(ROW()-1)*4+COLUMN()-1,0)</f>
        <v>细心的小伙伴会发现，</v>
      </c>
      <c r="D553" t="str">
        <f t="shared" ca="1" si="72"/>
        <v>00:29:55,200</v>
      </c>
      <c r="E553" t="str">
        <f t="shared" ca="1" si="73"/>
        <v>00:29:56,920</v>
      </c>
      <c r="F553" s="5" t="str">
        <f t="shared" ca="1" si="74"/>
        <v>00:29:55.200</v>
      </c>
      <c r="G553" s="1" t="str">
        <f t="shared" ca="1" si="75"/>
        <v>00:29:56.920</v>
      </c>
      <c r="H553" s="2">
        <f t="shared" ca="1" si="76"/>
        <v>1.9907407407409455E-5</v>
      </c>
      <c r="I553">
        <f t="shared" ca="1" si="77"/>
        <v>10</v>
      </c>
      <c r="J553" s="2">
        <f t="shared" ca="1" si="78"/>
        <v>1.9907407407409457E-6</v>
      </c>
      <c r="K553">
        <f ca="1">MATCH(ROW(),sub!D:D,0)</f>
        <v>196</v>
      </c>
      <c r="L553" t="b">
        <f t="shared" ca="1" si="79"/>
        <v>1</v>
      </c>
      <c r="M553" s="2">
        <f t="shared" ca="1" si="80"/>
        <v>1.9907407407409457E-6</v>
      </c>
    </row>
    <row r="554" spans="1:13" x14ac:dyDescent="0.3">
      <c r="A554">
        <f ca="1">OFFSET(srt_raw!$A$1,(ROW()-1)*4+COLUMN()-1,0)</f>
        <v>554</v>
      </c>
      <c r="B554" t="str">
        <f ca="1">OFFSET(srt_raw!$A$1,(ROW()-1)*4+COLUMN()-1,0)</f>
        <v>00:29:56,920 --&gt; 00:29:59,160</v>
      </c>
      <c r="C554" t="str">
        <f ca="1">OFFSET(srt_raw!$A$1,(ROW()-1)*4+COLUMN()-1,0)</f>
        <v>这两个式子具有相同的形式。</v>
      </c>
      <c r="D554" t="str">
        <f t="shared" ca="1" si="72"/>
        <v>00:29:56,920</v>
      </c>
      <c r="E554" t="str">
        <f t="shared" ca="1" si="73"/>
        <v>00:29:59,160</v>
      </c>
      <c r="F554" s="5" t="str">
        <f t="shared" ca="1" si="74"/>
        <v>00:29:56.920</v>
      </c>
      <c r="G554" s="1" t="str">
        <f t="shared" ca="1" si="75"/>
        <v>00:29:59.160</v>
      </c>
      <c r="H554" s="2">
        <f t="shared" ca="1" si="76"/>
        <v>2.5925925925925769E-5</v>
      </c>
      <c r="I554">
        <f t="shared" ca="1" si="77"/>
        <v>13</v>
      </c>
      <c r="J554" s="2">
        <f t="shared" ca="1" si="78"/>
        <v>1.9943019943019824E-6</v>
      </c>
      <c r="K554" t="e">
        <f ca="1">MATCH(ROW(),sub!D:D,0)</f>
        <v>#N/A</v>
      </c>
      <c r="L554" t="b">
        <f t="shared" ca="1" si="79"/>
        <v>0</v>
      </c>
      <c r="M554" s="2">
        <f t="shared" ca="1" si="80"/>
        <v>0</v>
      </c>
    </row>
    <row r="555" spans="1:13" x14ac:dyDescent="0.3">
      <c r="A555">
        <f ca="1">OFFSET(srt_raw!$A$1,(ROW()-1)*4+COLUMN()-1,0)</f>
        <v>555</v>
      </c>
      <c r="B555" t="str">
        <f ca="1">OFFSET(srt_raw!$A$1,(ROW()-1)*4+COLUMN()-1,0)</f>
        <v>00:30:00,680 --&gt; 00:30:04,480</v>
      </c>
      <c r="C555" t="str">
        <f ca="1">OFFSET(srt_raw!$A$1,(ROW()-1)*4+COLUMN()-1,0)</f>
        <v>既然我们可以在第一个式子用反向叠加法求X，</v>
      </c>
      <c r="D555" t="str">
        <f t="shared" ca="1" si="72"/>
        <v>00:30:00,680</v>
      </c>
      <c r="E555" t="str">
        <f t="shared" ca="1" si="73"/>
        <v>00:30:04,480</v>
      </c>
      <c r="F555" s="5" t="str">
        <f t="shared" ca="1" si="74"/>
        <v>00:30:00.680</v>
      </c>
      <c r="G555" s="1" t="str">
        <f t="shared" ca="1" si="75"/>
        <v>00:30:04.480</v>
      </c>
      <c r="H555" s="2">
        <f t="shared" ca="1" si="76"/>
        <v>4.398148148147818E-5</v>
      </c>
      <c r="I555">
        <f t="shared" ca="1" si="77"/>
        <v>21</v>
      </c>
      <c r="J555" s="2">
        <f t="shared" ca="1" si="78"/>
        <v>2.0943562610227706E-6</v>
      </c>
      <c r="K555">
        <f ca="1">MATCH(ROW(),sub!D:D,0)</f>
        <v>197</v>
      </c>
      <c r="L555" t="b">
        <f t="shared" ca="1" si="79"/>
        <v>1</v>
      </c>
      <c r="M555" s="2">
        <f t="shared" ca="1" si="80"/>
        <v>2.0943562610227706E-6</v>
      </c>
    </row>
    <row r="556" spans="1:13" x14ac:dyDescent="0.3">
      <c r="A556">
        <f ca="1">OFFSET(srt_raw!$A$1,(ROW()-1)*4+COLUMN()-1,0)</f>
        <v>556</v>
      </c>
      <c r="B556" t="str">
        <f ca="1">OFFSET(srt_raw!$A$1,(ROW()-1)*4+COLUMN()-1,0)</f>
        <v>00:30:04,640 --&gt; 00:30:08,400</v>
      </c>
      <c r="C556" t="str">
        <f ca="1">OFFSET(srt_raw!$A$1,(ROW()-1)*4+COLUMN()-1,0)</f>
        <v>为什么不能用相同的方法在第二个式子求X呢？</v>
      </c>
      <c r="D556" t="str">
        <f t="shared" ca="1" si="72"/>
        <v>00:30:04,640</v>
      </c>
      <c r="E556" t="str">
        <f t="shared" ca="1" si="73"/>
        <v>00:30:08,400</v>
      </c>
      <c r="F556" s="5" t="str">
        <f t="shared" ca="1" si="74"/>
        <v>00:30:04.640</v>
      </c>
      <c r="G556" s="1" t="str">
        <f t="shared" ca="1" si="75"/>
        <v>00:30:08.400</v>
      </c>
      <c r="H556" s="2">
        <f t="shared" ca="1" si="76"/>
        <v>4.3518518518519123E-5</v>
      </c>
      <c r="I556">
        <f t="shared" ca="1" si="77"/>
        <v>21</v>
      </c>
      <c r="J556" s="2">
        <f t="shared" ca="1" si="78"/>
        <v>2.0723104056437679E-6</v>
      </c>
      <c r="K556" t="e">
        <f ca="1">MATCH(ROW(),sub!D:D,0)</f>
        <v>#N/A</v>
      </c>
      <c r="L556" t="b">
        <f t="shared" ca="1" si="79"/>
        <v>0</v>
      </c>
      <c r="M556" s="2">
        <f t="shared" ca="1" si="80"/>
        <v>0</v>
      </c>
    </row>
    <row r="557" spans="1:13" x14ac:dyDescent="0.3">
      <c r="A557">
        <f ca="1">OFFSET(srt_raw!$A$1,(ROW()-1)*4+COLUMN()-1,0)</f>
        <v>557</v>
      </c>
      <c r="B557" t="str">
        <f ca="1">OFFSET(srt_raw!$A$1,(ROW()-1)*4+COLUMN()-1,0)</f>
        <v>00:30:09,840 --&gt; 00:30:13,120</v>
      </c>
      <c r="C557" t="str">
        <f ca="1">OFFSET(srt_raw!$A$1,(ROW()-1)*4+COLUMN()-1,0)</f>
        <v>这是因为矩阵D是由GH生成的，</v>
      </c>
      <c r="D557" t="str">
        <f t="shared" ca="1" si="72"/>
        <v>00:30:09,840</v>
      </c>
      <c r="E557" t="str">
        <f t="shared" ca="1" si="73"/>
        <v>00:30:13,120</v>
      </c>
      <c r="F557" s="5" t="str">
        <f t="shared" ca="1" si="74"/>
        <v>00:30:09.840</v>
      </c>
      <c r="G557" s="1" t="str">
        <f t="shared" ca="1" si="75"/>
        <v>00:30:13.120</v>
      </c>
      <c r="H557" s="2">
        <f t="shared" ca="1" si="76"/>
        <v>3.7962962962961866E-5</v>
      </c>
      <c r="I557">
        <f t="shared" ca="1" si="77"/>
        <v>15</v>
      </c>
      <c r="J557" s="2">
        <f t="shared" ca="1" si="78"/>
        <v>2.5308641975307909E-6</v>
      </c>
      <c r="K557">
        <f ca="1">MATCH(ROW(),sub!D:D,0)</f>
        <v>198</v>
      </c>
      <c r="L557" t="b">
        <f t="shared" ca="1" si="79"/>
        <v>1</v>
      </c>
      <c r="M557" s="2">
        <f t="shared" ca="1" si="80"/>
        <v>2.5308641975307909E-6</v>
      </c>
    </row>
    <row r="558" spans="1:13" x14ac:dyDescent="0.3">
      <c r="A558">
        <f ca="1">OFFSET(srt_raw!$A$1,(ROW()-1)*4+COLUMN()-1,0)</f>
        <v>558</v>
      </c>
      <c r="B558" t="str">
        <f ca="1">OFFSET(srt_raw!$A$1,(ROW()-1)*4+COLUMN()-1,0)</f>
        <v>00:30:13,120 --&gt; 00:30:15,720</v>
      </c>
      <c r="C558" t="str">
        <f ca="1">OFFSET(srt_raw!$A$1,(ROW()-1)*4+COLUMN()-1,0)</f>
        <v>具有带状上三角的可回带结构，</v>
      </c>
      <c r="D558" t="str">
        <f t="shared" ca="1" si="72"/>
        <v>00:30:13,120</v>
      </c>
      <c r="E558" t="str">
        <f t="shared" ca="1" si="73"/>
        <v>00:30:15,720</v>
      </c>
      <c r="F558" s="5" t="str">
        <f t="shared" ca="1" si="74"/>
        <v>00:30:13.120</v>
      </c>
      <c r="G558" s="1" t="str">
        <f t="shared" ca="1" si="75"/>
        <v>00:30:15.720</v>
      </c>
      <c r="H558" s="2">
        <f t="shared" ca="1" si="76"/>
        <v>3.0092592592595446E-5</v>
      </c>
      <c r="I558">
        <f t="shared" ca="1" si="77"/>
        <v>14</v>
      </c>
      <c r="J558" s="2">
        <f t="shared" ca="1" si="78"/>
        <v>2.1494708994711031E-6</v>
      </c>
      <c r="K558" t="e">
        <f ca="1">MATCH(ROW(),sub!D:D,0)</f>
        <v>#N/A</v>
      </c>
      <c r="L558" t="b">
        <f t="shared" ca="1" si="79"/>
        <v>1</v>
      </c>
      <c r="M558" s="2">
        <f t="shared" ca="1" si="80"/>
        <v>2.1494708994711031E-6</v>
      </c>
    </row>
    <row r="559" spans="1:13" x14ac:dyDescent="0.3">
      <c r="A559">
        <f ca="1">OFFSET(srt_raw!$A$1,(ROW()-1)*4+COLUMN()-1,0)</f>
        <v>559</v>
      </c>
      <c r="B559" t="str">
        <f ca="1">OFFSET(srt_raw!$A$1,(ROW()-1)*4+COLUMN()-1,0)</f>
        <v>00:30:15,720 --&gt; 00:30:19,360</v>
      </c>
      <c r="C559" t="str">
        <f ca="1">OFFSET(srt_raw!$A$1,(ROW()-1)*4+COLUMN()-1,0)</f>
        <v>满足前面说到的四个性质。</v>
      </c>
      <c r="D559" t="str">
        <f t="shared" ca="1" si="72"/>
        <v>00:30:15,720</v>
      </c>
      <c r="E559" t="str">
        <f t="shared" ca="1" si="73"/>
        <v>00:30:19,360</v>
      </c>
      <c r="F559" s="5" t="str">
        <f t="shared" ca="1" si="74"/>
        <v>00:30:15.720</v>
      </c>
      <c r="G559" s="1" t="str">
        <f t="shared" ca="1" si="75"/>
        <v>00:30:19.360</v>
      </c>
      <c r="H559" s="2">
        <f t="shared" ca="1" si="76"/>
        <v>4.2129629629628074E-5</v>
      </c>
      <c r="I559">
        <f t="shared" ca="1" si="77"/>
        <v>12</v>
      </c>
      <c r="J559" s="2">
        <f t="shared" ca="1" si="78"/>
        <v>3.5108024691356729E-6</v>
      </c>
      <c r="K559" t="e">
        <f ca="1">MATCH(ROW(),sub!D:D,0)</f>
        <v>#N/A</v>
      </c>
      <c r="L559" t="b">
        <f t="shared" ca="1" si="79"/>
        <v>0</v>
      </c>
      <c r="M559" s="2">
        <f t="shared" ca="1" si="80"/>
        <v>0</v>
      </c>
    </row>
    <row r="560" spans="1:13" x14ac:dyDescent="0.3">
      <c r="A560">
        <f ca="1">OFFSET(srt_raw!$A$1,(ROW()-1)*4+COLUMN()-1,0)</f>
        <v>560</v>
      </c>
      <c r="B560" t="str">
        <f ca="1">OFFSET(srt_raw!$A$1,(ROW()-1)*4+COLUMN()-1,0)</f>
        <v>00:30:19,360 --&gt; 00:30:22,560</v>
      </c>
      <c r="C560" t="str">
        <f ca="1">OFFSET(srt_raw!$A$1,(ROW()-1)*4+COLUMN()-1,0)</f>
        <v>而B等于P撇HD破坏了这一结构，</v>
      </c>
      <c r="D560" t="str">
        <f t="shared" ca="1" si="72"/>
        <v>00:30:19,360</v>
      </c>
      <c r="E560" t="str">
        <f t="shared" ca="1" si="73"/>
        <v>00:30:22,560</v>
      </c>
      <c r="F560" s="5" t="str">
        <f t="shared" ca="1" si="74"/>
        <v>00:30:19.360</v>
      </c>
      <c r="G560" s="1" t="str">
        <f t="shared" ca="1" si="75"/>
        <v>00:30:22.560</v>
      </c>
      <c r="H560" s="2">
        <f t="shared" ca="1" si="76"/>
        <v>3.7037037037036813E-5</v>
      </c>
      <c r="I560">
        <f t="shared" ca="1" si="77"/>
        <v>16</v>
      </c>
      <c r="J560" s="2">
        <f t="shared" ca="1" si="78"/>
        <v>2.3148148148148008E-6</v>
      </c>
      <c r="K560">
        <f ca="1">MATCH(ROW(),sub!D:D,0)</f>
        <v>199</v>
      </c>
      <c r="L560" t="b">
        <f t="shared" ca="1" si="79"/>
        <v>1</v>
      </c>
      <c r="M560" s="2">
        <f t="shared" ca="1" si="80"/>
        <v>2.3148148148148008E-6</v>
      </c>
    </row>
    <row r="561" spans="1:13" x14ac:dyDescent="0.3">
      <c r="A561">
        <f ca="1">OFFSET(srt_raw!$A$1,(ROW()-1)*4+COLUMN()-1,0)</f>
        <v>561</v>
      </c>
      <c r="B561" t="str">
        <f ca="1">OFFSET(srt_raw!$A$1,(ROW()-1)*4+COLUMN()-1,0)</f>
        <v>00:30:22,560 --&gt; 00:30:24,360</v>
      </c>
      <c r="C561" t="str">
        <f ca="1">OFFSET(srt_raw!$A$1,(ROW()-1)*4+COLUMN()-1,0)</f>
        <v>不满足这些性质。</v>
      </c>
      <c r="D561" t="str">
        <f t="shared" ca="1" si="72"/>
        <v>00:30:22,560</v>
      </c>
      <c r="E561" t="str">
        <f t="shared" ca="1" si="73"/>
        <v>00:30:24,360</v>
      </c>
      <c r="F561" s="5" t="str">
        <f t="shared" ca="1" si="74"/>
        <v>00:30:22.560</v>
      </c>
      <c r="G561" s="1" t="str">
        <f t="shared" ca="1" si="75"/>
        <v>00:30:24.360</v>
      </c>
      <c r="H561" s="2">
        <f t="shared" ca="1" si="76"/>
        <v>2.0833333333334508E-5</v>
      </c>
      <c r="I561">
        <f t="shared" ca="1" si="77"/>
        <v>8</v>
      </c>
      <c r="J561" s="2">
        <f t="shared" ca="1" si="78"/>
        <v>2.6041666666668135E-6</v>
      </c>
      <c r="K561" t="e">
        <f ca="1">MATCH(ROW(),sub!D:D,0)</f>
        <v>#N/A</v>
      </c>
      <c r="L561" t="b">
        <f t="shared" ca="1" si="79"/>
        <v>1</v>
      </c>
      <c r="M561" s="2">
        <f t="shared" ca="1" si="80"/>
        <v>2.6041666666668135E-6</v>
      </c>
    </row>
    <row r="562" spans="1:13" x14ac:dyDescent="0.3">
      <c r="A562">
        <f ca="1">OFFSET(srt_raw!$A$1,(ROW()-1)*4+COLUMN()-1,0)</f>
        <v>562</v>
      </c>
      <c r="B562" t="str">
        <f ca="1">OFFSET(srt_raw!$A$1,(ROW()-1)*4+COLUMN()-1,0)</f>
        <v>00:30:24,360 --&gt; 00:30:27,120</v>
      </c>
      <c r="C562" t="str">
        <f ca="1">OFFSET(srt_raw!$A$1,(ROW()-1)*4+COLUMN()-1,0)</f>
        <v>这里D等于GH不可逆，</v>
      </c>
      <c r="D562" t="str">
        <f t="shared" ca="1" si="72"/>
        <v>00:30:24,360</v>
      </c>
      <c r="E562" t="str">
        <f t="shared" ca="1" si="73"/>
        <v>00:30:27,120</v>
      </c>
      <c r="F562" s="5" t="str">
        <f t="shared" ca="1" si="74"/>
        <v>00:30:24.360</v>
      </c>
      <c r="G562" s="1" t="str">
        <f t="shared" ca="1" si="75"/>
        <v>00:30:27.120</v>
      </c>
      <c r="H562" s="2">
        <f t="shared" ca="1" si="76"/>
        <v>3.1944444444442083E-5</v>
      </c>
      <c r="I562">
        <f t="shared" ca="1" si="77"/>
        <v>11</v>
      </c>
      <c r="J562" s="2">
        <f t="shared" ca="1" si="78"/>
        <v>2.9040404040401893E-6</v>
      </c>
      <c r="K562" t="e">
        <f ca="1">MATCH(ROW(),sub!D:D,0)</f>
        <v>#N/A</v>
      </c>
      <c r="L562" t="b">
        <f t="shared" ca="1" si="79"/>
        <v>1</v>
      </c>
      <c r="M562" s="2">
        <f t="shared" ca="1" si="80"/>
        <v>2.9040404040401893E-6</v>
      </c>
    </row>
    <row r="563" spans="1:13" x14ac:dyDescent="0.3">
      <c r="A563">
        <f ca="1">OFFSET(srt_raw!$A$1,(ROW()-1)*4+COLUMN()-1,0)</f>
        <v>563</v>
      </c>
      <c r="B563" t="str">
        <f ca="1">OFFSET(srt_raw!$A$1,(ROW()-1)*4+COLUMN()-1,0)</f>
        <v>00:30:27,120 --&gt; 00:30:29,400</v>
      </c>
      <c r="C563" t="str">
        <f ca="1">OFFSET(srt_raw!$A$1,(ROW()-1)*4+COLUMN()-1,0)</f>
        <v>因此P撇H不唯一。</v>
      </c>
      <c r="D563" t="str">
        <f t="shared" ca="1" si="72"/>
        <v>00:30:27,120</v>
      </c>
      <c r="E563" t="str">
        <f t="shared" ca="1" si="73"/>
        <v>00:30:29,400</v>
      </c>
      <c r="F563" s="5" t="str">
        <f t="shared" ca="1" si="74"/>
        <v>00:30:27.120</v>
      </c>
      <c r="G563" s="1" t="str">
        <f t="shared" ca="1" si="75"/>
        <v>00:30:29.400</v>
      </c>
      <c r="H563" s="2">
        <f t="shared" ca="1" si="76"/>
        <v>2.6388888888891765E-5</v>
      </c>
      <c r="I563">
        <f t="shared" ca="1" si="77"/>
        <v>9</v>
      </c>
      <c r="J563" s="2">
        <f t="shared" ca="1" si="78"/>
        <v>2.9320987654324183E-6</v>
      </c>
      <c r="K563" t="e">
        <f ca="1">MATCH(ROW(),sub!D:D,0)</f>
        <v>#N/A</v>
      </c>
      <c r="L563" t="b">
        <f t="shared" ca="1" si="79"/>
        <v>0</v>
      </c>
      <c r="M563" s="2">
        <f t="shared" ca="1" si="80"/>
        <v>0</v>
      </c>
    </row>
    <row r="564" spans="1:13" x14ac:dyDescent="0.3">
      <c r="A564">
        <f ca="1">OFFSET(srt_raw!$A$1,(ROW()-1)*4+COLUMN()-1,0)</f>
        <v>564</v>
      </c>
      <c r="B564" t="str">
        <f ca="1">OFFSET(srt_raw!$A$1,(ROW()-1)*4+COLUMN()-1,0)</f>
        <v>00:30:30,880 --&gt; 00:30:31,400</v>
      </c>
      <c r="C564" t="str">
        <f ca="1">OFFSET(srt_raw!$A$1,(ROW()-1)*4+COLUMN()-1,0)</f>
        <v>不过，</v>
      </c>
      <c r="D564" t="str">
        <f t="shared" ca="1" si="72"/>
        <v>00:30:30,880</v>
      </c>
      <c r="E564" t="str">
        <f t="shared" ca="1" si="73"/>
        <v>00:30:31,400</v>
      </c>
      <c r="F564" s="5" t="str">
        <f t="shared" ca="1" si="74"/>
        <v>00:30:30.880</v>
      </c>
      <c r="G564" s="1" t="str">
        <f t="shared" ca="1" si="75"/>
        <v>00:30:31.400</v>
      </c>
      <c r="H564" s="2">
        <f t="shared" ca="1" si="76"/>
        <v>6.0185185185163137E-6</v>
      </c>
      <c r="I564">
        <f t="shared" ca="1" si="77"/>
        <v>3</v>
      </c>
      <c r="J564" s="2">
        <f t="shared" ca="1" si="78"/>
        <v>2.0061728395054379E-6</v>
      </c>
      <c r="K564">
        <f ca="1">MATCH(ROW(),sub!D:D,0)</f>
        <v>200</v>
      </c>
      <c r="L564" t="b">
        <f t="shared" ca="1" si="79"/>
        <v>1</v>
      </c>
      <c r="M564" s="2">
        <f t="shared" ca="1" si="80"/>
        <v>2.0061728395054379E-6</v>
      </c>
    </row>
    <row r="565" spans="1:13" x14ac:dyDescent="0.3">
      <c r="A565">
        <f ca="1">OFFSET(srt_raw!$A$1,(ROW()-1)*4+COLUMN()-1,0)</f>
        <v>565</v>
      </c>
      <c r="B565" t="str">
        <f ca="1">OFFSET(srt_raw!$A$1,(ROW()-1)*4+COLUMN()-1,0)</f>
        <v>00:30:31,400 --&gt; 00:30:32,640</v>
      </c>
      <c r="C565" t="str">
        <f ca="1">OFFSET(srt_raw!$A$1,(ROW()-1)*4+COLUMN()-1,0)</f>
        <v>当G等于E时，</v>
      </c>
      <c r="D565" t="str">
        <f t="shared" ca="1" si="72"/>
        <v>00:30:31,400</v>
      </c>
      <c r="E565" t="str">
        <f t="shared" ca="1" si="73"/>
        <v>00:30:32,640</v>
      </c>
      <c r="F565" s="5" t="str">
        <f t="shared" ca="1" si="74"/>
        <v>00:30:31.400</v>
      </c>
      <c r="G565" s="1" t="str">
        <f t="shared" ca="1" si="75"/>
        <v>00:30:32.640</v>
      </c>
      <c r="H565" s="2">
        <f t="shared" ca="1" si="76"/>
        <v>1.4351851851852199E-5</v>
      </c>
      <c r="I565">
        <f t="shared" ca="1" si="77"/>
        <v>7</v>
      </c>
      <c r="J565" s="2">
        <f t="shared" ca="1" si="78"/>
        <v>2.0502645502646E-6</v>
      </c>
      <c r="K565" t="e">
        <f ca="1">MATCH(ROW(),sub!D:D,0)</f>
        <v>#N/A</v>
      </c>
      <c r="L565" t="b">
        <f t="shared" ca="1" si="79"/>
        <v>1</v>
      </c>
      <c r="M565" s="2">
        <f t="shared" ca="1" si="80"/>
        <v>2.0502645502646E-6</v>
      </c>
    </row>
    <row r="566" spans="1:13" x14ac:dyDescent="0.3">
      <c r="A566">
        <f ca="1">OFFSET(srt_raw!$A$1,(ROW()-1)*4+COLUMN()-1,0)</f>
        <v>566</v>
      </c>
      <c r="B566" t="str">
        <f ca="1">OFFSET(srt_raw!$A$1,(ROW()-1)*4+COLUMN()-1,0)</f>
        <v>00:30:32,640 --&gt; 00:30:34,200</v>
      </c>
      <c r="C566" t="str">
        <f ca="1">OFFSET(srt_raw!$A$1,(ROW()-1)*4+COLUMN()-1,0)</f>
        <v>这种解法是可行的。</v>
      </c>
      <c r="D566" t="str">
        <f t="shared" ca="1" si="72"/>
        <v>00:30:32,640</v>
      </c>
      <c r="E566" t="str">
        <f t="shared" ca="1" si="73"/>
        <v>00:30:34,200</v>
      </c>
      <c r="F566" s="5" t="str">
        <f t="shared" ca="1" si="74"/>
        <v>00:30:32.640</v>
      </c>
      <c r="G566" s="1" t="str">
        <f t="shared" ca="1" si="75"/>
        <v>00:30:34.200</v>
      </c>
      <c r="H566" s="2">
        <f t="shared" ca="1" si="76"/>
        <v>1.805555555555588E-5</v>
      </c>
      <c r="I566">
        <f t="shared" ca="1" si="77"/>
        <v>9</v>
      </c>
      <c r="J566" s="2">
        <f t="shared" ca="1" si="78"/>
        <v>2.0061728395062087E-6</v>
      </c>
      <c r="K566" t="e">
        <f ca="1">MATCH(ROW(),sub!D:D,0)</f>
        <v>#N/A</v>
      </c>
      <c r="L566" t="b">
        <f t="shared" ca="1" si="79"/>
        <v>1</v>
      </c>
      <c r="M566" s="2">
        <f t="shared" ca="1" si="80"/>
        <v>2.0061728395062087E-6</v>
      </c>
    </row>
    <row r="567" spans="1:13" x14ac:dyDescent="0.3">
      <c r="A567">
        <f ca="1">OFFSET(srt_raw!$A$1,(ROW()-1)*4+COLUMN()-1,0)</f>
        <v>567</v>
      </c>
      <c r="B567" t="str">
        <f ca="1">OFFSET(srt_raw!$A$1,(ROW()-1)*4+COLUMN()-1,0)</f>
        <v>00:30:34,560 --&gt; 00:30:37,840</v>
      </c>
      <c r="C567" t="str">
        <f ca="1">OFFSET(srt_raw!$A$1,(ROW()-1)*4+COLUMN()-1,0)</f>
        <v>尽管这个方法首先需要求出完整的矩阵B，</v>
      </c>
      <c r="D567" t="str">
        <f t="shared" ca="1" si="72"/>
        <v>00:30:34,560</v>
      </c>
      <c r="E567" t="str">
        <f t="shared" ca="1" si="73"/>
        <v>00:30:37,840</v>
      </c>
      <c r="F567" s="5" t="str">
        <f t="shared" ca="1" si="74"/>
        <v>00:30:34.560</v>
      </c>
      <c r="G567" s="1" t="str">
        <f t="shared" ca="1" si="75"/>
        <v>00:30:37.840</v>
      </c>
      <c r="H567" s="2">
        <f t="shared" ca="1" si="76"/>
        <v>3.7962962962961866E-5</v>
      </c>
      <c r="I567">
        <f t="shared" ca="1" si="77"/>
        <v>19</v>
      </c>
      <c r="J567" s="2">
        <f t="shared" ca="1" si="78"/>
        <v>1.9980506822611509E-6</v>
      </c>
      <c r="K567" t="e">
        <f ca="1">MATCH(ROW(),sub!D:D,0)</f>
        <v>#N/A</v>
      </c>
      <c r="L567" t="b">
        <f t="shared" ca="1" si="79"/>
        <v>0</v>
      </c>
      <c r="M567" s="2">
        <f t="shared" ca="1" si="80"/>
        <v>0</v>
      </c>
    </row>
    <row r="568" spans="1:13" x14ac:dyDescent="0.3">
      <c r="A568">
        <f ca="1">OFFSET(srt_raw!$A$1,(ROW()-1)*4+COLUMN()-1,0)</f>
        <v>568</v>
      </c>
      <c r="B568" t="str">
        <f ca="1">OFFSET(srt_raw!$A$1,(ROW()-1)*4+COLUMN()-1,0)</f>
        <v>00:30:39,360 --&gt; 00:30:42,120</v>
      </c>
      <c r="C568" t="str">
        <f ca="1">OFFSET(srt_raw!$A$1,(ROW()-1)*4+COLUMN()-1,0)</f>
        <v>同时因为矩阵B不是三角结构，</v>
      </c>
      <c r="D568" t="str">
        <f t="shared" ca="1" si="72"/>
        <v>00:30:39,360</v>
      </c>
      <c r="E568" t="str">
        <f t="shared" ca="1" si="73"/>
        <v>00:30:42,120</v>
      </c>
      <c r="F568" s="5" t="str">
        <f t="shared" ca="1" si="74"/>
        <v>00:30:39.360</v>
      </c>
      <c r="G568" s="1" t="str">
        <f t="shared" ca="1" si="75"/>
        <v>00:30:42.120</v>
      </c>
      <c r="H568" s="2">
        <f t="shared" ca="1" si="76"/>
        <v>3.1944444444442083E-5</v>
      </c>
      <c r="I568">
        <f t="shared" ca="1" si="77"/>
        <v>14</v>
      </c>
      <c r="J568" s="2">
        <f t="shared" ca="1" si="78"/>
        <v>2.2817460317458632E-6</v>
      </c>
      <c r="K568">
        <f ca="1">MATCH(ROW(),sub!D:D,0)</f>
        <v>201</v>
      </c>
      <c r="L568" t="b">
        <f t="shared" ca="1" si="79"/>
        <v>1</v>
      </c>
      <c r="M568" s="2">
        <f t="shared" ca="1" si="80"/>
        <v>2.2817460317458632E-6</v>
      </c>
    </row>
    <row r="569" spans="1:13" x14ac:dyDescent="0.3">
      <c r="A569">
        <f ca="1">OFFSET(srt_raw!$A$1,(ROW()-1)*4+COLUMN()-1,0)</f>
        <v>569</v>
      </c>
      <c r="B569" t="str">
        <f ca="1">OFFSET(srt_raw!$A$1,(ROW()-1)*4+COLUMN()-1,0)</f>
        <v>00:30:42,120 --&gt; 00:30:45,520</v>
      </c>
      <c r="C569" t="str">
        <f ca="1">OFFSET(srt_raw!$A$1,(ROW()-1)*4+COLUMN()-1,0)</f>
        <v>还需标记每行首个唯一的元素的位置来选择。</v>
      </c>
      <c r="D569" t="str">
        <f t="shared" ca="1" si="72"/>
        <v>00:30:42,120</v>
      </c>
      <c r="E569" t="str">
        <f t="shared" ca="1" si="73"/>
        <v>00:30:45,520</v>
      </c>
      <c r="F569" s="5" t="str">
        <f t="shared" ca="1" si="74"/>
        <v>00:30:42.120</v>
      </c>
      <c r="G569" s="1" t="str">
        <f t="shared" ca="1" si="75"/>
        <v>00:30:45.520</v>
      </c>
      <c r="H569" s="2">
        <f t="shared" ca="1" si="76"/>
        <v>3.9351851851852915E-5</v>
      </c>
      <c r="I569">
        <f t="shared" ca="1" si="77"/>
        <v>20</v>
      </c>
      <c r="J569" s="2">
        <f t="shared" ca="1" si="78"/>
        <v>1.9675925925926459E-6</v>
      </c>
      <c r="K569" t="e">
        <f ca="1">MATCH(ROW(),sub!D:D,0)</f>
        <v>#N/A</v>
      </c>
      <c r="L569" t="b">
        <f t="shared" ca="1" si="79"/>
        <v>1</v>
      </c>
      <c r="M569" s="2">
        <f t="shared" ca="1" si="80"/>
        <v>1.9675925925926459E-6</v>
      </c>
    </row>
    <row r="570" spans="1:13" x14ac:dyDescent="0.3">
      <c r="A570">
        <f ca="1">OFFSET(srt_raw!$A$1,(ROW()-1)*4+COLUMN()-1,0)</f>
        <v>570</v>
      </c>
      <c r="B570" t="str">
        <f ca="1">OFFSET(srt_raw!$A$1,(ROW()-1)*4+COLUMN()-1,0)</f>
        <v>00:30:46,000 --&gt; 00:30:46,600</v>
      </c>
      <c r="C570" t="str">
        <f ca="1">OFFSET(srt_raw!$A$1,(ROW()-1)*4+COLUMN()-1,0)</f>
        <v>因此，</v>
      </c>
      <c r="D570" t="str">
        <f t="shared" ca="1" si="72"/>
        <v>00:30:46,000</v>
      </c>
      <c r="E570" t="str">
        <f t="shared" ca="1" si="73"/>
        <v>00:30:46,600</v>
      </c>
      <c r="F570" s="5" t="str">
        <f t="shared" ca="1" si="74"/>
        <v>00:30:46.000</v>
      </c>
      <c r="G570" s="1" t="str">
        <f t="shared" ca="1" si="75"/>
        <v>00:30:46.600</v>
      </c>
      <c r="H570" s="2">
        <f t="shared" ca="1" si="76"/>
        <v>6.9444444444448361E-6</v>
      </c>
      <c r="I570">
        <f t="shared" ca="1" si="77"/>
        <v>3</v>
      </c>
      <c r="J570" s="2">
        <f t="shared" ca="1" si="78"/>
        <v>2.3148148148149452E-6</v>
      </c>
      <c r="K570" t="e">
        <f ca="1">MATCH(ROW(),sub!D:D,0)</f>
        <v>#N/A</v>
      </c>
      <c r="L570" t="b">
        <f t="shared" ca="1" si="79"/>
        <v>1</v>
      </c>
      <c r="M570" s="2">
        <f t="shared" ca="1" si="80"/>
        <v>2.3148148148149452E-6</v>
      </c>
    </row>
    <row r="571" spans="1:13" x14ac:dyDescent="0.3">
      <c r="A571">
        <f ca="1">OFFSET(srt_raw!$A$1,(ROW()-1)*4+COLUMN()-1,0)</f>
        <v>571</v>
      </c>
      <c r="B571" t="str">
        <f ca="1">OFFSET(srt_raw!$A$1,(ROW()-1)*4+COLUMN()-1,0)</f>
        <v>00:30:46,600 --&gt; 00:30:50,800</v>
      </c>
      <c r="C571" t="str">
        <f ca="1">OFFSET(srt_raw!$A$1,(ROW()-1)*4+COLUMN()-1,0)</f>
        <v>直接计算QHY会更加方便。</v>
      </c>
      <c r="D571" t="str">
        <f t="shared" ca="1" si="72"/>
        <v>00:30:46,600</v>
      </c>
      <c r="E571" t="str">
        <f t="shared" ca="1" si="73"/>
        <v>00:30:50,800</v>
      </c>
      <c r="F571" s="5" t="str">
        <f t="shared" ca="1" si="74"/>
        <v>00:30:46.600</v>
      </c>
      <c r="G571" s="1" t="str">
        <f t="shared" ca="1" si="75"/>
        <v>00:30:50.800</v>
      </c>
      <c r="H571" s="2">
        <f t="shared" ca="1" si="76"/>
        <v>4.8611111111110383E-5</v>
      </c>
      <c r="I571">
        <f t="shared" ca="1" si="77"/>
        <v>13</v>
      </c>
      <c r="J571" s="2">
        <f t="shared" ca="1" si="78"/>
        <v>3.7393162393161835E-6</v>
      </c>
      <c r="K571" t="e">
        <f ca="1">MATCH(ROW(),sub!D:D,0)</f>
        <v>#N/A</v>
      </c>
      <c r="L571" t="b">
        <f t="shared" ca="1" si="79"/>
        <v>0</v>
      </c>
      <c r="M571" s="2">
        <f t="shared" ca="1" si="80"/>
        <v>0</v>
      </c>
    </row>
    <row r="572" spans="1:13" x14ac:dyDescent="0.3">
      <c r="A572">
        <f ca="1">OFFSET(srt_raw!$A$1,(ROW()-1)*4+COLUMN()-1,0)</f>
        <v>572</v>
      </c>
      <c r="B572" t="str">
        <f ca="1">OFFSET(srt_raw!$A$1,(ROW()-1)*4+COLUMN()-1,0)</f>
        <v>00:30:50,800 --&gt; 00:30:51,320</v>
      </c>
      <c r="C572" t="str">
        <f ca="1">OFFSET(srt_raw!$A$1,(ROW()-1)*4+COLUMN()-1,0)</f>
        <v>最终，</v>
      </c>
      <c r="D572" t="str">
        <f t="shared" ca="1" si="72"/>
        <v>00:30:50,800</v>
      </c>
      <c r="E572" t="str">
        <f t="shared" ca="1" si="73"/>
        <v>00:30:51,320</v>
      </c>
      <c r="F572" s="5" t="str">
        <f t="shared" ca="1" si="74"/>
        <v>00:30:50.800</v>
      </c>
      <c r="G572" s="1" t="str">
        <f t="shared" ca="1" si="75"/>
        <v>00:30:51.320</v>
      </c>
      <c r="H572" s="2">
        <f t="shared" ca="1" si="76"/>
        <v>6.0185185185197831E-6</v>
      </c>
      <c r="I572">
        <f t="shared" ca="1" si="77"/>
        <v>3</v>
      </c>
      <c r="J572" s="2">
        <f t="shared" ca="1" si="78"/>
        <v>2.0061728395065945E-6</v>
      </c>
      <c r="K572">
        <f ca="1">MATCH(ROW(),sub!D:D,0)</f>
        <v>202</v>
      </c>
      <c r="L572" t="b">
        <f t="shared" ca="1" si="79"/>
        <v>1</v>
      </c>
      <c r="M572" s="2">
        <f t="shared" ca="1" si="80"/>
        <v>2.0061728395065945E-6</v>
      </c>
    </row>
    <row r="573" spans="1:13" x14ac:dyDescent="0.3">
      <c r="A573">
        <f ca="1">OFFSET(srt_raw!$A$1,(ROW()-1)*4+COLUMN()-1,0)</f>
        <v>573</v>
      </c>
      <c r="B573" t="str">
        <f ca="1">OFFSET(srt_raw!$A$1,(ROW()-1)*4+COLUMN()-1,0)</f>
        <v>00:30:51,320 --&gt; 00:30:54,040</v>
      </c>
      <c r="C573" t="str">
        <f ca="1">OFFSET(srt_raw!$A$1,(ROW()-1)*4+COLUMN()-1,0)</f>
        <v>我们通过欧几里德法和反向叠加法。</v>
      </c>
      <c r="D573" t="str">
        <f t="shared" ca="1" si="72"/>
        <v>00:30:51,320</v>
      </c>
      <c r="E573" t="str">
        <f t="shared" ca="1" si="73"/>
        <v>00:30:54,040</v>
      </c>
      <c r="F573" s="5" t="str">
        <f t="shared" ca="1" si="74"/>
        <v>00:30:51.320</v>
      </c>
      <c r="G573" s="1" t="str">
        <f t="shared" ca="1" si="75"/>
        <v>00:30:54.040</v>
      </c>
      <c r="H573" s="2">
        <f t="shared" ca="1" si="76"/>
        <v>3.1481481481479556E-5</v>
      </c>
      <c r="I573">
        <f t="shared" ca="1" si="77"/>
        <v>16</v>
      </c>
      <c r="J573" s="2">
        <f t="shared" ca="1" si="78"/>
        <v>1.9675925925924723E-6</v>
      </c>
      <c r="K573" t="e">
        <f ca="1">MATCH(ROW(),sub!D:D,0)</f>
        <v>#N/A</v>
      </c>
      <c r="L573" t="b">
        <f t="shared" ca="1" si="79"/>
        <v>1</v>
      </c>
      <c r="M573" s="2">
        <f t="shared" ca="1" si="80"/>
        <v>1.9675925925924723E-6</v>
      </c>
    </row>
    <row r="574" spans="1:13" x14ac:dyDescent="0.3">
      <c r="A574">
        <f ca="1">OFFSET(srt_raw!$A$1,(ROW()-1)*4+COLUMN()-1,0)</f>
        <v>574</v>
      </c>
      <c r="B574" t="str">
        <f ca="1">OFFSET(srt_raw!$A$1,(ROW()-1)*4+COLUMN()-1,0)</f>
        <v>00:30:54,240 --&gt; 00:30:56,400</v>
      </c>
      <c r="C574" t="str">
        <f ca="1">OFFSET(srt_raw!$A$1,(ROW()-1)*4+COLUMN()-1,0)</f>
        <v>完成了BX等于Y的求解，</v>
      </c>
      <c r="D574" t="str">
        <f t="shared" ca="1" si="72"/>
        <v>00:30:54,240</v>
      </c>
      <c r="E574" t="str">
        <f t="shared" ca="1" si="73"/>
        <v>00:30:56,400</v>
      </c>
      <c r="F574" s="5" t="str">
        <f t="shared" ca="1" si="74"/>
        <v>00:30:54.240</v>
      </c>
      <c r="G574" s="1" t="str">
        <f t="shared" ca="1" si="75"/>
        <v>00:30:56.400</v>
      </c>
      <c r="H574" s="2">
        <f t="shared" ca="1" si="76"/>
        <v>2.5000000000000716E-5</v>
      </c>
      <c r="I574">
        <f t="shared" ca="1" si="77"/>
        <v>12</v>
      </c>
      <c r="J574" s="2">
        <f t="shared" ca="1" si="78"/>
        <v>2.0833333333333931E-6</v>
      </c>
      <c r="K574" t="e">
        <f ca="1">MATCH(ROW(),sub!D:D,0)</f>
        <v>#N/A</v>
      </c>
      <c r="L574" t="b">
        <f t="shared" ca="1" si="79"/>
        <v>1</v>
      </c>
      <c r="M574" s="2">
        <f t="shared" ca="1" si="80"/>
        <v>2.0833333333333931E-6</v>
      </c>
    </row>
    <row r="575" spans="1:13" x14ac:dyDescent="0.3">
      <c r="A575">
        <f ca="1">OFFSET(srt_raw!$A$1,(ROW()-1)*4+COLUMN()-1,0)</f>
        <v>575</v>
      </c>
      <c r="B575" t="str">
        <f ca="1">OFFSET(srt_raw!$A$1,(ROW()-1)*4+COLUMN()-1,0)</f>
        <v>00:30:56,480 --&gt; 00:30:58,440</v>
      </c>
      <c r="C575" t="str">
        <f ca="1">OFFSET(srt_raw!$A$1,(ROW()-1)*4+COLUMN()-1,0)</f>
        <v>实现了点灯游戏哦，</v>
      </c>
      <c r="D575" t="str">
        <f t="shared" ca="1" si="72"/>
        <v>00:30:56,480</v>
      </c>
      <c r="E575" t="str">
        <f t="shared" ca="1" si="73"/>
        <v>00:30:58,440</v>
      </c>
      <c r="F575" s="5" t="str">
        <f t="shared" ca="1" si="74"/>
        <v>00:30:56.480</v>
      </c>
      <c r="G575" s="1" t="str">
        <f t="shared" ca="1" si="75"/>
        <v>00:30:58.440</v>
      </c>
      <c r="H575" s="2">
        <f t="shared" ca="1" si="76"/>
        <v>2.2685185185184614E-5</v>
      </c>
      <c r="I575">
        <f t="shared" ca="1" si="77"/>
        <v>9</v>
      </c>
      <c r="J575" s="2">
        <f t="shared" ca="1" si="78"/>
        <v>2.5205761316871792E-6</v>
      </c>
      <c r="K575" t="e">
        <f ca="1">MATCH(ROW(),sub!D:D,0)</f>
        <v>#N/A</v>
      </c>
      <c r="L575" t="b">
        <f t="shared" ca="1" si="79"/>
        <v>1</v>
      </c>
      <c r="M575" s="2">
        <f t="shared" ca="1" si="80"/>
        <v>2.5205761316871792E-6</v>
      </c>
    </row>
    <row r="576" spans="1:13" x14ac:dyDescent="0.3">
      <c r="A576">
        <f ca="1">OFFSET(srt_raw!$A$1,(ROW()-1)*4+COLUMN()-1,0)</f>
        <v>576</v>
      </c>
      <c r="B576" t="str">
        <f ca="1">OFFSET(srt_raw!$A$1,(ROW()-1)*4+COLUMN()-1,0)</f>
        <v>00:30:58,440 --&gt; 00:31:02,360</v>
      </c>
      <c r="C576" t="str">
        <f ca="1">OFFSET(srt_raw!$A$1,(ROW()-1)*4+COLUMN()-1,0)</f>
        <v>N的二次方的时间复杂度的算法。</v>
      </c>
      <c r="D576" t="str">
        <f t="shared" ca="1" si="72"/>
        <v>00:30:58,440</v>
      </c>
      <c r="E576" t="str">
        <f t="shared" ca="1" si="73"/>
        <v>00:31:02,360</v>
      </c>
      <c r="F576" s="5" t="str">
        <f t="shared" ca="1" si="74"/>
        <v>00:30:58.440</v>
      </c>
      <c r="G576" s="1" t="str">
        <f t="shared" ca="1" si="75"/>
        <v>00:31:02.360</v>
      </c>
      <c r="H576" s="2">
        <f t="shared" ca="1" si="76"/>
        <v>4.5370370370369228E-5</v>
      </c>
      <c r="I576">
        <f t="shared" ca="1" si="77"/>
        <v>15</v>
      </c>
      <c r="J576" s="2">
        <f t="shared" ca="1" si="78"/>
        <v>3.0246913580246154E-6</v>
      </c>
      <c r="K576" t="e">
        <f ca="1">MATCH(ROW(),sub!D:D,0)</f>
        <v>#N/A</v>
      </c>
      <c r="L576" t="b">
        <f t="shared" ca="1" si="79"/>
        <v>0</v>
      </c>
      <c r="M576" s="2">
        <f t="shared" ca="1" si="80"/>
        <v>0</v>
      </c>
    </row>
    <row r="577" spans="1:13" x14ac:dyDescent="0.3">
      <c r="A577">
        <f ca="1">OFFSET(srt_raw!$A$1,(ROW()-1)*4+COLUMN()-1,0)</f>
        <v>577</v>
      </c>
      <c r="B577" t="str">
        <f ca="1">OFFSET(srt_raw!$A$1,(ROW()-1)*4+COLUMN()-1,0)</f>
        <v>00:31:02,360 --&gt; 00:31:04,080</v>
      </c>
      <c r="C577" t="str">
        <f ca="1">OFFSET(srt_raw!$A$1,(ROW()-1)*4+COLUMN()-1,0)</f>
        <v>向量和矩阵的乘法，</v>
      </c>
      <c r="D577" t="str">
        <f t="shared" ref="D577:D583" ca="1" si="81">LEFT(B577,12)</f>
        <v>00:31:02,360</v>
      </c>
      <c r="E577" t="str">
        <f t="shared" ref="E577:E583" ca="1" si="82">RIGHT(B577,12)</f>
        <v>00:31:04,080</v>
      </c>
      <c r="F577" s="5" t="str">
        <f t="shared" ref="F577:F583" ca="1" si="83">SUBSTITUTE(D577,",",".")</f>
        <v>00:31:02.360</v>
      </c>
      <c r="G577" s="1" t="str">
        <f t="shared" ref="G577:G583" ca="1" si="84">SUBSTITUTE(E577,",",".")</f>
        <v>00:31:04.080</v>
      </c>
      <c r="H577" s="2">
        <f t="shared" ref="H577:H583" ca="1" si="85">G577-F577</f>
        <v>1.9907407407409455E-5</v>
      </c>
      <c r="I577">
        <f t="shared" ref="I577:I583" ca="1" si="86">LEN(C577)</f>
        <v>9</v>
      </c>
      <c r="J577" s="2">
        <f t="shared" ref="J577:J583" ca="1" si="87">H577/I577</f>
        <v>2.2119341563788285E-6</v>
      </c>
      <c r="K577">
        <f ca="1">MATCH(ROW(),sub!D:D,0)</f>
        <v>203</v>
      </c>
      <c r="L577" t="b">
        <f t="shared" ref="L577:L583" ca="1" si="88">ISERROR(K578)</f>
        <v>1</v>
      </c>
      <c r="M577" s="2">
        <f t="shared" ref="M577:M583" ca="1" si="89">IF(L577,J577,0)</f>
        <v>2.2119341563788285E-6</v>
      </c>
    </row>
    <row r="578" spans="1:13" x14ac:dyDescent="0.3">
      <c r="A578">
        <f ca="1">OFFSET(srt_raw!$A$1,(ROW()-1)*4+COLUMN()-1,0)</f>
        <v>578</v>
      </c>
      <c r="B578" t="str">
        <f ca="1">OFFSET(srt_raw!$A$1,(ROW()-1)*4+COLUMN()-1,0)</f>
        <v>00:31:04,080 --&gt; 00:31:05,360</v>
      </c>
      <c r="C578" t="str">
        <f ca="1">OFFSET(srt_raw!$A$1,(ROW()-1)*4+COLUMN()-1,0)</f>
        <v>欧几里德算法，</v>
      </c>
      <c r="D578" t="str">
        <f t="shared" ca="1" si="81"/>
        <v>00:31:04,080</v>
      </c>
      <c r="E578" t="str">
        <f t="shared" ca="1" si="82"/>
        <v>00:31:05,360</v>
      </c>
      <c r="F578" s="5" t="str">
        <f t="shared" ca="1" si="83"/>
        <v>00:31:04.080</v>
      </c>
      <c r="G578" s="1" t="str">
        <f t="shared" ca="1" si="84"/>
        <v>00:31:05.360</v>
      </c>
      <c r="H578" s="2">
        <f t="shared" ca="1" si="85"/>
        <v>1.4814814814814725E-5</v>
      </c>
      <c r="I578">
        <f t="shared" ca="1" si="86"/>
        <v>7</v>
      </c>
      <c r="J578" s="2">
        <f t="shared" ca="1" si="87"/>
        <v>2.1164021164021037E-6</v>
      </c>
      <c r="K578" t="e">
        <f ca="1">MATCH(ROW(),sub!D:D,0)</f>
        <v>#N/A</v>
      </c>
      <c r="L578" t="b">
        <f t="shared" ca="1" si="88"/>
        <v>1</v>
      </c>
      <c r="M578" s="2">
        <f t="shared" ca="1" si="89"/>
        <v>2.1164021164021037E-6</v>
      </c>
    </row>
    <row r="579" spans="1:13" x14ac:dyDescent="0.3">
      <c r="A579">
        <f ca="1">OFFSET(srt_raw!$A$1,(ROW()-1)*4+COLUMN()-1,0)</f>
        <v>579</v>
      </c>
      <c r="B579" t="str">
        <f ca="1">OFFSET(srt_raw!$A$1,(ROW()-1)*4+COLUMN()-1,0)</f>
        <v>00:31:05,360 --&gt; 00:31:06,640</v>
      </c>
      <c r="C579" t="str">
        <f ca="1">OFFSET(srt_raw!$A$1,(ROW()-1)*4+COLUMN()-1,0)</f>
        <v>逆向校园法，</v>
      </c>
      <c r="D579" t="str">
        <f t="shared" ca="1" si="81"/>
        <v>00:31:05,360</v>
      </c>
      <c r="E579" t="str">
        <f t="shared" ca="1" si="82"/>
        <v>00:31:06,640</v>
      </c>
      <c r="F579" s="5" t="str">
        <f t="shared" ca="1" si="83"/>
        <v>00:31:05.360</v>
      </c>
      <c r="G579" s="1" t="str">
        <f t="shared" ca="1" si="84"/>
        <v>00:31:06.640</v>
      </c>
      <c r="H579" s="2">
        <f t="shared" ca="1" si="85"/>
        <v>1.4814814814814725E-5</v>
      </c>
      <c r="I579">
        <f t="shared" ca="1" si="86"/>
        <v>6</v>
      </c>
      <c r="J579" s="2">
        <f t="shared" ca="1" si="87"/>
        <v>2.469135802469121E-6</v>
      </c>
      <c r="K579" t="e">
        <f ca="1">MATCH(ROW(),sub!D:D,0)</f>
        <v>#N/A</v>
      </c>
      <c r="L579" t="b">
        <f t="shared" ca="1" si="88"/>
        <v>1</v>
      </c>
      <c r="M579" s="2">
        <f t="shared" ca="1" si="89"/>
        <v>2.469135802469121E-6</v>
      </c>
    </row>
    <row r="580" spans="1:13" x14ac:dyDescent="0.3">
      <c r="A580">
        <f ca="1">OFFSET(srt_raw!$A$1,(ROW()-1)*4+COLUMN()-1,0)</f>
        <v>580</v>
      </c>
      <c r="B580" t="str">
        <f ca="1">OFFSET(srt_raw!$A$1,(ROW()-1)*4+COLUMN()-1,0)</f>
        <v>00:31:06,640 --&gt; 00:31:10,200</v>
      </c>
      <c r="C580" t="str">
        <f ca="1">OFFSET(srt_raw!$A$1,(ROW()-1)*4+COLUMN()-1,0)</f>
        <v>理论上通过卷积FFT或牛顿迭代法，</v>
      </c>
      <c r="D580" t="str">
        <f t="shared" ca="1" si="81"/>
        <v>00:31:06,640</v>
      </c>
      <c r="E580" t="str">
        <f t="shared" ca="1" si="82"/>
        <v>00:31:10,200</v>
      </c>
      <c r="F580" s="5" t="str">
        <f t="shared" ca="1" si="83"/>
        <v>00:31:06.640</v>
      </c>
      <c r="G580" s="1" t="str">
        <f t="shared" ca="1" si="84"/>
        <v>00:31:10.200</v>
      </c>
      <c r="H580" s="2">
        <f t="shared" ca="1" si="85"/>
        <v>4.1203703703703021E-5</v>
      </c>
      <c r="I580">
        <f t="shared" ca="1" si="86"/>
        <v>17</v>
      </c>
      <c r="J580" s="2">
        <f t="shared" ca="1" si="87"/>
        <v>2.4237472766884131E-6</v>
      </c>
      <c r="K580" t="e">
        <f ca="1">MATCH(ROW(),sub!D:D,0)</f>
        <v>#N/A</v>
      </c>
      <c r="L580" t="b">
        <f t="shared" ca="1" si="88"/>
        <v>1</v>
      </c>
      <c r="M580" s="2">
        <f t="shared" ca="1" si="89"/>
        <v>2.4237472766884131E-6</v>
      </c>
    </row>
    <row r="581" spans="1:13" x14ac:dyDescent="0.3">
      <c r="A581">
        <f ca="1">OFFSET(srt_raw!$A$1,(ROW()-1)*4+COLUMN()-1,0)</f>
        <v>581</v>
      </c>
      <c r="B581" t="str">
        <f ca="1">OFFSET(srt_raw!$A$1,(ROW()-1)*4+COLUMN()-1,0)</f>
        <v>00:31:10,200 --&gt; 00:31:14,720</v>
      </c>
      <c r="C581" t="str">
        <f ca="1">OFFSET(srt_raw!$A$1,(ROW()-1)*4+COLUMN()-1,0)</f>
        <v>是有可能优化到O分成logN的。</v>
      </c>
      <c r="D581" t="str">
        <f t="shared" ca="1" si="81"/>
        <v>00:31:10,200</v>
      </c>
      <c r="E581" t="str">
        <f t="shared" ca="1" si="82"/>
        <v>00:31:14,720</v>
      </c>
      <c r="F581" s="5" t="str">
        <f t="shared" ca="1" si="83"/>
        <v>00:31:10.200</v>
      </c>
      <c r="G581" s="1" t="str">
        <f t="shared" ca="1" si="84"/>
        <v>00:31:14.720</v>
      </c>
      <c r="H581" s="2">
        <f t="shared" ca="1" si="85"/>
        <v>5.2314814814814065E-5</v>
      </c>
      <c r="I581">
        <f t="shared" ca="1" si="86"/>
        <v>16</v>
      </c>
      <c r="J581" s="2">
        <f t="shared" ca="1" si="87"/>
        <v>3.269675925925879E-6</v>
      </c>
      <c r="K581" t="e">
        <f ca="1">MATCH(ROW(),sub!D:D,0)</f>
        <v>#N/A</v>
      </c>
      <c r="L581" t="b">
        <f t="shared" ca="1" si="88"/>
        <v>0</v>
      </c>
      <c r="M581" s="2">
        <f t="shared" ca="1" si="89"/>
        <v>0</v>
      </c>
    </row>
    <row r="582" spans="1:13" x14ac:dyDescent="0.3">
      <c r="A582">
        <f ca="1">OFFSET(srt_raw!$A$1,(ROW()-1)*4+COLUMN()-1,0)</f>
        <v>582</v>
      </c>
      <c r="B582" t="str">
        <f ca="1">OFFSET(srt_raw!$A$1,(ROW()-1)*4+COLUMN()-1,0)</f>
        <v>00:31:14,720 --&gt; 00:31:17,040</v>
      </c>
      <c r="C582" t="str">
        <f ca="1">OFFSET(srt_raw!$A$1,(ROW()-1)*4+COLUMN()-1,0)</f>
        <v>考虑到UP主信号与系统，</v>
      </c>
      <c r="D582" t="str">
        <f t="shared" ca="1" si="81"/>
        <v>00:31:14,720</v>
      </c>
      <c r="E582" t="str">
        <f t="shared" ca="1" si="82"/>
        <v>00:31:17,040</v>
      </c>
      <c r="F582" s="5" t="str">
        <f t="shared" ca="1" si="83"/>
        <v>00:31:14.720</v>
      </c>
      <c r="G582" s="1" t="str">
        <f t="shared" ca="1" si="84"/>
        <v>00:31:17.040</v>
      </c>
      <c r="H582" s="2">
        <f t="shared" ca="1" si="85"/>
        <v>2.6851851851854291E-5</v>
      </c>
      <c r="I582">
        <f t="shared" ca="1" si="86"/>
        <v>12</v>
      </c>
      <c r="J582" s="2">
        <f t="shared" ca="1" si="87"/>
        <v>2.2376543209878578E-6</v>
      </c>
      <c r="K582">
        <f ca="1">MATCH(ROW(),sub!D:D,0)</f>
        <v>204</v>
      </c>
      <c r="L582" t="b">
        <f t="shared" ca="1" si="88"/>
        <v>1</v>
      </c>
      <c r="M582" s="2">
        <f t="shared" ca="1" si="89"/>
        <v>2.2376543209878578E-6</v>
      </c>
    </row>
    <row r="583" spans="1:13" x14ac:dyDescent="0.3">
      <c r="A583">
        <f ca="1">OFFSET(srt_raw!$A$1,(ROW()-1)*4+COLUMN()-1,0)</f>
        <v>583</v>
      </c>
      <c r="B583" t="str">
        <f ca="1">OFFSET(srt_raw!$A$1,(ROW()-1)*4+COLUMN()-1,0)</f>
        <v>00:31:17,120 --&gt; 00:31:18,320</v>
      </c>
      <c r="C583" t="str">
        <f ca="1">OFFSET(srt_raw!$A$1,(ROW()-1)*4+COLUMN()-1,0)</f>
        <v>数字信号处理，</v>
      </c>
      <c r="D583" t="str">
        <f t="shared" ca="1" si="81"/>
        <v>00:31:17,120</v>
      </c>
      <c r="E583" t="str">
        <f t="shared" ca="1" si="82"/>
        <v>00:31:18,320</v>
      </c>
      <c r="F583" s="5" t="str">
        <f t="shared" ca="1" si="83"/>
        <v>00:31:17.120</v>
      </c>
      <c r="G583" s="1" t="str">
        <f t="shared" ca="1" si="84"/>
        <v>00:31:18.320</v>
      </c>
      <c r="H583" s="2">
        <f t="shared" ca="1" si="85"/>
        <v>1.3888888888886203E-5</v>
      </c>
      <c r="I583">
        <f t="shared" ca="1" si="86"/>
        <v>7</v>
      </c>
      <c r="J583" s="2">
        <f t="shared" ca="1" si="87"/>
        <v>1.9841269841266003E-6</v>
      </c>
      <c r="K583" t="e">
        <f ca="1">MATCH(ROW(),sub!D:D,0)</f>
        <v>#N/A</v>
      </c>
      <c r="L583" t="b">
        <f t="shared" ca="1" si="88"/>
        <v>1</v>
      </c>
      <c r="M583" s="2">
        <f t="shared" ca="1" si="89"/>
        <v>1.9841269841266003E-6</v>
      </c>
    </row>
    <row r="584" spans="1:13" x14ac:dyDescent="0.3">
      <c r="A584">
        <f ca="1">OFFSET(srt_raw!$A$1,(ROW()-1)*4+COLUMN()-1,0)</f>
        <v>584</v>
      </c>
      <c r="B584" t="str">
        <f ca="1">OFFSET(srt_raw!$A$1,(ROW()-1)*4+COLUMN()-1,0)</f>
        <v>00:31:18,320 --&gt; 00:31:19,960</v>
      </c>
      <c r="C584" t="str">
        <f ca="1">OFFSET(srt_raw!$A$1,(ROW()-1)*4+COLUMN()-1,0)</f>
        <v>数值分析等课程较差，</v>
      </c>
      <c r="D584" t="str">
        <f t="shared" ref="D584:D590" ca="1" si="90">LEFT(B584,12)</f>
        <v>00:31:18,320</v>
      </c>
      <c r="E584" t="str">
        <f t="shared" ref="E584:E590" ca="1" si="91">RIGHT(B584,12)</f>
        <v>00:31:19,960</v>
      </c>
      <c r="F584" s="5" t="str">
        <f t="shared" ref="F584:F590" ca="1" si="92">SUBSTITUTE(D584,",",".")</f>
        <v>00:31:18.320</v>
      </c>
      <c r="G584" s="1" t="str">
        <f t="shared" ref="G584:G590" ca="1" si="93">SUBSTITUTE(E584,",",".")</f>
        <v>00:31:19.960</v>
      </c>
      <c r="H584" s="2">
        <f t="shared" ref="H584:H590" ca="1" si="94">G584-F584</f>
        <v>1.8981481481484402E-5</v>
      </c>
      <c r="I584">
        <f t="shared" ref="I584:I590" ca="1" si="95">LEN(C584)</f>
        <v>10</v>
      </c>
      <c r="J584" s="2">
        <f t="shared" ref="J584:J590" ca="1" si="96">H584/I584</f>
        <v>1.8981481481484402E-6</v>
      </c>
      <c r="K584" t="e">
        <f ca="1">MATCH(ROW(),sub!D:D,0)</f>
        <v>#N/A</v>
      </c>
      <c r="L584" t="b">
        <f t="shared" ref="L584:L590" ca="1" si="97">ISERROR(K585)</f>
        <v>1</v>
      </c>
      <c r="M584" s="2">
        <f t="shared" ref="M584:M590" ca="1" si="98">IF(L584,J584,0)</f>
        <v>1.8981481481484402E-6</v>
      </c>
    </row>
    <row r="585" spans="1:13" x14ac:dyDescent="0.3">
      <c r="A585">
        <f ca="1">OFFSET(srt_raw!$A$1,(ROW()-1)*4+COLUMN()-1,0)</f>
        <v>585</v>
      </c>
      <c r="B585" t="str">
        <f ca="1">OFFSET(srt_raw!$A$1,(ROW()-1)*4+COLUMN()-1,0)</f>
        <v>00:31:20,240 --&gt; 00:31:21,760</v>
      </c>
      <c r="C585" t="str">
        <f ca="1">OFFSET(srt_raw!$A$1,(ROW()-1)*4+COLUMN()-1,0)</f>
        <v>暂时就不研究了。</v>
      </c>
      <c r="D585" t="str">
        <f t="shared" ca="1" si="90"/>
        <v>00:31:20,240</v>
      </c>
      <c r="E585" t="str">
        <f t="shared" ca="1" si="91"/>
        <v>00:31:21,760</v>
      </c>
      <c r="F585" s="5" t="str">
        <f t="shared" ca="1" si="92"/>
        <v>00:31:20.240</v>
      </c>
      <c r="G585" s="1" t="str">
        <f t="shared" ca="1" si="93"/>
        <v>00:31:21.760</v>
      </c>
      <c r="H585" s="2">
        <f t="shared" ca="1" si="94"/>
        <v>1.7592592592589884E-5</v>
      </c>
      <c r="I585">
        <f t="shared" ca="1" si="95"/>
        <v>8</v>
      </c>
      <c r="J585" s="2">
        <f t="shared" ca="1" si="96"/>
        <v>2.1990740740737355E-6</v>
      </c>
      <c r="K585" t="e">
        <f ca="1">MATCH(ROW(),sub!D:D,0)</f>
        <v>#N/A</v>
      </c>
      <c r="L585" t="b">
        <f t="shared" ca="1" si="97"/>
        <v>1</v>
      </c>
      <c r="M585" s="2">
        <f t="shared" ca="1" si="98"/>
        <v>2.1990740740737355E-6</v>
      </c>
    </row>
    <row r="586" spans="1:13" x14ac:dyDescent="0.3">
      <c r="A586">
        <f ca="1">OFFSET(srt_raw!$A$1,(ROW()-1)*4+COLUMN()-1,0)</f>
        <v>586</v>
      </c>
      <c r="B586" t="str">
        <f ca="1">OFFSET(srt_raw!$A$1,(ROW()-1)*4+COLUMN()-1,0)</f>
        <v>00:31:22,320 --&gt; 00:31:25,080</v>
      </c>
      <c r="C586" t="str">
        <f ca="1">OFFSET(srt_raw!$A$1,(ROW()-1)*4+COLUMN()-1,0)</f>
        <v>有兴趣的小伙伴可自行研究并留言，</v>
      </c>
      <c r="D586" t="str">
        <f t="shared" ca="1" si="90"/>
        <v>00:31:22,320</v>
      </c>
      <c r="E586" t="str">
        <f t="shared" ca="1" si="91"/>
        <v>00:31:25,080</v>
      </c>
      <c r="F586" s="5" t="str">
        <f t="shared" ca="1" si="92"/>
        <v>00:31:22.320</v>
      </c>
      <c r="G586" s="1" t="str">
        <f t="shared" ca="1" si="93"/>
        <v>00:31:25.080</v>
      </c>
      <c r="H586" s="2">
        <f t="shared" ca="1" si="94"/>
        <v>3.1944444444445552E-5</v>
      </c>
      <c r="I586">
        <f t="shared" ca="1" si="95"/>
        <v>16</v>
      </c>
      <c r="J586" s="2">
        <f t="shared" ca="1" si="96"/>
        <v>1.996527777777847E-6</v>
      </c>
      <c r="K586" t="e">
        <f ca="1">MATCH(ROW(),sub!D:D,0)</f>
        <v>#N/A</v>
      </c>
      <c r="L586" t="b">
        <f t="shared" ca="1" si="97"/>
        <v>0</v>
      </c>
      <c r="M586" s="2">
        <f t="shared" ca="1" si="98"/>
        <v>0</v>
      </c>
    </row>
    <row r="587" spans="1:13" x14ac:dyDescent="0.3">
      <c r="A587">
        <f ca="1">OFFSET(srt_raw!$A$1,(ROW()-1)*4+COLUMN()-1,0)</f>
        <v>587</v>
      </c>
      <c r="B587" t="str">
        <f ca="1">OFFSET(srt_raw!$A$1,(ROW()-1)*4+COLUMN()-1,0)</f>
        <v>00:31:26,560 --&gt; 00:31:28,680</v>
      </c>
      <c r="C587" t="str">
        <f ca="1">OFFSET(srt_raw!$A$1,(ROW()-1)*4+COLUMN()-1,0)</f>
        <v>如果对视频中的内容有疑问，</v>
      </c>
      <c r="D587" t="str">
        <f t="shared" ca="1" si="90"/>
        <v>00:31:26,560</v>
      </c>
      <c r="E587" t="str">
        <f t="shared" ca="1" si="91"/>
        <v>00:31:28,680</v>
      </c>
      <c r="F587" s="5" t="str">
        <f t="shared" ca="1" si="92"/>
        <v>00:31:26.560</v>
      </c>
      <c r="G587" s="1" t="str">
        <f t="shared" ca="1" si="93"/>
        <v>00:31:28.680</v>
      </c>
      <c r="H587" s="2">
        <f t="shared" ca="1" si="94"/>
        <v>2.453703703703819E-5</v>
      </c>
      <c r="I587">
        <f t="shared" ca="1" si="95"/>
        <v>13</v>
      </c>
      <c r="J587" s="2">
        <f t="shared" ca="1" si="96"/>
        <v>1.887464387464476E-6</v>
      </c>
      <c r="K587">
        <f ca="1">MATCH(ROW(),sub!D:D,0)</f>
        <v>205</v>
      </c>
      <c r="L587" t="b">
        <f t="shared" ca="1" si="97"/>
        <v>1</v>
      </c>
      <c r="M587" s="2">
        <f t="shared" ca="1" si="98"/>
        <v>1.887464387464476E-6</v>
      </c>
    </row>
    <row r="588" spans="1:13" x14ac:dyDescent="0.3">
      <c r="A588">
        <f ca="1">OFFSET(srt_raw!$A$1,(ROW()-1)*4+COLUMN()-1,0)</f>
        <v>588</v>
      </c>
      <c r="B588" t="str">
        <f ca="1">OFFSET(srt_raw!$A$1,(ROW()-1)*4+COLUMN()-1,0)</f>
        <v>00:31:28,680 --&gt; 00:31:33,000</v>
      </c>
      <c r="C588" t="str">
        <f ca="1">OFFSET(srt_raw!$A$1,(ROW()-1)*4+COLUMN()-1,0)</f>
        <v>觉得视频内容表述不清或者发现视频中的任何错误，</v>
      </c>
      <c r="D588" t="str">
        <f t="shared" ca="1" si="90"/>
        <v>00:31:28,680</v>
      </c>
      <c r="E588" t="str">
        <f t="shared" ca="1" si="91"/>
        <v>00:31:33,000</v>
      </c>
      <c r="F588" s="5" t="str">
        <f t="shared" ca="1" si="92"/>
        <v>00:31:28.680</v>
      </c>
      <c r="G588" s="1" t="str">
        <f t="shared" ca="1" si="93"/>
        <v>00:31:33.000</v>
      </c>
      <c r="H588" s="2">
        <f t="shared" ca="1" si="94"/>
        <v>5.0000000000001432E-5</v>
      </c>
      <c r="I588">
        <f t="shared" ca="1" si="95"/>
        <v>23</v>
      </c>
      <c r="J588" s="2">
        <f t="shared" ca="1" si="96"/>
        <v>2.1739130434783229E-6</v>
      </c>
      <c r="K588" t="e">
        <f ca="1">MATCH(ROW(),sub!D:D,0)</f>
        <v>#N/A</v>
      </c>
      <c r="L588" t="b">
        <f t="shared" ca="1" si="97"/>
        <v>1</v>
      </c>
      <c r="M588" s="2">
        <f t="shared" ca="1" si="98"/>
        <v>2.1739130434783229E-6</v>
      </c>
    </row>
    <row r="589" spans="1:13" x14ac:dyDescent="0.3">
      <c r="A589">
        <f ca="1">OFFSET(srt_raw!$A$1,(ROW()-1)*4+COLUMN()-1,0)</f>
        <v>589</v>
      </c>
      <c r="B589" t="str">
        <f ca="1">OFFSET(srt_raw!$A$1,(ROW()-1)*4+COLUMN()-1,0)</f>
        <v>00:31:33,000 --&gt; 00:31:35,520</v>
      </c>
      <c r="C589" t="str">
        <f ca="1">OFFSET(srt_raw!$A$1,(ROW()-1)*4+COLUMN()-1,0)</f>
        <v>也请小伙伴们多多留言和指正，</v>
      </c>
      <c r="D589" t="str">
        <f t="shared" ca="1" si="90"/>
        <v>00:31:33,000</v>
      </c>
      <c r="E589" t="str">
        <f t="shared" ca="1" si="91"/>
        <v>00:31:35,520</v>
      </c>
      <c r="F589" s="5" t="str">
        <f t="shared" ca="1" si="92"/>
        <v>00:31:33.000</v>
      </c>
      <c r="G589" s="1" t="str">
        <f t="shared" ca="1" si="93"/>
        <v>00:31:35.520</v>
      </c>
      <c r="H589" s="2">
        <f t="shared" ca="1" si="94"/>
        <v>2.9166666666666924E-5</v>
      </c>
      <c r="I589">
        <f t="shared" ca="1" si="95"/>
        <v>14</v>
      </c>
      <c r="J589" s="2">
        <f t="shared" ca="1" si="96"/>
        <v>2.0833333333333516E-6</v>
      </c>
      <c r="K589" t="e">
        <f ca="1">MATCH(ROW(),sub!D:D,0)</f>
        <v>#N/A</v>
      </c>
      <c r="L589" t="b">
        <f t="shared" ca="1" si="97"/>
        <v>1</v>
      </c>
      <c r="M589" s="2">
        <f t="shared" ca="1" si="98"/>
        <v>2.0833333333333516E-6</v>
      </c>
    </row>
    <row r="590" spans="1:13" x14ac:dyDescent="0.3">
      <c r="A590">
        <f ca="1">OFFSET(srt_raw!$A$1,(ROW()-1)*4+COLUMN()-1,0)</f>
        <v>590</v>
      </c>
      <c r="B590" t="str">
        <f ca="1">OFFSET(srt_raw!$A$1,(ROW()-1)*4+COLUMN()-1,0)</f>
        <v>00:31:36,080 --&gt; 00:31:36,960</v>
      </c>
      <c r="C590" t="str">
        <f ca="1">OFFSET(srt_raw!$A$1,(ROW()-1)*4+COLUMN()-1,0)</f>
        <v>谢谢观看。</v>
      </c>
      <c r="D590" t="str">
        <f t="shared" ca="1" si="90"/>
        <v>00:31:36,080</v>
      </c>
      <c r="E590" t="str">
        <f t="shared" ca="1" si="91"/>
        <v>00:31:36,960</v>
      </c>
      <c r="F590" s="5" t="str">
        <f t="shared" ca="1" si="92"/>
        <v>00:31:36.080</v>
      </c>
      <c r="G590" s="1" t="str">
        <f t="shared" ca="1" si="93"/>
        <v>00:31:36.960</v>
      </c>
      <c r="H590" s="2">
        <f t="shared" ca="1" si="94"/>
        <v>1.0185185185185991E-5</v>
      </c>
      <c r="I590">
        <f t="shared" ca="1" si="95"/>
        <v>5</v>
      </c>
      <c r="J590" s="2">
        <f t="shared" ca="1" si="96"/>
        <v>2.037037037037198E-6</v>
      </c>
      <c r="K590" t="e">
        <f ca="1">MATCH(ROW(),sub!D:D,0)</f>
        <v>#N/A</v>
      </c>
      <c r="L590" t="b">
        <f t="shared" si="97"/>
        <v>0</v>
      </c>
      <c r="M590" s="2">
        <f t="shared" si="98"/>
        <v>0</v>
      </c>
    </row>
    <row r="591" spans="1:13" x14ac:dyDescent="0.3">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3"/>
  <sheetViews>
    <sheetView topLeftCell="A299" workbookViewId="0">
      <selection activeCell="A323" sqref="A323"/>
    </sheetView>
  </sheetViews>
  <sheetFormatPr defaultRowHeight="14" x14ac:dyDescent="0.3"/>
  <cols>
    <col min="3" max="3" width="13" style="1" bestFit="1" customWidth="1"/>
    <col min="4" max="4" width="12.25" style="5" bestFit="1" customWidth="1"/>
    <col min="5" max="5" width="9" style="6"/>
  </cols>
  <sheetData>
    <row r="1" spans="1:5" x14ac:dyDescent="0.3">
      <c r="A1">
        <v>5.5540000000000003</v>
      </c>
      <c r="B1">
        <v>6.2990000000000004</v>
      </c>
      <c r="C1" s="1">
        <f>A1/86400</f>
        <v>6.4282407407407417E-5</v>
      </c>
      <c r="D1" s="5">
        <f>B1/86400</f>
        <v>7.2905092592592591E-5</v>
      </c>
      <c r="E1" s="6">
        <f>(D1-C1)*86400</f>
        <v>0.744999999999999</v>
      </c>
    </row>
    <row r="2" spans="1:5" x14ac:dyDescent="0.3">
      <c r="A2">
        <v>9.6539999999999999</v>
      </c>
      <c r="B2">
        <v>11.385</v>
      </c>
      <c r="C2" s="1">
        <f t="shared" ref="C2:C65" si="0">A2/86400</f>
        <v>1.117361111111111E-4</v>
      </c>
      <c r="D2" s="5">
        <f t="shared" ref="D2:D65" si="1">B2/86400</f>
        <v>1.3177083333333332E-4</v>
      </c>
      <c r="E2" s="6">
        <f t="shared" ref="E2:E65" si="2">(D2-C2)*86400</f>
        <v>1.7309999999999997</v>
      </c>
    </row>
    <row r="3" spans="1:5" x14ac:dyDescent="0.3">
      <c r="A3">
        <v>16.163</v>
      </c>
      <c r="B3">
        <v>18.315000000000001</v>
      </c>
      <c r="C3" s="1">
        <f t="shared" si="0"/>
        <v>1.8707175925925925E-4</v>
      </c>
      <c r="D3" s="5">
        <f t="shared" si="1"/>
        <v>2.1197916666666669E-4</v>
      </c>
      <c r="E3" s="6">
        <f t="shared" si="2"/>
        <v>2.1520000000000024</v>
      </c>
    </row>
    <row r="4" spans="1:5" x14ac:dyDescent="0.3">
      <c r="A4">
        <v>20.902999999999999</v>
      </c>
      <c r="B4">
        <v>21.684999999999999</v>
      </c>
      <c r="C4" s="1">
        <f t="shared" si="0"/>
        <v>2.4193287037037035E-4</v>
      </c>
      <c r="D4" s="5">
        <f t="shared" si="1"/>
        <v>2.509837962962963E-4</v>
      </c>
      <c r="E4" s="6">
        <f t="shared" si="2"/>
        <v>0.78200000000000136</v>
      </c>
    </row>
    <row r="5" spans="1:5" x14ac:dyDescent="0.3">
      <c r="A5">
        <v>25.547000000000001</v>
      </c>
      <c r="B5">
        <v>27.638000000000002</v>
      </c>
      <c r="C5" s="1">
        <f t="shared" si="0"/>
        <v>2.9568287037037036E-4</v>
      </c>
      <c r="D5" s="5">
        <f t="shared" si="1"/>
        <v>3.1988425925925929E-4</v>
      </c>
      <c r="E5" s="6">
        <f t="shared" si="2"/>
        <v>2.0910000000000033</v>
      </c>
    </row>
    <row r="6" spans="1:5" x14ac:dyDescent="0.3">
      <c r="A6">
        <v>30.167999999999999</v>
      </c>
      <c r="B6">
        <v>31.038</v>
      </c>
      <c r="C6" s="1">
        <f t="shared" si="0"/>
        <v>3.4916666666666668E-4</v>
      </c>
      <c r="D6" s="5">
        <f t="shared" si="1"/>
        <v>3.5923611111111112E-4</v>
      </c>
      <c r="E6" s="6">
        <f t="shared" si="2"/>
        <v>0.86999999999999944</v>
      </c>
    </row>
    <row r="7" spans="1:5" x14ac:dyDescent="0.3">
      <c r="A7">
        <v>34.277000000000001</v>
      </c>
      <c r="B7">
        <v>35.012</v>
      </c>
      <c r="C7" s="1">
        <f t="shared" si="0"/>
        <v>3.9672453703703707E-4</v>
      </c>
      <c r="D7" s="5">
        <f t="shared" si="1"/>
        <v>4.0523148148148151E-4</v>
      </c>
      <c r="E7" s="6">
        <f t="shared" si="2"/>
        <v>0.73500000000000021</v>
      </c>
    </row>
    <row r="8" spans="1:5" x14ac:dyDescent="0.3">
      <c r="A8">
        <v>36.878</v>
      </c>
      <c r="B8">
        <v>38.942</v>
      </c>
      <c r="C8" s="1">
        <f t="shared" si="0"/>
        <v>4.2682870370370368E-4</v>
      </c>
      <c r="D8" s="5">
        <f t="shared" si="1"/>
        <v>4.5071759259259262E-4</v>
      </c>
      <c r="E8" s="6">
        <f t="shared" si="2"/>
        <v>2.0640000000000045</v>
      </c>
    </row>
    <row r="9" spans="1:5" x14ac:dyDescent="0.3">
      <c r="A9">
        <v>41.173000000000002</v>
      </c>
      <c r="B9">
        <v>41.921999999999997</v>
      </c>
      <c r="C9" s="1">
        <f t="shared" si="0"/>
        <v>4.7653935185185185E-4</v>
      </c>
      <c r="D9" s="5">
        <f t="shared" si="1"/>
        <v>4.8520833333333331E-4</v>
      </c>
      <c r="E9" s="6">
        <f t="shared" si="2"/>
        <v>0.74899999999999833</v>
      </c>
    </row>
    <row r="10" spans="1:5" x14ac:dyDescent="0.3">
      <c r="A10">
        <v>45.783000000000001</v>
      </c>
      <c r="B10">
        <v>47.573</v>
      </c>
      <c r="C10" s="1">
        <f t="shared" si="0"/>
        <v>5.2989583333333339E-4</v>
      </c>
      <c r="D10" s="5">
        <f t="shared" si="1"/>
        <v>5.5061342592592597E-4</v>
      </c>
      <c r="E10" s="6">
        <f t="shared" si="2"/>
        <v>1.7899999999999985</v>
      </c>
    </row>
    <row r="11" spans="1:5" x14ac:dyDescent="0.3">
      <c r="A11">
        <v>52.628</v>
      </c>
      <c r="B11">
        <v>54.567999999999998</v>
      </c>
      <c r="C11" s="1">
        <f t="shared" si="0"/>
        <v>6.0912037037037033E-4</v>
      </c>
      <c r="D11" s="5">
        <f t="shared" si="1"/>
        <v>6.31574074074074E-4</v>
      </c>
      <c r="E11" s="6">
        <f t="shared" si="2"/>
        <v>1.9399999999999977</v>
      </c>
    </row>
    <row r="12" spans="1:5" x14ac:dyDescent="0.3">
      <c r="A12">
        <v>62.978999999999999</v>
      </c>
      <c r="B12">
        <v>64.778000000000006</v>
      </c>
      <c r="C12" s="1">
        <f t="shared" si="0"/>
        <v>7.2892361111111107E-4</v>
      </c>
      <c r="D12" s="5">
        <f t="shared" si="1"/>
        <v>7.4974537037037045E-4</v>
      </c>
      <c r="E12" s="6">
        <f t="shared" si="2"/>
        <v>1.7990000000000106</v>
      </c>
    </row>
    <row r="13" spans="1:5" x14ac:dyDescent="0.3">
      <c r="A13">
        <v>66.241</v>
      </c>
      <c r="B13">
        <v>67.132999999999996</v>
      </c>
      <c r="C13" s="1">
        <f t="shared" si="0"/>
        <v>7.6667824074074073E-4</v>
      </c>
      <c r="D13" s="5">
        <f t="shared" si="1"/>
        <v>7.7700231481481479E-4</v>
      </c>
      <c r="E13" s="6">
        <f t="shared" si="2"/>
        <v>0.89199999999999835</v>
      </c>
    </row>
    <row r="14" spans="1:5" x14ac:dyDescent="0.3">
      <c r="A14">
        <v>70.986999999999995</v>
      </c>
      <c r="B14">
        <v>72.927999999999997</v>
      </c>
      <c r="C14" s="1">
        <f t="shared" si="0"/>
        <v>8.2160879629629619E-4</v>
      </c>
      <c r="D14" s="5">
        <f t="shared" si="1"/>
        <v>8.4407407407407402E-4</v>
      </c>
      <c r="E14" s="6">
        <f t="shared" si="2"/>
        <v>1.9410000000000043</v>
      </c>
    </row>
    <row r="15" spans="1:5" x14ac:dyDescent="0.3">
      <c r="A15">
        <v>76.363</v>
      </c>
      <c r="B15">
        <v>77.088999999999999</v>
      </c>
      <c r="C15" s="1">
        <f t="shared" si="0"/>
        <v>8.8383101851851849E-4</v>
      </c>
      <c r="D15" s="5">
        <f t="shared" si="1"/>
        <v>8.9223379629629624E-4</v>
      </c>
      <c r="E15" s="6">
        <f t="shared" si="2"/>
        <v>0.72599999999999754</v>
      </c>
    </row>
    <row r="16" spans="1:5" x14ac:dyDescent="0.3">
      <c r="A16">
        <v>77.376999999999995</v>
      </c>
      <c r="B16">
        <v>78.137</v>
      </c>
      <c r="C16" s="1">
        <f t="shared" si="0"/>
        <v>8.9556712962962962E-4</v>
      </c>
      <c r="D16" s="5">
        <f t="shared" si="1"/>
        <v>9.0436342592592597E-4</v>
      </c>
      <c r="E16" s="6">
        <f t="shared" si="2"/>
        <v>0.76000000000000478</v>
      </c>
    </row>
    <row r="17" spans="1:5" x14ac:dyDescent="0.3">
      <c r="A17">
        <v>83.936999999999998</v>
      </c>
      <c r="B17">
        <v>85.725999999999999</v>
      </c>
      <c r="C17" s="1">
        <f t="shared" si="0"/>
        <v>9.7149305555555552E-4</v>
      </c>
      <c r="D17" s="5">
        <f t="shared" si="1"/>
        <v>9.9219907407407416E-4</v>
      </c>
      <c r="E17" s="6">
        <f t="shared" si="2"/>
        <v>1.7890000000000108</v>
      </c>
    </row>
    <row r="18" spans="1:5" x14ac:dyDescent="0.3">
      <c r="A18">
        <v>89.521000000000001</v>
      </c>
      <c r="B18">
        <v>90.55</v>
      </c>
      <c r="C18" s="1">
        <f t="shared" si="0"/>
        <v>1.0361226851851853E-3</v>
      </c>
      <c r="D18" s="5">
        <f t="shared" si="1"/>
        <v>1.0480324074074075E-3</v>
      </c>
      <c r="E18" s="6">
        <f t="shared" si="2"/>
        <v>1.0289999999999966</v>
      </c>
    </row>
    <row r="19" spans="1:5" x14ac:dyDescent="0.3">
      <c r="A19">
        <v>96.751999999999995</v>
      </c>
      <c r="B19">
        <v>98.662999999999997</v>
      </c>
      <c r="C19" s="1">
        <f t="shared" si="0"/>
        <v>1.1198148148148148E-3</v>
      </c>
      <c r="D19" s="5">
        <f t="shared" si="1"/>
        <v>1.1419328703703704E-3</v>
      </c>
      <c r="E19" s="6">
        <f t="shared" si="2"/>
        <v>1.9110000000000045</v>
      </c>
    </row>
    <row r="20" spans="1:5" x14ac:dyDescent="0.3">
      <c r="A20">
        <v>102.858</v>
      </c>
      <c r="B20">
        <v>104.57899999999999</v>
      </c>
      <c r="C20" s="1">
        <f t="shared" si="0"/>
        <v>1.1904861111111111E-3</v>
      </c>
      <c r="D20" s="5">
        <f t="shared" si="1"/>
        <v>1.2104050925925926E-3</v>
      </c>
      <c r="E20" s="6">
        <f t="shared" si="2"/>
        <v>1.7209999999999961</v>
      </c>
    </row>
    <row r="21" spans="1:5" x14ac:dyDescent="0.3">
      <c r="A21">
        <v>109.467</v>
      </c>
      <c r="B21">
        <v>111.27200000000001</v>
      </c>
      <c r="C21" s="1">
        <f t="shared" si="0"/>
        <v>1.2669791666666667E-3</v>
      </c>
      <c r="D21" s="5">
        <f t="shared" si="1"/>
        <v>1.2878703703703704E-3</v>
      </c>
      <c r="E21" s="6">
        <f t="shared" si="2"/>
        <v>1.805000000000003</v>
      </c>
    </row>
    <row r="22" spans="1:5" x14ac:dyDescent="0.3">
      <c r="A22">
        <v>112.355</v>
      </c>
      <c r="B22">
        <v>112.873</v>
      </c>
      <c r="C22" s="1">
        <f t="shared" si="0"/>
        <v>1.3004050925925926E-3</v>
      </c>
      <c r="D22" s="5">
        <f t="shared" si="1"/>
        <v>1.306400462962963E-3</v>
      </c>
      <c r="E22" s="6">
        <f t="shared" si="2"/>
        <v>0.51800000000000246</v>
      </c>
    </row>
    <row r="23" spans="1:5" x14ac:dyDescent="0.3">
      <c r="A23">
        <v>116.866</v>
      </c>
      <c r="B23">
        <v>117.386</v>
      </c>
      <c r="C23" s="1">
        <f t="shared" si="0"/>
        <v>1.3526157407407408E-3</v>
      </c>
      <c r="D23" s="5">
        <f t="shared" si="1"/>
        <v>1.3586342592592593E-3</v>
      </c>
      <c r="E23" s="6">
        <f t="shared" si="2"/>
        <v>0.51999999999999691</v>
      </c>
    </row>
    <row r="24" spans="1:5" x14ac:dyDescent="0.3">
      <c r="A24">
        <v>122.35899999999999</v>
      </c>
      <c r="B24">
        <v>124.157</v>
      </c>
      <c r="C24" s="1">
        <f t="shared" si="0"/>
        <v>1.4161921296296297E-3</v>
      </c>
      <c r="D24" s="5">
        <f t="shared" si="1"/>
        <v>1.4370023148148148E-3</v>
      </c>
      <c r="E24" s="6">
        <f t="shared" si="2"/>
        <v>1.7979999999999947</v>
      </c>
    </row>
    <row r="25" spans="1:5" x14ac:dyDescent="0.3">
      <c r="A25">
        <v>131.239</v>
      </c>
      <c r="B25">
        <v>132.012</v>
      </c>
      <c r="C25" s="1">
        <f t="shared" si="0"/>
        <v>1.5189699074074075E-3</v>
      </c>
      <c r="D25" s="5">
        <f t="shared" si="1"/>
        <v>1.5279166666666666E-3</v>
      </c>
      <c r="E25" s="6">
        <f t="shared" si="2"/>
        <v>0.77299999999998692</v>
      </c>
    </row>
    <row r="26" spans="1:5" x14ac:dyDescent="0.3">
      <c r="A26">
        <v>136.749</v>
      </c>
      <c r="B26">
        <v>138.589</v>
      </c>
      <c r="C26" s="1">
        <f t="shared" si="0"/>
        <v>1.5827430555555556E-3</v>
      </c>
      <c r="D26" s="5">
        <f t="shared" si="1"/>
        <v>1.6040393518518519E-3</v>
      </c>
      <c r="E26" s="6">
        <f t="shared" si="2"/>
        <v>1.8400000000000076</v>
      </c>
    </row>
    <row r="27" spans="1:5" x14ac:dyDescent="0.3">
      <c r="A27">
        <v>140.81299999999999</v>
      </c>
      <c r="B27">
        <v>141.733</v>
      </c>
      <c r="C27" s="1">
        <f t="shared" si="0"/>
        <v>1.6297800925925924E-3</v>
      </c>
      <c r="D27" s="5">
        <f t="shared" si="1"/>
        <v>1.6404282407407407E-3</v>
      </c>
      <c r="E27" s="6">
        <f t="shared" si="2"/>
        <v>0.92000000000001314</v>
      </c>
    </row>
    <row r="28" spans="1:5" x14ac:dyDescent="0.3">
      <c r="A28">
        <v>146.298</v>
      </c>
      <c r="B28">
        <v>148.108</v>
      </c>
      <c r="C28" s="1">
        <f t="shared" si="0"/>
        <v>1.6932638888888889E-3</v>
      </c>
      <c r="D28" s="5">
        <f t="shared" si="1"/>
        <v>1.714212962962963E-3</v>
      </c>
      <c r="E28" s="6">
        <f t="shared" si="2"/>
        <v>1.8099999999999985</v>
      </c>
    </row>
    <row r="29" spans="1:5" x14ac:dyDescent="0.3">
      <c r="A29">
        <v>156.65</v>
      </c>
      <c r="B29">
        <v>158.41300000000001</v>
      </c>
      <c r="C29" s="1">
        <f t="shared" si="0"/>
        <v>1.8130787037037037E-3</v>
      </c>
      <c r="D29" s="5">
        <f t="shared" si="1"/>
        <v>1.8334837962962964E-3</v>
      </c>
      <c r="E29" s="6">
        <f t="shared" si="2"/>
        <v>1.763000000000009</v>
      </c>
    </row>
    <row r="30" spans="1:5" x14ac:dyDescent="0.3">
      <c r="A30">
        <v>166.35300000000001</v>
      </c>
      <c r="B30">
        <v>167.1</v>
      </c>
      <c r="C30" s="1">
        <f t="shared" si="0"/>
        <v>1.9253819444444446E-3</v>
      </c>
      <c r="D30" s="5">
        <f t="shared" si="1"/>
        <v>1.9340277777777778E-3</v>
      </c>
      <c r="E30" s="6">
        <f t="shared" si="2"/>
        <v>0.74699999999998523</v>
      </c>
    </row>
    <row r="31" spans="1:5" x14ac:dyDescent="0.3">
      <c r="A31">
        <v>171.983</v>
      </c>
      <c r="B31">
        <v>173.74299999999999</v>
      </c>
      <c r="C31" s="1">
        <f t="shared" si="0"/>
        <v>1.9905439814814816E-3</v>
      </c>
      <c r="D31" s="5">
        <f t="shared" si="1"/>
        <v>2.0109143518518518E-3</v>
      </c>
      <c r="E31" s="6">
        <f t="shared" si="2"/>
        <v>1.7599999999999894</v>
      </c>
    </row>
    <row r="32" spans="1:5" x14ac:dyDescent="0.3">
      <c r="A32">
        <v>180.56</v>
      </c>
      <c r="B32">
        <v>182.381</v>
      </c>
      <c r="C32" s="1">
        <f t="shared" si="0"/>
        <v>2.0898148148148147E-3</v>
      </c>
      <c r="D32" s="5">
        <f t="shared" si="1"/>
        <v>2.1108912037037038E-3</v>
      </c>
      <c r="E32" s="6">
        <f t="shared" si="2"/>
        <v>1.8210000000000144</v>
      </c>
    </row>
    <row r="33" spans="1:5" x14ac:dyDescent="0.3">
      <c r="A33">
        <v>184.012</v>
      </c>
      <c r="B33">
        <v>184.755</v>
      </c>
      <c r="C33" s="1">
        <f t="shared" si="0"/>
        <v>2.1297685185185187E-3</v>
      </c>
      <c r="D33" s="5">
        <f t="shared" si="1"/>
        <v>2.1383680555555557E-3</v>
      </c>
      <c r="E33" s="6">
        <f t="shared" si="2"/>
        <v>0.74299999999999644</v>
      </c>
    </row>
    <row r="34" spans="1:5" x14ac:dyDescent="0.3">
      <c r="A34">
        <v>192.791</v>
      </c>
      <c r="B34">
        <v>194.58099999999999</v>
      </c>
      <c r="C34" s="1">
        <f t="shared" si="0"/>
        <v>2.2313773148148149E-3</v>
      </c>
      <c r="D34" s="5">
        <f t="shared" si="1"/>
        <v>2.2520949074074071E-3</v>
      </c>
      <c r="E34" s="6">
        <f t="shared" si="2"/>
        <v>1.789999999999961</v>
      </c>
    </row>
    <row r="35" spans="1:5" x14ac:dyDescent="0.3">
      <c r="A35">
        <v>206.18199999999999</v>
      </c>
      <c r="B35">
        <v>207.9</v>
      </c>
      <c r="C35" s="1">
        <f t="shared" si="0"/>
        <v>2.3863657407407405E-3</v>
      </c>
      <c r="D35" s="5">
        <f t="shared" si="1"/>
        <v>2.40625E-3</v>
      </c>
      <c r="E35" s="6">
        <f t="shared" si="2"/>
        <v>1.718000000000014</v>
      </c>
    </row>
    <row r="36" spans="1:5" x14ac:dyDescent="0.3">
      <c r="A36">
        <v>212.261</v>
      </c>
      <c r="B36">
        <v>213.03700000000001</v>
      </c>
      <c r="C36" s="1">
        <f t="shared" si="0"/>
        <v>2.4567245370370368E-3</v>
      </c>
      <c r="D36" s="5">
        <f t="shared" si="1"/>
        <v>2.4657060185185186E-3</v>
      </c>
      <c r="E36" s="6">
        <f t="shared" si="2"/>
        <v>0.77600000000002534</v>
      </c>
    </row>
    <row r="37" spans="1:5" x14ac:dyDescent="0.3">
      <c r="A37">
        <v>215.15299999999999</v>
      </c>
      <c r="B37">
        <v>216.869</v>
      </c>
      <c r="C37" s="1">
        <f t="shared" si="0"/>
        <v>2.4901967592592593E-3</v>
      </c>
      <c r="D37" s="5">
        <f t="shared" si="1"/>
        <v>2.5100578703703704E-3</v>
      </c>
      <c r="E37" s="6">
        <f t="shared" si="2"/>
        <v>1.7160000000000009</v>
      </c>
    </row>
    <row r="38" spans="1:5" x14ac:dyDescent="0.3">
      <c r="A38">
        <v>223.66800000000001</v>
      </c>
      <c r="B38">
        <v>224.398</v>
      </c>
      <c r="C38" s="1">
        <f t="shared" si="0"/>
        <v>2.5887499999999999E-3</v>
      </c>
      <c r="D38" s="5">
        <f t="shared" si="1"/>
        <v>2.5971990740740738E-3</v>
      </c>
      <c r="E38" s="6">
        <f t="shared" si="2"/>
        <v>0.72999999999998622</v>
      </c>
    </row>
    <row r="39" spans="1:5" x14ac:dyDescent="0.3">
      <c r="A39">
        <v>228.12299999999999</v>
      </c>
      <c r="B39">
        <v>229.86099999999999</v>
      </c>
      <c r="C39" s="1">
        <f t="shared" si="0"/>
        <v>2.6403124999999999E-3</v>
      </c>
      <c r="D39" s="5">
        <f t="shared" si="1"/>
        <v>2.6604282407407405E-3</v>
      </c>
      <c r="E39" s="6">
        <f t="shared" si="2"/>
        <v>1.7379999999999951</v>
      </c>
    </row>
    <row r="40" spans="1:5" x14ac:dyDescent="0.3">
      <c r="A40">
        <v>235.208</v>
      </c>
      <c r="B40">
        <v>236.95</v>
      </c>
      <c r="C40" s="1">
        <f t="shared" si="0"/>
        <v>2.722314814814815E-3</v>
      </c>
      <c r="D40" s="5">
        <f t="shared" si="1"/>
        <v>2.7424768518518518E-3</v>
      </c>
      <c r="E40" s="6">
        <f t="shared" si="2"/>
        <v>1.7419999999999838</v>
      </c>
    </row>
    <row r="41" spans="1:5" x14ac:dyDescent="0.3">
      <c r="A41">
        <v>239.709</v>
      </c>
      <c r="B41">
        <v>240.232</v>
      </c>
      <c r="C41" s="1">
        <f t="shared" si="0"/>
        <v>2.7744097222222224E-3</v>
      </c>
      <c r="D41" s="5">
        <f t="shared" si="1"/>
        <v>2.7804629629629629E-3</v>
      </c>
      <c r="E41" s="6">
        <f t="shared" si="2"/>
        <v>0.52299999999997904</v>
      </c>
    </row>
    <row r="42" spans="1:5" x14ac:dyDescent="0.3">
      <c r="A42">
        <v>243.31800000000001</v>
      </c>
      <c r="B42">
        <v>245.16200000000001</v>
      </c>
      <c r="C42" s="1">
        <f t="shared" si="0"/>
        <v>2.8161805555555557E-3</v>
      </c>
      <c r="D42" s="5">
        <f t="shared" si="1"/>
        <v>2.837523148148148E-3</v>
      </c>
      <c r="E42" s="6">
        <f t="shared" si="2"/>
        <v>1.8439999999999777</v>
      </c>
    </row>
    <row r="43" spans="1:5" x14ac:dyDescent="0.3">
      <c r="A43">
        <v>250.506</v>
      </c>
      <c r="B43">
        <v>252.399</v>
      </c>
      <c r="C43" s="1">
        <f t="shared" si="0"/>
        <v>2.899375E-3</v>
      </c>
      <c r="D43" s="5">
        <f t="shared" si="1"/>
        <v>2.9212847222222223E-3</v>
      </c>
      <c r="E43" s="6">
        <f t="shared" si="2"/>
        <v>1.8929999999999989</v>
      </c>
    </row>
    <row r="44" spans="1:5" x14ac:dyDescent="0.3">
      <c r="A44">
        <v>259.27300000000002</v>
      </c>
      <c r="B44">
        <v>260.99900000000002</v>
      </c>
      <c r="C44" s="1">
        <f t="shared" si="0"/>
        <v>3.0008449074074078E-3</v>
      </c>
      <c r="D44" s="5">
        <f t="shared" si="1"/>
        <v>3.0208217592592596E-3</v>
      </c>
      <c r="E44" s="6">
        <f t="shared" si="2"/>
        <v>1.7259999999999915</v>
      </c>
    </row>
    <row r="45" spans="1:5" x14ac:dyDescent="0.3">
      <c r="A45">
        <v>263.38499999999999</v>
      </c>
      <c r="B45">
        <v>264.233</v>
      </c>
      <c r="C45" s="1">
        <f t="shared" si="0"/>
        <v>3.0484374999999999E-3</v>
      </c>
      <c r="D45" s="5">
        <f t="shared" si="1"/>
        <v>3.0582523148148149E-3</v>
      </c>
      <c r="E45" s="6">
        <f t="shared" si="2"/>
        <v>0.84800000000000986</v>
      </c>
    </row>
    <row r="46" spans="1:5" x14ac:dyDescent="0.3">
      <c r="A46">
        <v>268.59500000000003</v>
      </c>
      <c r="B46">
        <v>270.334</v>
      </c>
      <c r="C46" s="1">
        <f t="shared" si="0"/>
        <v>3.1087384259259263E-3</v>
      </c>
      <c r="D46" s="5">
        <f t="shared" si="1"/>
        <v>3.1288657407407407E-3</v>
      </c>
      <c r="E46" s="6">
        <f t="shared" si="2"/>
        <v>1.7389999999999641</v>
      </c>
    </row>
    <row r="47" spans="1:5" x14ac:dyDescent="0.3">
      <c r="A47">
        <v>277.25099999999998</v>
      </c>
      <c r="B47">
        <v>278.99099999999999</v>
      </c>
      <c r="C47" s="1">
        <f t="shared" si="0"/>
        <v>3.2089236111111107E-3</v>
      </c>
      <c r="D47" s="5">
        <f t="shared" si="1"/>
        <v>3.2290624999999997E-3</v>
      </c>
      <c r="E47" s="6">
        <f t="shared" si="2"/>
        <v>1.7400000000000082</v>
      </c>
    </row>
    <row r="48" spans="1:5" x14ac:dyDescent="0.3">
      <c r="A48">
        <v>283.24200000000002</v>
      </c>
      <c r="B48">
        <v>284.98700000000002</v>
      </c>
      <c r="C48" s="1">
        <f t="shared" si="0"/>
        <v>3.2782638888888892E-3</v>
      </c>
      <c r="D48" s="5">
        <f t="shared" si="1"/>
        <v>3.2984606481481485E-3</v>
      </c>
      <c r="E48" s="6">
        <f t="shared" si="2"/>
        <v>1.7450000000000034</v>
      </c>
    </row>
    <row r="49" spans="1:5" x14ac:dyDescent="0.3">
      <c r="A49">
        <v>289.78100000000001</v>
      </c>
      <c r="B49">
        <v>290.53199999999998</v>
      </c>
      <c r="C49" s="1">
        <f t="shared" si="0"/>
        <v>3.3539467592592592E-3</v>
      </c>
      <c r="D49" s="5">
        <f t="shared" si="1"/>
        <v>3.3626388888888885E-3</v>
      </c>
      <c r="E49" s="6">
        <f t="shared" si="2"/>
        <v>0.75099999999997391</v>
      </c>
    </row>
    <row r="50" spans="1:5" x14ac:dyDescent="0.3">
      <c r="A50">
        <v>294.84500000000003</v>
      </c>
      <c r="B50">
        <v>296.625</v>
      </c>
      <c r="C50" s="1">
        <f t="shared" si="0"/>
        <v>3.4125578703703705E-3</v>
      </c>
      <c r="D50" s="5">
        <f t="shared" si="1"/>
        <v>3.4331597222222224E-3</v>
      </c>
      <c r="E50" s="6">
        <f t="shared" si="2"/>
        <v>1.780000000000008</v>
      </c>
    </row>
    <row r="51" spans="1:5" x14ac:dyDescent="0.3">
      <c r="A51">
        <v>300.101</v>
      </c>
      <c r="B51">
        <v>300.61599999999999</v>
      </c>
      <c r="C51" s="1">
        <f t="shared" si="0"/>
        <v>3.4733912037037038E-3</v>
      </c>
      <c r="D51" s="5">
        <f t="shared" si="1"/>
        <v>3.4793518518518515E-3</v>
      </c>
      <c r="E51" s="6">
        <f t="shared" si="2"/>
        <v>0.51499999999996415</v>
      </c>
    </row>
    <row r="52" spans="1:5" x14ac:dyDescent="0.3">
      <c r="A52">
        <v>303.08300000000003</v>
      </c>
      <c r="B52">
        <v>304.98899999999998</v>
      </c>
      <c r="C52" s="1">
        <f t="shared" si="0"/>
        <v>3.5079050925925928E-3</v>
      </c>
      <c r="D52" s="5">
        <f t="shared" si="1"/>
        <v>3.5299652777777777E-3</v>
      </c>
      <c r="E52" s="6">
        <f t="shared" si="2"/>
        <v>1.9059999999999717</v>
      </c>
    </row>
    <row r="53" spans="1:5" x14ac:dyDescent="0.3">
      <c r="A53">
        <v>309.81</v>
      </c>
      <c r="B53">
        <v>310.57299999999998</v>
      </c>
      <c r="C53" s="1">
        <f t="shared" si="0"/>
        <v>3.5857638888888888E-3</v>
      </c>
      <c r="D53" s="5">
        <f t="shared" si="1"/>
        <v>3.594594907407407E-3</v>
      </c>
      <c r="E53" s="6">
        <f t="shared" si="2"/>
        <v>0.76299999999997759</v>
      </c>
    </row>
    <row r="54" spans="1:5" x14ac:dyDescent="0.3">
      <c r="A54">
        <v>314.07900000000001</v>
      </c>
      <c r="B54">
        <v>315.86399999999998</v>
      </c>
      <c r="C54" s="1">
        <f t="shared" si="0"/>
        <v>3.6351736111111112E-3</v>
      </c>
      <c r="D54" s="5">
        <f t="shared" si="1"/>
        <v>3.655833333333333E-3</v>
      </c>
      <c r="E54" s="6">
        <f t="shared" si="2"/>
        <v>1.7849999999999657</v>
      </c>
    </row>
    <row r="55" spans="1:5" x14ac:dyDescent="0.3">
      <c r="A55">
        <v>321.02999999999997</v>
      </c>
      <c r="B55">
        <v>322.79700000000003</v>
      </c>
      <c r="C55" s="1">
        <f t="shared" si="0"/>
        <v>3.7156249999999997E-3</v>
      </c>
      <c r="D55" s="5">
        <f t="shared" si="1"/>
        <v>3.736076388888889E-3</v>
      </c>
      <c r="E55" s="6">
        <f t="shared" si="2"/>
        <v>1.7670000000000352</v>
      </c>
    </row>
    <row r="56" spans="1:5" x14ac:dyDescent="0.3">
      <c r="A56">
        <v>327.25299999999999</v>
      </c>
      <c r="B56">
        <v>329.23500000000001</v>
      </c>
      <c r="C56" s="1">
        <f t="shared" si="0"/>
        <v>3.7876504629629627E-3</v>
      </c>
      <c r="D56" s="5">
        <f t="shared" si="1"/>
        <v>3.8105902777777778E-3</v>
      </c>
      <c r="E56" s="6">
        <f t="shared" si="2"/>
        <v>1.9820000000000197</v>
      </c>
    </row>
    <row r="57" spans="1:5" x14ac:dyDescent="0.3">
      <c r="A57">
        <v>333.529</v>
      </c>
      <c r="B57">
        <v>334.38</v>
      </c>
      <c r="C57" s="1">
        <f t="shared" si="0"/>
        <v>3.8602893518518517E-3</v>
      </c>
      <c r="D57" s="5">
        <f t="shared" si="1"/>
        <v>3.8701388888888887E-3</v>
      </c>
      <c r="E57" s="6">
        <f t="shared" si="2"/>
        <v>0.85099999999999199</v>
      </c>
    </row>
    <row r="58" spans="1:5" x14ac:dyDescent="0.3">
      <c r="A58">
        <v>339.125</v>
      </c>
      <c r="B58">
        <v>341.14699999999999</v>
      </c>
      <c r="C58" s="1">
        <f t="shared" si="0"/>
        <v>3.9250578703703704E-3</v>
      </c>
      <c r="D58" s="5">
        <f t="shared" si="1"/>
        <v>3.948460648148148E-3</v>
      </c>
      <c r="E58" s="6">
        <f t="shared" si="2"/>
        <v>2.021999999999982</v>
      </c>
    </row>
    <row r="59" spans="1:5" x14ac:dyDescent="0.3">
      <c r="A59">
        <v>342.33699999999999</v>
      </c>
      <c r="B59">
        <v>343.14</v>
      </c>
      <c r="C59" s="1">
        <f t="shared" si="0"/>
        <v>3.9622337962962962E-3</v>
      </c>
      <c r="D59" s="5">
        <f t="shared" si="1"/>
        <v>3.9715277777777778E-3</v>
      </c>
      <c r="E59" s="6">
        <f t="shared" si="2"/>
        <v>0.80300000000001481</v>
      </c>
    </row>
    <row r="60" spans="1:5" x14ac:dyDescent="0.3">
      <c r="A60">
        <v>350.88400000000001</v>
      </c>
      <c r="B60">
        <v>352.94900000000001</v>
      </c>
      <c r="C60" s="1">
        <f t="shared" si="0"/>
        <v>4.0611574074074074E-3</v>
      </c>
      <c r="D60" s="5">
        <f t="shared" si="1"/>
        <v>4.0850578703703708E-3</v>
      </c>
      <c r="E60" s="6">
        <f t="shared" si="2"/>
        <v>2.065000000000039</v>
      </c>
    </row>
    <row r="61" spans="1:5" x14ac:dyDescent="0.3">
      <c r="A61">
        <v>354.95499999999998</v>
      </c>
      <c r="B61">
        <v>355.76299999999998</v>
      </c>
      <c r="C61" s="1">
        <f t="shared" si="0"/>
        <v>4.1082754629629629E-3</v>
      </c>
      <c r="D61" s="5">
        <f t="shared" si="1"/>
        <v>4.1176273148148144E-3</v>
      </c>
      <c r="E61" s="6">
        <f t="shared" si="2"/>
        <v>0.80799999999997263</v>
      </c>
    </row>
    <row r="62" spans="1:5" x14ac:dyDescent="0.3">
      <c r="A62">
        <v>358.50299999999999</v>
      </c>
      <c r="B62">
        <v>359.31299999999999</v>
      </c>
      <c r="C62" s="1">
        <f t="shared" si="0"/>
        <v>4.1493402777777778E-3</v>
      </c>
      <c r="D62" s="5">
        <f t="shared" si="1"/>
        <v>4.1587152777777777E-3</v>
      </c>
      <c r="E62" s="6">
        <f t="shared" si="2"/>
        <v>0.80999999999998573</v>
      </c>
    </row>
    <row r="63" spans="1:5" x14ac:dyDescent="0.3">
      <c r="A63">
        <v>363.19099999999997</v>
      </c>
      <c r="B63">
        <v>365.21100000000001</v>
      </c>
      <c r="C63" s="1">
        <f t="shared" si="0"/>
        <v>4.2035995370370369E-3</v>
      </c>
      <c r="D63" s="5">
        <f t="shared" si="1"/>
        <v>4.2269791666666671E-3</v>
      </c>
      <c r="E63" s="6">
        <f t="shared" si="2"/>
        <v>2.020000000000044</v>
      </c>
    </row>
    <row r="64" spans="1:5" x14ac:dyDescent="0.3">
      <c r="A64">
        <v>367.27600000000001</v>
      </c>
      <c r="B64">
        <v>368.1</v>
      </c>
      <c r="C64" s="1">
        <f t="shared" si="0"/>
        <v>4.2508796296296296E-3</v>
      </c>
      <c r="D64" s="5">
        <f t="shared" si="1"/>
        <v>4.2604166666666667E-3</v>
      </c>
      <c r="E64" s="6">
        <f t="shared" si="2"/>
        <v>0.82400000000000251</v>
      </c>
    </row>
    <row r="65" spans="1:5" x14ac:dyDescent="0.3">
      <c r="A65">
        <v>374.96699999999998</v>
      </c>
      <c r="B65">
        <v>376.75200000000001</v>
      </c>
      <c r="C65" s="1">
        <f t="shared" si="0"/>
        <v>4.3398958333333328E-3</v>
      </c>
      <c r="D65" s="5">
        <f t="shared" si="1"/>
        <v>4.3605555555555559E-3</v>
      </c>
      <c r="E65" s="6">
        <f t="shared" si="2"/>
        <v>1.7850000000000783</v>
      </c>
    </row>
    <row r="66" spans="1:5" x14ac:dyDescent="0.3">
      <c r="A66">
        <v>380.67399999999998</v>
      </c>
      <c r="B66">
        <v>382.53800000000001</v>
      </c>
      <c r="C66" s="1">
        <f t="shared" ref="C66:C129" si="3">A66/86400</f>
        <v>4.4059490740740734E-3</v>
      </c>
      <c r="D66" s="5">
        <f t="shared" ref="D66:D129" si="4">B66/86400</f>
        <v>4.4275231481481483E-3</v>
      </c>
      <c r="E66" s="6">
        <f t="shared" ref="E66:E129" si="5">(D66-C66)*86400</f>
        <v>1.8640000000000712</v>
      </c>
    </row>
    <row r="67" spans="1:5" x14ac:dyDescent="0.3">
      <c r="A67">
        <v>386.279</v>
      </c>
      <c r="B67">
        <v>387.14800000000002</v>
      </c>
      <c r="C67" s="1">
        <f t="shared" si="3"/>
        <v>4.4708217592592595E-3</v>
      </c>
      <c r="D67" s="5">
        <f t="shared" si="4"/>
        <v>4.4808796296296298E-3</v>
      </c>
      <c r="E67" s="6">
        <f t="shared" si="5"/>
        <v>0.86899999999999755</v>
      </c>
    </row>
    <row r="68" spans="1:5" x14ac:dyDescent="0.3">
      <c r="A68">
        <v>388.67099999999999</v>
      </c>
      <c r="B68">
        <v>389.25299999999999</v>
      </c>
      <c r="C68" s="1">
        <f t="shared" si="3"/>
        <v>4.4985069444444447E-3</v>
      </c>
      <c r="D68" s="5">
        <f t="shared" si="4"/>
        <v>4.5052430555555557E-3</v>
      </c>
      <c r="E68" s="6">
        <f t="shared" si="5"/>
        <v>0.58199999999999086</v>
      </c>
    </row>
    <row r="69" spans="1:5" x14ac:dyDescent="0.3">
      <c r="A69">
        <v>390.61500000000001</v>
      </c>
      <c r="B69">
        <v>392.39400000000001</v>
      </c>
      <c r="C69" s="1">
        <f t="shared" si="3"/>
        <v>4.5210069444444447E-3</v>
      </c>
      <c r="D69" s="5">
        <f t="shared" si="4"/>
        <v>4.541597222222222E-3</v>
      </c>
      <c r="E69" s="6">
        <f t="shared" si="5"/>
        <v>1.7789999999999639</v>
      </c>
    </row>
    <row r="70" spans="1:5" x14ac:dyDescent="0.3">
      <c r="A70">
        <v>395.00400000000002</v>
      </c>
      <c r="B70">
        <v>395.78100000000001</v>
      </c>
      <c r="C70" s="1">
        <f t="shared" si="3"/>
        <v>4.5718055555555555E-3</v>
      </c>
      <c r="D70" s="5">
        <f t="shared" si="4"/>
        <v>4.580798611111111E-3</v>
      </c>
      <c r="E70" s="6">
        <f t="shared" si="5"/>
        <v>0.77699999999999436</v>
      </c>
    </row>
    <row r="71" spans="1:5" x14ac:dyDescent="0.3">
      <c r="A71">
        <v>397.62200000000001</v>
      </c>
      <c r="B71">
        <v>399.44499999999999</v>
      </c>
      <c r="C71" s="1">
        <f t="shared" si="3"/>
        <v>4.6021064814814813E-3</v>
      </c>
      <c r="D71" s="5">
        <f t="shared" si="4"/>
        <v>4.6232060185185187E-3</v>
      </c>
      <c r="E71" s="6">
        <f t="shared" si="5"/>
        <v>1.8230000000000275</v>
      </c>
    </row>
    <row r="72" spans="1:5" x14ac:dyDescent="0.3">
      <c r="A72">
        <v>404.05900000000003</v>
      </c>
      <c r="B72">
        <v>405.89699999999999</v>
      </c>
      <c r="C72" s="1">
        <f t="shared" si="3"/>
        <v>4.6766087962962968E-3</v>
      </c>
      <c r="D72" s="5">
        <f t="shared" si="4"/>
        <v>4.6978819444444446E-3</v>
      </c>
      <c r="E72" s="6">
        <f t="shared" si="5"/>
        <v>1.8379999999999757</v>
      </c>
    </row>
    <row r="73" spans="1:5" x14ac:dyDescent="0.3">
      <c r="A73">
        <v>409.029</v>
      </c>
      <c r="B73">
        <v>409.55</v>
      </c>
      <c r="C73" s="1">
        <f t="shared" si="3"/>
        <v>4.7341319444444445E-3</v>
      </c>
      <c r="D73" s="5">
        <f t="shared" si="4"/>
        <v>4.7401620370370375E-3</v>
      </c>
      <c r="E73" s="6">
        <f t="shared" si="5"/>
        <v>0.52100000000004087</v>
      </c>
    </row>
    <row r="74" spans="1:5" x14ac:dyDescent="0.3">
      <c r="A74">
        <v>414.04500000000002</v>
      </c>
      <c r="B74">
        <v>415.86700000000002</v>
      </c>
      <c r="C74" s="1">
        <f t="shared" si="3"/>
        <v>4.7921875000000004E-3</v>
      </c>
      <c r="D74" s="5">
        <f t="shared" si="4"/>
        <v>4.8132754629629628E-3</v>
      </c>
      <c r="E74" s="6">
        <f t="shared" si="5"/>
        <v>1.8219999999999459</v>
      </c>
    </row>
    <row r="75" spans="1:5" x14ac:dyDescent="0.3">
      <c r="A75">
        <v>419.71199999999999</v>
      </c>
      <c r="B75">
        <v>421.47199999999998</v>
      </c>
      <c r="C75" s="1">
        <f t="shared" si="3"/>
        <v>4.8577777777777777E-3</v>
      </c>
      <c r="D75" s="5">
        <f t="shared" si="4"/>
        <v>4.8781481481481479E-3</v>
      </c>
      <c r="E75" s="6">
        <f t="shared" si="5"/>
        <v>1.7599999999999894</v>
      </c>
    </row>
    <row r="76" spans="1:5" x14ac:dyDescent="0.3">
      <c r="A76">
        <v>424.59800000000001</v>
      </c>
      <c r="B76">
        <v>426.35700000000003</v>
      </c>
      <c r="C76" s="1">
        <f t="shared" si="3"/>
        <v>4.9143287037037037E-3</v>
      </c>
      <c r="D76" s="5">
        <f t="shared" si="4"/>
        <v>4.9346875000000007E-3</v>
      </c>
      <c r="E76" s="6">
        <f t="shared" si="5"/>
        <v>1.7590000000000576</v>
      </c>
    </row>
    <row r="77" spans="1:5" x14ac:dyDescent="0.3">
      <c r="A77">
        <v>427.935</v>
      </c>
      <c r="B77">
        <v>428.44499999999999</v>
      </c>
      <c r="C77" s="1">
        <f t="shared" si="3"/>
        <v>4.9529513888888887E-3</v>
      </c>
      <c r="D77" s="5">
        <f t="shared" si="4"/>
        <v>4.958854166666667E-3</v>
      </c>
      <c r="E77" s="6">
        <f t="shared" si="5"/>
        <v>0.51000000000004375</v>
      </c>
    </row>
    <row r="78" spans="1:5" x14ac:dyDescent="0.3">
      <c r="A78">
        <v>434.58800000000002</v>
      </c>
      <c r="B78">
        <v>436.31900000000002</v>
      </c>
      <c r="C78" s="1">
        <f t="shared" si="3"/>
        <v>5.029953703703704E-3</v>
      </c>
      <c r="D78" s="5">
        <f t="shared" si="4"/>
        <v>5.0499884259259265E-3</v>
      </c>
      <c r="E78" s="6">
        <f t="shared" si="5"/>
        <v>1.7310000000000243</v>
      </c>
    </row>
    <row r="79" spans="1:5" x14ac:dyDescent="0.3">
      <c r="A79">
        <v>438.63600000000002</v>
      </c>
      <c r="B79">
        <v>439.14499999999998</v>
      </c>
      <c r="C79" s="1">
        <f t="shared" si="3"/>
        <v>5.0768055555555558E-3</v>
      </c>
      <c r="D79" s="5">
        <f t="shared" si="4"/>
        <v>5.082696759259259E-3</v>
      </c>
      <c r="E79" s="6">
        <f t="shared" si="5"/>
        <v>0.50899999999996226</v>
      </c>
    </row>
    <row r="80" spans="1:5" x14ac:dyDescent="0.3">
      <c r="A80">
        <v>444.31</v>
      </c>
      <c r="B80">
        <v>446.31400000000002</v>
      </c>
      <c r="C80" s="1">
        <f t="shared" si="3"/>
        <v>5.1424768518518521E-3</v>
      </c>
      <c r="D80" s="5">
        <f t="shared" si="4"/>
        <v>5.1656712962962967E-3</v>
      </c>
      <c r="E80" s="6">
        <f t="shared" si="5"/>
        <v>2.0040000000000142</v>
      </c>
    </row>
    <row r="81" spans="1:5" x14ac:dyDescent="0.3">
      <c r="A81">
        <v>449.83100000000002</v>
      </c>
      <c r="B81">
        <v>450.57799999999997</v>
      </c>
      <c r="C81" s="1">
        <f t="shared" si="3"/>
        <v>5.2063773148148147E-3</v>
      </c>
      <c r="D81" s="5">
        <f t="shared" si="4"/>
        <v>5.2150231481481474E-3</v>
      </c>
      <c r="E81" s="6">
        <f t="shared" si="5"/>
        <v>0.74699999999994771</v>
      </c>
    </row>
    <row r="82" spans="1:5" x14ac:dyDescent="0.3">
      <c r="A82">
        <v>456.798</v>
      </c>
      <c r="B82">
        <v>458.69799999999998</v>
      </c>
      <c r="C82" s="1">
        <f t="shared" si="3"/>
        <v>5.2870138888888888E-3</v>
      </c>
      <c r="D82" s="5">
        <f t="shared" si="4"/>
        <v>5.3090046296296297E-3</v>
      </c>
      <c r="E82" s="6">
        <f t="shared" si="5"/>
        <v>1.9000000000000072</v>
      </c>
    </row>
    <row r="83" spans="1:5" x14ac:dyDescent="0.3">
      <c r="A83">
        <v>463.75200000000001</v>
      </c>
      <c r="B83">
        <v>464.363</v>
      </c>
      <c r="C83" s="1">
        <f t="shared" si="3"/>
        <v>5.3674999999999999E-3</v>
      </c>
      <c r="D83" s="5">
        <f t="shared" si="4"/>
        <v>5.3745717592592595E-3</v>
      </c>
      <c r="E83" s="6">
        <f t="shared" si="5"/>
        <v>0.61100000000003096</v>
      </c>
    </row>
    <row r="84" spans="1:5" x14ac:dyDescent="0.3">
      <c r="A84">
        <v>466.23700000000002</v>
      </c>
      <c r="B84">
        <v>468.13299999999998</v>
      </c>
      <c r="C84" s="1">
        <f t="shared" si="3"/>
        <v>5.3962615740740742E-3</v>
      </c>
      <c r="D84" s="5">
        <f t="shared" si="4"/>
        <v>5.4182060185185184E-3</v>
      </c>
      <c r="E84" s="6">
        <f t="shared" si="5"/>
        <v>1.895999999999981</v>
      </c>
    </row>
    <row r="85" spans="1:5" x14ac:dyDescent="0.3">
      <c r="A85">
        <v>473.69</v>
      </c>
      <c r="B85">
        <v>475.44499999999999</v>
      </c>
      <c r="C85" s="1">
        <f t="shared" si="3"/>
        <v>5.4825231481481478E-3</v>
      </c>
      <c r="D85" s="5">
        <f t="shared" si="4"/>
        <v>5.5028356481481482E-3</v>
      </c>
      <c r="E85" s="6">
        <f t="shared" si="5"/>
        <v>1.7550000000000314</v>
      </c>
    </row>
    <row r="86" spans="1:5" x14ac:dyDescent="0.3">
      <c r="A86">
        <v>477.084</v>
      </c>
      <c r="B86">
        <v>477.80099999999999</v>
      </c>
      <c r="C86" s="1">
        <f t="shared" si="3"/>
        <v>5.5218055555555558E-3</v>
      </c>
      <c r="D86" s="5">
        <f t="shared" si="4"/>
        <v>5.5301041666666667E-3</v>
      </c>
      <c r="E86" s="6">
        <f t="shared" si="5"/>
        <v>0.71699999999997599</v>
      </c>
    </row>
    <row r="87" spans="1:5" x14ac:dyDescent="0.3">
      <c r="A87">
        <v>481.11700000000002</v>
      </c>
      <c r="B87">
        <v>482.86399999999998</v>
      </c>
      <c r="C87" s="1">
        <f t="shared" si="3"/>
        <v>5.5684837962962962E-3</v>
      </c>
      <c r="D87" s="5">
        <f t="shared" si="4"/>
        <v>5.5887037037037034E-3</v>
      </c>
      <c r="E87" s="6">
        <f t="shared" si="5"/>
        <v>1.746999999999979</v>
      </c>
    </row>
    <row r="88" spans="1:5" x14ac:dyDescent="0.3">
      <c r="A88">
        <v>487.89800000000002</v>
      </c>
      <c r="B88">
        <v>489.697</v>
      </c>
      <c r="C88" s="1">
        <f t="shared" si="3"/>
        <v>5.6469675925925932E-3</v>
      </c>
      <c r="D88" s="5">
        <f t="shared" si="4"/>
        <v>5.6677893518518518E-3</v>
      </c>
      <c r="E88" s="6">
        <f t="shared" si="5"/>
        <v>1.7989999999999451</v>
      </c>
    </row>
    <row r="89" spans="1:5" x14ac:dyDescent="0.3">
      <c r="A89">
        <v>492.68200000000002</v>
      </c>
      <c r="B89">
        <v>494.56900000000002</v>
      </c>
      <c r="C89" s="1">
        <f t="shared" si="3"/>
        <v>5.7023379629629629E-3</v>
      </c>
      <c r="D89" s="5">
        <f t="shared" si="4"/>
        <v>5.7241782407407406E-3</v>
      </c>
      <c r="E89" s="6">
        <f t="shared" si="5"/>
        <v>1.8869999999999969</v>
      </c>
    </row>
    <row r="90" spans="1:5" x14ac:dyDescent="0.3">
      <c r="A90">
        <v>497.44200000000001</v>
      </c>
      <c r="B90">
        <v>498.23099999999999</v>
      </c>
      <c r="C90" s="1">
        <f t="shared" si="3"/>
        <v>5.7574305555555556E-3</v>
      </c>
      <c r="D90" s="5">
        <f t="shared" si="4"/>
        <v>5.7665625E-3</v>
      </c>
      <c r="E90" s="6">
        <f t="shared" si="5"/>
        <v>0.78899999999999804</v>
      </c>
    </row>
    <row r="91" spans="1:5" x14ac:dyDescent="0.3">
      <c r="A91">
        <v>500.59199999999998</v>
      </c>
      <c r="B91">
        <v>502.41199999999998</v>
      </c>
      <c r="C91" s="1">
        <f t="shared" si="3"/>
        <v>5.7938888888888884E-3</v>
      </c>
      <c r="D91" s="5">
        <f t="shared" si="4"/>
        <v>5.8149537037037033E-3</v>
      </c>
      <c r="E91" s="6">
        <f t="shared" si="5"/>
        <v>1.8200000000000078</v>
      </c>
    </row>
    <row r="92" spans="1:5" x14ac:dyDescent="0.3">
      <c r="A92">
        <v>510.91899999999998</v>
      </c>
      <c r="B92">
        <v>512.63900000000001</v>
      </c>
      <c r="C92" s="1">
        <f t="shared" si="3"/>
        <v>5.913414351851852E-3</v>
      </c>
      <c r="D92" s="5">
        <f t="shared" si="4"/>
        <v>5.9333217592592597E-3</v>
      </c>
      <c r="E92" s="6">
        <f t="shared" si="5"/>
        <v>1.7200000000000271</v>
      </c>
    </row>
    <row r="93" spans="1:5" x14ac:dyDescent="0.3">
      <c r="A93">
        <v>516.08600000000001</v>
      </c>
      <c r="B93">
        <v>517.87699999999995</v>
      </c>
      <c r="C93" s="1">
        <f t="shared" si="3"/>
        <v>5.9732175925925925E-3</v>
      </c>
      <c r="D93" s="5">
        <f t="shared" si="4"/>
        <v>5.9939467592592588E-3</v>
      </c>
      <c r="E93" s="6">
        <f t="shared" si="5"/>
        <v>1.7909999999999675</v>
      </c>
    </row>
    <row r="94" spans="1:5" x14ac:dyDescent="0.3">
      <c r="A94">
        <v>523.26400000000001</v>
      </c>
      <c r="B94">
        <v>525.09100000000001</v>
      </c>
      <c r="C94" s="1">
        <f t="shared" si="3"/>
        <v>6.0562962962962966E-3</v>
      </c>
      <c r="D94" s="5">
        <f t="shared" si="4"/>
        <v>6.0774421296296297E-3</v>
      </c>
      <c r="E94" s="6">
        <f t="shared" si="5"/>
        <v>1.8269999999999786</v>
      </c>
    </row>
    <row r="95" spans="1:5" x14ac:dyDescent="0.3">
      <c r="A95">
        <v>527.03899999999999</v>
      </c>
      <c r="B95">
        <v>527.79700000000003</v>
      </c>
      <c r="C95" s="1">
        <f t="shared" si="3"/>
        <v>6.0999884259259254E-3</v>
      </c>
      <c r="D95" s="5">
        <f t="shared" si="4"/>
        <v>6.1087615740740746E-3</v>
      </c>
      <c r="E95" s="6">
        <f t="shared" si="5"/>
        <v>0.75800000000009471</v>
      </c>
    </row>
    <row r="96" spans="1:5" x14ac:dyDescent="0.3">
      <c r="A96">
        <v>534.399</v>
      </c>
      <c r="B96">
        <v>536.197</v>
      </c>
      <c r="C96" s="1">
        <f t="shared" si="3"/>
        <v>6.1851736111111109E-3</v>
      </c>
      <c r="D96" s="5">
        <f t="shared" si="4"/>
        <v>6.2059837962962962E-3</v>
      </c>
      <c r="E96" s="6">
        <f t="shared" si="5"/>
        <v>1.7980000000000134</v>
      </c>
    </row>
    <row r="97" spans="1:5" x14ac:dyDescent="0.3">
      <c r="A97">
        <v>544.09400000000005</v>
      </c>
      <c r="B97">
        <v>544.62099999999998</v>
      </c>
      <c r="C97" s="1">
        <f t="shared" si="3"/>
        <v>6.2973842592592595E-3</v>
      </c>
      <c r="D97" s="5">
        <f t="shared" si="4"/>
        <v>6.3034837962962957E-3</v>
      </c>
      <c r="E97" s="6">
        <f t="shared" si="5"/>
        <v>0.5269999999999303</v>
      </c>
    </row>
    <row r="98" spans="1:5" x14ac:dyDescent="0.3">
      <c r="A98">
        <v>546.529</v>
      </c>
      <c r="B98">
        <v>548.476</v>
      </c>
      <c r="C98" s="1">
        <f t="shared" si="3"/>
        <v>6.3255671296296298E-3</v>
      </c>
      <c r="D98" s="5">
        <f t="shared" si="4"/>
        <v>6.3481018518518522E-3</v>
      </c>
      <c r="E98" s="6">
        <f t="shared" si="5"/>
        <v>1.9470000000000154</v>
      </c>
    </row>
    <row r="99" spans="1:5" x14ac:dyDescent="0.3">
      <c r="A99">
        <v>553.14400000000001</v>
      </c>
      <c r="B99">
        <v>553.90099999999995</v>
      </c>
      <c r="C99" s="1">
        <f t="shared" si="3"/>
        <v>6.40212962962963E-3</v>
      </c>
      <c r="D99" s="5">
        <f t="shared" si="4"/>
        <v>6.4108912037037034E-3</v>
      </c>
      <c r="E99" s="6">
        <f t="shared" si="5"/>
        <v>0.75699999999993828</v>
      </c>
    </row>
    <row r="100" spans="1:5" x14ac:dyDescent="0.3">
      <c r="A100">
        <v>556.89700000000005</v>
      </c>
      <c r="B100">
        <v>558.62599999999998</v>
      </c>
      <c r="C100" s="1">
        <f t="shared" si="3"/>
        <v>6.4455671296296301E-3</v>
      </c>
      <c r="D100" s="5">
        <f t="shared" si="4"/>
        <v>6.4655787037037034E-3</v>
      </c>
      <c r="E100" s="6">
        <f t="shared" si="5"/>
        <v>1.7289999999999361</v>
      </c>
    </row>
    <row r="101" spans="1:5" x14ac:dyDescent="0.3">
      <c r="A101">
        <v>561.74599999999998</v>
      </c>
      <c r="B101">
        <v>562.49400000000003</v>
      </c>
      <c r="C101" s="1">
        <f t="shared" si="3"/>
        <v>6.5016898148148143E-3</v>
      </c>
      <c r="D101" s="5">
        <f t="shared" si="4"/>
        <v>6.5103472222222229E-3</v>
      </c>
      <c r="E101" s="6">
        <f t="shared" si="5"/>
        <v>0.74800000000010414</v>
      </c>
    </row>
    <row r="102" spans="1:5" x14ac:dyDescent="0.3">
      <c r="A102">
        <v>567.00199999999995</v>
      </c>
      <c r="B102">
        <v>568.745</v>
      </c>
      <c r="C102" s="1">
        <f t="shared" si="3"/>
        <v>6.5625231481481472E-3</v>
      </c>
      <c r="D102" s="5">
        <f t="shared" si="4"/>
        <v>6.5826967592592595E-3</v>
      </c>
      <c r="E102" s="6">
        <f t="shared" si="5"/>
        <v>1.7430000000001029</v>
      </c>
    </row>
    <row r="103" spans="1:5" x14ac:dyDescent="0.3">
      <c r="A103">
        <v>573.71799999999996</v>
      </c>
      <c r="B103">
        <v>575.44200000000001</v>
      </c>
      <c r="C103" s="1">
        <f t="shared" si="3"/>
        <v>6.6402546296296288E-3</v>
      </c>
      <c r="D103" s="5">
        <f t="shared" si="4"/>
        <v>6.6602083333333331E-3</v>
      </c>
      <c r="E103" s="6">
        <f t="shared" si="5"/>
        <v>1.7240000000000533</v>
      </c>
    </row>
    <row r="104" spans="1:5" x14ac:dyDescent="0.3">
      <c r="A104">
        <v>584.21100000000001</v>
      </c>
      <c r="B104">
        <v>586.05600000000004</v>
      </c>
      <c r="C104" s="1">
        <f t="shared" si="3"/>
        <v>6.7617013888888891E-3</v>
      </c>
      <c r="D104" s="5">
        <f t="shared" si="4"/>
        <v>6.7830555555555561E-3</v>
      </c>
      <c r="E104" s="6">
        <f t="shared" si="5"/>
        <v>1.8450000000000215</v>
      </c>
    </row>
    <row r="105" spans="1:5" x14ac:dyDescent="0.3">
      <c r="A105">
        <v>590.51300000000003</v>
      </c>
      <c r="B105">
        <v>591.10900000000004</v>
      </c>
      <c r="C105" s="1">
        <f t="shared" si="3"/>
        <v>6.8346412037037039E-3</v>
      </c>
      <c r="D105" s="5">
        <f t="shared" si="4"/>
        <v>6.8415393518518521E-3</v>
      </c>
      <c r="E105" s="6">
        <f t="shared" si="5"/>
        <v>0.59600000000000763</v>
      </c>
    </row>
    <row r="106" spans="1:5" x14ac:dyDescent="0.3">
      <c r="A106">
        <v>595.96</v>
      </c>
      <c r="B106">
        <v>597.93700000000001</v>
      </c>
      <c r="C106" s="1">
        <f t="shared" si="3"/>
        <v>6.8976851851851855E-3</v>
      </c>
      <c r="D106" s="5">
        <f t="shared" si="4"/>
        <v>6.9205671296296298E-3</v>
      </c>
      <c r="E106" s="6">
        <f t="shared" si="5"/>
        <v>1.976999999999987</v>
      </c>
    </row>
    <row r="107" spans="1:5" x14ac:dyDescent="0.3">
      <c r="A107">
        <v>599.35500000000002</v>
      </c>
      <c r="B107">
        <v>600.10299999999995</v>
      </c>
      <c r="C107" s="1">
        <f t="shared" si="3"/>
        <v>6.9369791666666668E-3</v>
      </c>
      <c r="D107" s="5">
        <f t="shared" si="4"/>
        <v>6.9456365740740737E-3</v>
      </c>
      <c r="E107" s="6">
        <f t="shared" si="5"/>
        <v>0.74799999999995426</v>
      </c>
    </row>
    <row r="108" spans="1:5" x14ac:dyDescent="0.3">
      <c r="A108">
        <v>603.16399999999999</v>
      </c>
      <c r="B108">
        <v>603.67899999999997</v>
      </c>
      <c r="C108" s="1">
        <f t="shared" si="3"/>
        <v>6.9810648148148149E-3</v>
      </c>
      <c r="D108" s="5">
        <f t="shared" si="4"/>
        <v>6.9870254629629622E-3</v>
      </c>
      <c r="E108" s="6">
        <f t="shared" si="5"/>
        <v>0.51499999999992663</v>
      </c>
    </row>
    <row r="109" spans="1:5" x14ac:dyDescent="0.3">
      <c r="A109">
        <v>607.92499999999995</v>
      </c>
      <c r="B109">
        <v>609.71199999999999</v>
      </c>
      <c r="C109" s="1">
        <f t="shared" si="3"/>
        <v>7.0361689814814809E-3</v>
      </c>
      <c r="D109" s="5">
        <f t="shared" si="4"/>
        <v>7.0568518518518515E-3</v>
      </c>
      <c r="E109" s="6">
        <f t="shared" si="5"/>
        <v>1.7870000000000164</v>
      </c>
    </row>
    <row r="110" spans="1:5" x14ac:dyDescent="0.3">
      <c r="A110">
        <v>610.53800000000001</v>
      </c>
      <c r="B110">
        <v>611.31600000000003</v>
      </c>
      <c r="C110" s="1">
        <f t="shared" si="3"/>
        <v>7.0664120370370368E-3</v>
      </c>
      <c r="D110" s="5">
        <f t="shared" si="4"/>
        <v>7.0754166666666674E-3</v>
      </c>
      <c r="E110" s="6">
        <f t="shared" si="5"/>
        <v>0.77800000000007585</v>
      </c>
    </row>
    <row r="111" spans="1:5" x14ac:dyDescent="0.3">
      <c r="A111">
        <v>615.96400000000006</v>
      </c>
      <c r="B111">
        <v>617.74800000000005</v>
      </c>
      <c r="C111" s="1">
        <f t="shared" si="3"/>
        <v>7.1292129629629639E-3</v>
      </c>
      <c r="D111" s="5">
        <f t="shared" si="4"/>
        <v>7.149861111111112E-3</v>
      </c>
      <c r="E111" s="6">
        <f t="shared" si="5"/>
        <v>1.7839999999999967</v>
      </c>
    </row>
    <row r="112" spans="1:5" x14ac:dyDescent="0.3">
      <c r="A112">
        <v>620.90599999999995</v>
      </c>
      <c r="B112">
        <v>621.43200000000002</v>
      </c>
      <c r="C112" s="1">
        <f t="shared" si="3"/>
        <v>7.1864120370370363E-3</v>
      </c>
      <c r="D112" s="5">
        <f t="shared" si="4"/>
        <v>7.1925000000000001E-3</v>
      </c>
      <c r="E112" s="6">
        <f t="shared" si="5"/>
        <v>0.52600000000007363</v>
      </c>
    </row>
    <row r="113" spans="1:5" x14ac:dyDescent="0.3">
      <c r="A113">
        <v>623.08000000000004</v>
      </c>
      <c r="B113">
        <v>624.89599999999996</v>
      </c>
      <c r="C113" s="1">
        <f t="shared" si="3"/>
        <v>7.2115740740740742E-3</v>
      </c>
      <c r="D113" s="5">
        <f t="shared" si="4"/>
        <v>7.2325925925925917E-3</v>
      </c>
      <c r="E113" s="6">
        <f t="shared" si="5"/>
        <v>1.8159999999999066</v>
      </c>
    </row>
    <row r="114" spans="1:5" x14ac:dyDescent="0.3">
      <c r="A114">
        <v>629.76</v>
      </c>
      <c r="B114">
        <v>630.28099999999995</v>
      </c>
      <c r="C114" s="1">
        <f t="shared" si="3"/>
        <v>7.288888888888889E-3</v>
      </c>
      <c r="D114" s="5">
        <f t="shared" si="4"/>
        <v>7.2949189814814812E-3</v>
      </c>
      <c r="E114" s="6">
        <f t="shared" si="5"/>
        <v>0.52099999999996593</v>
      </c>
    </row>
    <row r="115" spans="1:5" x14ac:dyDescent="0.3">
      <c r="A115">
        <v>632.48800000000006</v>
      </c>
      <c r="B115">
        <v>634.39200000000005</v>
      </c>
      <c r="C115" s="1">
        <f t="shared" si="3"/>
        <v>7.3204629629629635E-3</v>
      </c>
      <c r="D115" s="5">
        <f t="shared" si="4"/>
        <v>7.3425000000000009E-3</v>
      </c>
      <c r="E115" s="6">
        <f t="shared" si="5"/>
        <v>1.9040000000000334</v>
      </c>
    </row>
    <row r="116" spans="1:5" x14ac:dyDescent="0.3">
      <c r="A116">
        <v>637.61300000000006</v>
      </c>
      <c r="B116">
        <v>638.11300000000006</v>
      </c>
      <c r="C116" s="1">
        <f t="shared" si="3"/>
        <v>7.3797800925925932E-3</v>
      </c>
      <c r="D116" s="5">
        <f t="shared" si="4"/>
        <v>7.3855671296296299E-3</v>
      </c>
      <c r="E116" s="6">
        <f t="shared" si="5"/>
        <v>0.49999999999997824</v>
      </c>
    </row>
    <row r="117" spans="1:5" x14ac:dyDescent="0.3">
      <c r="A117">
        <v>641.01300000000003</v>
      </c>
      <c r="B117">
        <v>641.75400000000002</v>
      </c>
      <c r="C117" s="1">
        <f t="shared" si="3"/>
        <v>7.4191319444444452E-3</v>
      </c>
      <c r="D117" s="5">
        <f t="shared" si="4"/>
        <v>7.4277083333333339E-3</v>
      </c>
      <c r="E117" s="6">
        <f t="shared" si="5"/>
        <v>0.74099999999998334</v>
      </c>
    </row>
    <row r="118" spans="1:5" x14ac:dyDescent="0.3">
      <c r="A118">
        <v>647.16200000000003</v>
      </c>
      <c r="B118">
        <v>648.86800000000005</v>
      </c>
      <c r="C118" s="1">
        <f t="shared" si="3"/>
        <v>7.4903009259259263E-3</v>
      </c>
      <c r="D118" s="5">
        <f t="shared" si="4"/>
        <v>7.5100462962962968E-3</v>
      </c>
      <c r="E118" s="6">
        <f t="shared" si="5"/>
        <v>1.7060000000000102</v>
      </c>
    </row>
    <row r="119" spans="1:5" x14ac:dyDescent="0.3">
      <c r="A119">
        <v>651.93700000000001</v>
      </c>
      <c r="B119">
        <v>653.61599999999999</v>
      </c>
      <c r="C119" s="1">
        <f t="shared" si="3"/>
        <v>7.5455671296296295E-3</v>
      </c>
      <c r="D119" s="5">
        <f t="shared" si="4"/>
        <v>7.5649999999999997E-3</v>
      </c>
      <c r="E119" s="6">
        <f t="shared" si="5"/>
        <v>1.6789999999999834</v>
      </c>
    </row>
    <row r="120" spans="1:5" x14ac:dyDescent="0.3">
      <c r="A120">
        <v>656.75900000000001</v>
      </c>
      <c r="B120">
        <v>658.62900000000002</v>
      </c>
      <c r="C120" s="1">
        <f t="shared" si="3"/>
        <v>7.6013773148148151E-3</v>
      </c>
      <c r="D120" s="5">
        <f t="shared" si="4"/>
        <v>7.6230208333333332E-3</v>
      </c>
      <c r="E120" s="6">
        <f t="shared" si="5"/>
        <v>1.8699999999999606</v>
      </c>
    </row>
    <row r="121" spans="1:5" x14ac:dyDescent="0.3">
      <c r="A121">
        <v>661.58399999999995</v>
      </c>
      <c r="B121">
        <v>663.33799999999997</v>
      </c>
      <c r="C121" s="1">
        <f t="shared" si="3"/>
        <v>7.6572222222222215E-3</v>
      </c>
      <c r="D121" s="5">
        <f t="shared" si="4"/>
        <v>7.6775231481481477E-3</v>
      </c>
      <c r="E121" s="6">
        <f t="shared" si="5"/>
        <v>1.7540000000000249</v>
      </c>
    </row>
    <row r="122" spans="1:5" x14ac:dyDescent="0.3">
      <c r="A122">
        <v>667.46</v>
      </c>
      <c r="B122">
        <v>668.25099999999998</v>
      </c>
      <c r="C122" s="1">
        <f t="shared" si="3"/>
        <v>7.7252314814814822E-3</v>
      </c>
      <c r="D122" s="5">
        <f t="shared" si="4"/>
        <v>7.7343865740740741E-3</v>
      </c>
      <c r="E122" s="6">
        <f t="shared" si="5"/>
        <v>0.7909999999999362</v>
      </c>
    </row>
    <row r="123" spans="1:5" x14ac:dyDescent="0.3">
      <c r="A123">
        <v>672.44299999999998</v>
      </c>
      <c r="B123">
        <v>674.20299999999997</v>
      </c>
      <c r="C123" s="1">
        <f t="shared" si="3"/>
        <v>7.7829050925925921E-3</v>
      </c>
      <c r="D123" s="5">
        <f t="shared" si="4"/>
        <v>7.8032754629629624E-3</v>
      </c>
      <c r="E123" s="6">
        <f t="shared" si="5"/>
        <v>1.7599999999999894</v>
      </c>
    </row>
    <row r="124" spans="1:5" x14ac:dyDescent="0.3">
      <c r="A124">
        <v>679.23500000000001</v>
      </c>
      <c r="B124">
        <v>680.06799999999998</v>
      </c>
      <c r="C124" s="1">
        <f t="shared" si="3"/>
        <v>7.8615162037037039E-3</v>
      </c>
      <c r="D124" s="5">
        <f t="shared" si="4"/>
        <v>7.8711574074074066E-3</v>
      </c>
      <c r="E124" s="6">
        <f t="shared" si="5"/>
        <v>0.83299999999991159</v>
      </c>
    </row>
    <row r="125" spans="1:5" x14ac:dyDescent="0.3">
      <c r="A125">
        <v>685.85</v>
      </c>
      <c r="B125">
        <v>687.6</v>
      </c>
      <c r="C125" s="1">
        <f t="shared" si="3"/>
        <v>7.9380787037037041E-3</v>
      </c>
      <c r="D125" s="5">
        <f t="shared" si="4"/>
        <v>7.9583333333333329E-3</v>
      </c>
      <c r="E125" s="6">
        <f t="shared" si="5"/>
        <v>1.7499999999999238</v>
      </c>
    </row>
    <row r="126" spans="1:5" x14ac:dyDescent="0.3">
      <c r="A126">
        <v>691.78499999999997</v>
      </c>
      <c r="B126">
        <v>693.58100000000002</v>
      </c>
      <c r="C126" s="1">
        <f t="shared" si="3"/>
        <v>8.0067708333333328E-3</v>
      </c>
      <c r="D126" s="5">
        <f t="shared" si="4"/>
        <v>8.0275578703703707E-3</v>
      </c>
      <c r="E126" s="6">
        <f t="shared" si="5"/>
        <v>1.7960000000000753</v>
      </c>
    </row>
    <row r="127" spans="1:5" x14ac:dyDescent="0.3">
      <c r="A127">
        <v>699.03599999999994</v>
      </c>
      <c r="B127">
        <v>700.82299999999998</v>
      </c>
      <c r="C127" s="1">
        <f t="shared" si="3"/>
        <v>8.0906944444444438E-3</v>
      </c>
      <c r="D127" s="5">
        <f t="shared" si="4"/>
        <v>8.1113773148148143E-3</v>
      </c>
      <c r="E127" s="6">
        <f t="shared" si="5"/>
        <v>1.7870000000000164</v>
      </c>
    </row>
    <row r="128" spans="1:5" x14ac:dyDescent="0.3">
      <c r="A128">
        <v>705.745</v>
      </c>
      <c r="B128">
        <v>707.47799999999995</v>
      </c>
      <c r="C128" s="1">
        <f t="shared" si="3"/>
        <v>8.1683449074074072E-3</v>
      </c>
      <c r="D128" s="5">
        <f t="shared" si="4"/>
        <v>8.1884027777777771E-3</v>
      </c>
      <c r="E128" s="6">
        <f t="shared" si="5"/>
        <v>1.7329999999999623</v>
      </c>
    </row>
    <row r="129" spans="1:5" x14ac:dyDescent="0.3">
      <c r="A129">
        <v>713.327</v>
      </c>
      <c r="B129">
        <v>714.10400000000004</v>
      </c>
      <c r="C129" s="1">
        <f t="shared" si="3"/>
        <v>8.2560995370370375E-3</v>
      </c>
      <c r="D129" s="5">
        <f t="shared" si="4"/>
        <v>8.265092592592593E-3</v>
      </c>
      <c r="E129" s="6">
        <f t="shared" si="5"/>
        <v>0.77699999999999436</v>
      </c>
    </row>
    <row r="130" spans="1:5" x14ac:dyDescent="0.3">
      <c r="A130">
        <v>717.47299999999996</v>
      </c>
      <c r="B130">
        <v>719.20500000000004</v>
      </c>
      <c r="C130" s="1">
        <f t="shared" ref="C130:C193" si="6">A130/86400</f>
        <v>8.3040856481481472E-3</v>
      </c>
      <c r="D130" s="5">
        <f t="shared" ref="D130:D193" si="7">B130/86400</f>
        <v>8.3241319444444448E-3</v>
      </c>
      <c r="E130" s="6">
        <f t="shared" ref="E130:E193" si="8">(D130-C130)*86400</f>
        <v>1.7320000000001057</v>
      </c>
    </row>
    <row r="131" spans="1:5" x14ac:dyDescent="0.3">
      <c r="A131">
        <v>723.99199999999996</v>
      </c>
      <c r="B131">
        <v>724.51199999999994</v>
      </c>
      <c r="C131" s="1">
        <f t="shared" si="6"/>
        <v>8.379537037037036E-3</v>
      </c>
      <c r="D131" s="5">
        <f t="shared" si="7"/>
        <v>8.3855555555555541E-3</v>
      </c>
      <c r="E131" s="6">
        <f t="shared" si="8"/>
        <v>0.51999999999995938</v>
      </c>
    </row>
    <row r="132" spans="1:5" x14ac:dyDescent="0.3">
      <c r="A132">
        <v>728.20399999999995</v>
      </c>
      <c r="B132">
        <v>729.98500000000001</v>
      </c>
      <c r="C132" s="1">
        <f t="shared" si="6"/>
        <v>8.4282870370370362E-3</v>
      </c>
      <c r="D132" s="5">
        <f t="shared" si="7"/>
        <v>8.4489004629629636E-3</v>
      </c>
      <c r="E132" s="6">
        <f t="shared" si="8"/>
        <v>1.7810000000001269</v>
      </c>
    </row>
    <row r="133" spans="1:5" x14ac:dyDescent="0.3">
      <c r="A133">
        <v>733.79499999999996</v>
      </c>
      <c r="B133">
        <v>734.65899999999999</v>
      </c>
      <c r="C133" s="1">
        <f t="shared" si="6"/>
        <v>8.492997685185185E-3</v>
      </c>
      <c r="D133" s="5">
        <f t="shared" si="7"/>
        <v>8.5029976851851846E-3</v>
      </c>
      <c r="E133" s="6">
        <f t="shared" si="8"/>
        <v>0.8639999999999648</v>
      </c>
    </row>
    <row r="134" spans="1:5" x14ac:dyDescent="0.3">
      <c r="A134">
        <v>738.476</v>
      </c>
      <c r="B134">
        <v>740.41300000000001</v>
      </c>
      <c r="C134" s="1">
        <f t="shared" si="6"/>
        <v>8.5471759259259251E-3</v>
      </c>
      <c r="D134" s="5">
        <f t="shared" si="7"/>
        <v>8.5695949074074077E-3</v>
      </c>
      <c r="E134" s="6">
        <f t="shared" si="8"/>
        <v>1.9370000000000998</v>
      </c>
    </row>
    <row r="135" spans="1:5" x14ac:dyDescent="0.3">
      <c r="A135">
        <v>745.54100000000005</v>
      </c>
      <c r="B135">
        <v>746.32799999999997</v>
      </c>
      <c r="C135" s="1">
        <f t="shared" si="6"/>
        <v>8.6289467592592598E-3</v>
      </c>
      <c r="D135" s="5">
        <f t="shared" si="7"/>
        <v>8.6380555555555551E-3</v>
      </c>
      <c r="E135" s="6">
        <f t="shared" si="8"/>
        <v>0.78699999999990999</v>
      </c>
    </row>
    <row r="136" spans="1:5" x14ac:dyDescent="0.3">
      <c r="A136">
        <v>748.54899999999998</v>
      </c>
      <c r="B136">
        <v>750.26599999999996</v>
      </c>
      <c r="C136" s="1">
        <f t="shared" si="6"/>
        <v>8.6637615740740737E-3</v>
      </c>
      <c r="D136" s="5">
        <f t="shared" si="7"/>
        <v>8.683634259259259E-3</v>
      </c>
      <c r="E136" s="6">
        <f t="shared" si="8"/>
        <v>1.7170000000000074</v>
      </c>
    </row>
    <row r="137" spans="1:5" x14ac:dyDescent="0.3">
      <c r="A137">
        <v>754.33600000000001</v>
      </c>
      <c r="B137">
        <v>755.11099999999999</v>
      </c>
      <c r="C137" s="1">
        <f t="shared" si="6"/>
        <v>8.7307407407407403E-3</v>
      </c>
      <c r="D137" s="5">
        <f t="shared" si="7"/>
        <v>8.7397106481481475E-3</v>
      </c>
      <c r="E137" s="6">
        <f t="shared" si="8"/>
        <v>0.77499999999998126</v>
      </c>
    </row>
    <row r="138" spans="1:5" x14ac:dyDescent="0.3">
      <c r="A138">
        <v>758.077</v>
      </c>
      <c r="B138">
        <v>759.80600000000004</v>
      </c>
      <c r="C138" s="1">
        <f t="shared" si="6"/>
        <v>8.7740393518518523E-3</v>
      </c>
      <c r="D138" s="5">
        <f t="shared" si="7"/>
        <v>8.7940509259259256E-3</v>
      </c>
      <c r="E138" s="6">
        <f t="shared" si="8"/>
        <v>1.7289999999999361</v>
      </c>
    </row>
    <row r="139" spans="1:5" x14ac:dyDescent="0.3">
      <c r="A139">
        <v>762.00900000000001</v>
      </c>
      <c r="B139">
        <v>762.75599999999997</v>
      </c>
      <c r="C139" s="1">
        <f t="shared" si="6"/>
        <v>8.8195486111111113E-3</v>
      </c>
      <c r="D139" s="5">
        <f t="shared" si="7"/>
        <v>8.8281944444444441E-3</v>
      </c>
      <c r="E139" s="6">
        <f t="shared" si="8"/>
        <v>0.74699999999994771</v>
      </c>
    </row>
    <row r="140" spans="1:5" x14ac:dyDescent="0.3">
      <c r="A140">
        <v>765.71900000000005</v>
      </c>
      <c r="B140">
        <v>767.47400000000005</v>
      </c>
      <c r="C140" s="1">
        <f t="shared" si="6"/>
        <v>8.8624884259259264E-3</v>
      </c>
      <c r="D140" s="5">
        <f t="shared" si="7"/>
        <v>8.8828009259259259E-3</v>
      </c>
      <c r="E140" s="6">
        <f t="shared" si="8"/>
        <v>1.7549999999999566</v>
      </c>
    </row>
    <row r="141" spans="1:5" x14ac:dyDescent="0.3">
      <c r="A141">
        <v>772.76300000000003</v>
      </c>
      <c r="B141">
        <v>774.49800000000005</v>
      </c>
      <c r="C141" s="1">
        <f t="shared" si="6"/>
        <v>8.944016203703704E-3</v>
      </c>
      <c r="D141" s="5">
        <f t="shared" si="7"/>
        <v>8.9640972222222223E-3</v>
      </c>
      <c r="E141" s="6">
        <f t="shared" si="8"/>
        <v>1.7349999999999755</v>
      </c>
    </row>
    <row r="142" spans="1:5" x14ac:dyDescent="0.3">
      <c r="A142">
        <v>779.15</v>
      </c>
      <c r="B142">
        <v>780.91800000000001</v>
      </c>
      <c r="C142" s="1">
        <f t="shared" si="6"/>
        <v>9.0179398148148137E-3</v>
      </c>
      <c r="D142" s="5">
        <f t="shared" si="7"/>
        <v>9.0384027777777771E-3</v>
      </c>
      <c r="E142" s="6">
        <f t="shared" si="8"/>
        <v>1.7680000000000418</v>
      </c>
    </row>
    <row r="143" spans="1:5" x14ac:dyDescent="0.3">
      <c r="A143">
        <v>784.40700000000004</v>
      </c>
      <c r="B143">
        <v>785.23599999999999</v>
      </c>
      <c r="C143" s="1">
        <f t="shared" si="6"/>
        <v>9.0787847222222225E-3</v>
      </c>
      <c r="D143" s="5">
        <f t="shared" si="7"/>
        <v>9.0883796296296303E-3</v>
      </c>
      <c r="E143" s="6">
        <f t="shared" si="8"/>
        <v>0.82900000000003526</v>
      </c>
    </row>
    <row r="144" spans="1:5" x14ac:dyDescent="0.3">
      <c r="A144">
        <v>787.548</v>
      </c>
      <c r="B144">
        <v>789.34</v>
      </c>
      <c r="C144" s="1">
        <f t="shared" si="6"/>
        <v>9.1151388888888896E-3</v>
      </c>
      <c r="D144" s="5">
        <f t="shared" si="7"/>
        <v>9.1358796296296292E-3</v>
      </c>
      <c r="E144" s="6">
        <f t="shared" si="8"/>
        <v>1.7919999999998992</v>
      </c>
    </row>
    <row r="145" spans="1:5" x14ac:dyDescent="0.3">
      <c r="A145">
        <v>793.26599999999996</v>
      </c>
      <c r="B145">
        <v>794.029</v>
      </c>
      <c r="C145" s="1">
        <f t="shared" si="6"/>
        <v>9.1813194444444433E-3</v>
      </c>
      <c r="D145" s="5">
        <f t="shared" si="7"/>
        <v>9.1901504629629625E-3</v>
      </c>
      <c r="E145" s="6">
        <f t="shared" si="8"/>
        <v>0.76300000000005253</v>
      </c>
    </row>
    <row r="146" spans="1:5" x14ac:dyDescent="0.3">
      <c r="A146">
        <v>797.25599999999997</v>
      </c>
      <c r="B146">
        <v>799</v>
      </c>
      <c r="C146" s="1">
        <f t="shared" si="6"/>
        <v>9.2274999999999996E-3</v>
      </c>
      <c r="D146" s="5">
        <f t="shared" si="7"/>
        <v>9.2476851851851852E-3</v>
      </c>
      <c r="E146" s="6">
        <f t="shared" si="8"/>
        <v>1.7440000000000344</v>
      </c>
    </row>
    <row r="147" spans="1:5" x14ac:dyDescent="0.3">
      <c r="A147">
        <v>806.45799999999997</v>
      </c>
      <c r="B147">
        <v>808.21100000000001</v>
      </c>
      <c r="C147" s="1">
        <f t="shared" si="6"/>
        <v>9.3340046296296296E-3</v>
      </c>
      <c r="D147" s="5">
        <f t="shared" si="7"/>
        <v>9.3542939814814808E-3</v>
      </c>
      <c r="E147" s="6">
        <f t="shared" si="8"/>
        <v>1.7529999999999435</v>
      </c>
    </row>
    <row r="148" spans="1:5" x14ac:dyDescent="0.3">
      <c r="A148">
        <v>814.00900000000001</v>
      </c>
      <c r="B148">
        <v>814.82399999999996</v>
      </c>
      <c r="C148" s="1">
        <f t="shared" si="6"/>
        <v>9.421400462962963E-3</v>
      </c>
      <c r="D148" s="5">
        <f t="shared" si="7"/>
        <v>9.4308333333333327E-3</v>
      </c>
      <c r="E148" s="6">
        <f t="shared" si="8"/>
        <v>0.81499999999994355</v>
      </c>
    </row>
    <row r="149" spans="1:5" x14ac:dyDescent="0.3">
      <c r="A149">
        <v>817.96900000000005</v>
      </c>
      <c r="B149">
        <v>819.68600000000004</v>
      </c>
      <c r="C149" s="1">
        <f t="shared" si="6"/>
        <v>9.4672337962962965E-3</v>
      </c>
      <c r="D149" s="5">
        <f t="shared" si="7"/>
        <v>9.4871064814814818E-3</v>
      </c>
      <c r="E149" s="6">
        <f t="shared" si="8"/>
        <v>1.7170000000000074</v>
      </c>
    </row>
    <row r="150" spans="1:5" x14ac:dyDescent="0.3">
      <c r="A150">
        <v>822.05700000000002</v>
      </c>
      <c r="B150">
        <v>822.601</v>
      </c>
      <c r="C150" s="1">
        <f t="shared" si="6"/>
        <v>9.5145486111111108E-3</v>
      </c>
      <c r="D150" s="5">
        <f t="shared" si="7"/>
        <v>9.5208449074074067E-3</v>
      </c>
      <c r="E150" s="6">
        <f t="shared" si="8"/>
        <v>0.54399999999996673</v>
      </c>
    </row>
    <row r="151" spans="1:5" x14ac:dyDescent="0.3">
      <c r="A151">
        <v>828.58699999999999</v>
      </c>
      <c r="B151">
        <v>830.42399999999998</v>
      </c>
      <c r="C151" s="1">
        <f t="shared" si="6"/>
        <v>9.5901273148148152E-3</v>
      </c>
      <c r="D151" s="5">
        <f t="shared" si="7"/>
        <v>9.6113888888888881E-3</v>
      </c>
      <c r="E151" s="6">
        <f t="shared" si="8"/>
        <v>1.8369999999998943</v>
      </c>
    </row>
    <row r="152" spans="1:5" x14ac:dyDescent="0.3">
      <c r="A152">
        <v>830.65200000000004</v>
      </c>
      <c r="B152">
        <v>831.43899999999996</v>
      </c>
      <c r="C152" s="1">
        <f t="shared" si="6"/>
        <v>9.6140277777777786E-3</v>
      </c>
      <c r="D152" s="5">
        <f t="shared" si="7"/>
        <v>9.6231365740740739E-3</v>
      </c>
      <c r="E152" s="6">
        <f t="shared" si="8"/>
        <v>0.78699999999990999</v>
      </c>
    </row>
    <row r="153" spans="1:5" x14ac:dyDescent="0.3">
      <c r="A153">
        <v>836.75</v>
      </c>
      <c r="B153">
        <v>838.55200000000002</v>
      </c>
      <c r="C153" s="1">
        <f t="shared" si="6"/>
        <v>9.6846064814814815E-3</v>
      </c>
      <c r="D153" s="5">
        <f t="shared" si="7"/>
        <v>9.7054629629629626E-3</v>
      </c>
      <c r="E153" s="6">
        <f t="shared" si="8"/>
        <v>1.8019999999999647</v>
      </c>
    </row>
    <row r="154" spans="1:5" x14ac:dyDescent="0.3">
      <c r="A154">
        <v>848.5</v>
      </c>
      <c r="B154">
        <v>850.24099999999999</v>
      </c>
      <c r="C154" s="1">
        <f t="shared" si="6"/>
        <v>9.8206018518518512E-3</v>
      </c>
      <c r="D154" s="5">
        <f t="shared" si="7"/>
        <v>9.8407523148148143E-3</v>
      </c>
      <c r="E154" s="6">
        <f t="shared" si="8"/>
        <v>1.7410000000000148</v>
      </c>
    </row>
    <row r="155" spans="1:5" x14ac:dyDescent="0.3">
      <c r="A155">
        <v>858.89</v>
      </c>
      <c r="B155">
        <v>860.61500000000001</v>
      </c>
      <c r="C155" s="1">
        <f t="shared" si="6"/>
        <v>9.9408564814814811E-3</v>
      </c>
      <c r="D155" s="5">
        <f t="shared" si="7"/>
        <v>9.9608217592592595E-3</v>
      </c>
      <c r="E155" s="6">
        <f t="shared" si="8"/>
        <v>1.7250000000000598</v>
      </c>
    </row>
    <row r="156" spans="1:5" x14ac:dyDescent="0.3">
      <c r="A156">
        <v>867.53899999999999</v>
      </c>
      <c r="B156">
        <v>869.32500000000005</v>
      </c>
      <c r="C156" s="1">
        <f t="shared" si="6"/>
        <v>1.0040960648148148E-2</v>
      </c>
      <c r="D156" s="5">
        <f t="shared" si="7"/>
        <v>1.0061631944444444E-2</v>
      </c>
      <c r="E156" s="6">
        <f t="shared" si="8"/>
        <v>1.7860000000000098</v>
      </c>
    </row>
    <row r="157" spans="1:5" x14ac:dyDescent="0.3">
      <c r="A157">
        <v>872.16600000000005</v>
      </c>
      <c r="B157">
        <v>872.85900000000004</v>
      </c>
      <c r="C157" s="1">
        <f t="shared" si="6"/>
        <v>1.0094513888888889E-2</v>
      </c>
      <c r="D157" s="5">
        <f t="shared" si="7"/>
        <v>1.0102534722222223E-2</v>
      </c>
      <c r="E157" s="6">
        <f t="shared" si="8"/>
        <v>0.69300000000004358</v>
      </c>
    </row>
    <row r="158" spans="1:5" x14ac:dyDescent="0.3">
      <c r="A158">
        <v>875.42200000000003</v>
      </c>
      <c r="B158">
        <v>877.18700000000001</v>
      </c>
      <c r="C158" s="1">
        <f t="shared" si="6"/>
        <v>1.0132199074074075E-2</v>
      </c>
      <c r="D158" s="5">
        <f t="shared" si="7"/>
        <v>1.0152627314814816E-2</v>
      </c>
      <c r="E158" s="6">
        <f t="shared" si="8"/>
        <v>1.7650000000000221</v>
      </c>
    </row>
    <row r="159" spans="1:5" x14ac:dyDescent="0.3">
      <c r="A159">
        <v>878.28200000000004</v>
      </c>
      <c r="B159">
        <v>879.029</v>
      </c>
      <c r="C159" s="1">
        <f t="shared" si="6"/>
        <v>1.0165300925925927E-2</v>
      </c>
      <c r="D159" s="5">
        <f t="shared" si="7"/>
        <v>1.0173946759259259E-2</v>
      </c>
      <c r="E159" s="6">
        <f t="shared" si="8"/>
        <v>0.74699999999994771</v>
      </c>
    </row>
    <row r="160" spans="1:5" x14ac:dyDescent="0.3">
      <c r="A160">
        <v>881.27599999999995</v>
      </c>
      <c r="B160">
        <v>882.10199999999998</v>
      </c>
      <c r="C160" s="1">
        <f t="shared" si="6"/>
        <v>1.0199953703703702E-2</v>
      </c>
      <c r="D160" s="5">
        <f t="shared" si="7"/>
        <v>1.0209513888888888E-2</v>
      </c>
      <c r="E160" s="6">
        <f t="shared" si="8"/>
        <v>0.82600000000001561</v>
      </c>
    </row>
    <row r="161" spans="1:5" x14ac:dyDescent="0.3">
      <c r="A161">
        <v>883.99699999999996</v>
      </c>
      <c r="B161">
        <v>884.72199999999998</v>
      </c>
      <c r="C161" s="1">
        <f t="shared" si="6"/>
        <v>1.023144675925926E-2</v>
      </c>
      <c r="D161" s="5">
        <f t="shared" si="7"/>
        <v>1.0239837962962963E-2</v>
      </c>
      <c r="E161" s="6">
        <f t="shared" si="8"/>
        <v>0.72499999999995346</v>
      </c>
    </row>
    <row r="162" spans="1:5" x14ac:dyDescent="0.3">
      <c r="A162">
        <v>888.178</v>
      </c>
      <c r="B162">
        <v>889.90800000000002</v>
      </c>
      <c r="C162" s="1">
        <f t="shared" si="6"/>
        <v>1.0279837962962963E-2</v>
      </c>
      <c r="D162" s="5">
        <f t="shared" si="7"/>
        <v>1.0299861111111112E-2</v>
      </c>
      <c r="E162" s="6">
        <f t="shared" si="8"/>
        <v>1.7300000000000926</v>
      </c>
    </row>
    <row r="163" spans="1:5" x14ac:dyDescent="0.3">
      <c r="A163">
        <v>895.52300000000002</v>
      </c>
      <c r="B163">
        <v>896.27700000000004</v>
      </c>
      <c r="C163" s="1">
        <f t="shared" si="6"/>
        <v>1.0364849537037037E-2</v>
      </c>
      <c r="D163" s="5">
        <f t="shared" si="7"/>
        <v>1.0373576388888889E-2</v>
      </c>
      <c r="E163" s="6">
        <f t="shared" si="8"/>
        <v>0.75399999999999356</v>
      </c>
    </row>
    <row r="164" spans="1:5" x14ac:dyDescent="0.3">
      <c r="A164">
        <v>900.00199999999995</v>
      </c>
      <c r="B164">
        <v>900.83199999999999</v>
      </c>
      <c r="C164" s="1">
        <f t="shared" si="6"/>
        <v>1.0416689814814814E-2</v>
      </c>
      <c r="D164" s="5">
        <f t="shared" si="7"/>
        <v>1.0426296296296296E-2</v>
      </c>
      <c r="E164" s="6">
        <f t="shared" si="8"/>
        <v>0.83000000000004182</v>
      </c>
    </row>
    <row r="165" spans="1:5" x14ac:dyDescent="0.3">
      <c r="A165">
        <v>902.18399999999997</v>
      </c>
      <c r="B165">
        <v>903.96500000000003</v>
      </c>
      <c r="C165" s="1">
        <f t="shared" si="6"/>
        <v>1.0441944444444445E-2</v>
      </c>
      <c r="D165" s="5">
        <f t="shared" si="7"/>
        <v>1.046255787037037E-2</v>
      </c>
      <c r="E165" s="6">
        <f t="shared" si="8"/>
        <v>1.780999999999977</v>
      </c>
    </row>
    <row r="166" spans="1:5" x14ac:dyDescent="0.3">
      <c r="A166">
        <v>907.37300000000005</v>
      </c>
      <c r="B166">
        <v>909.10500000000002</v>
      </c>
      <c r="C166" s="1">
        <f t="shared" si="6"/>
        <v>1.0502002314814815E-2</v>
      </c>
      <c r="D166" s="5">
        <f t="shared" si="7"/>
        <v>1.052204861111111E-2</v>
      </c>
      <c r="E166" s="6">
        <f t="shared" si="8"/>
        <v>1.7319999999999558</v>
      </c>
    </row>
    <row r="167" spans="1:5" x14ac:dyDescent="0.3">
      <c r="A167">
        <v>913.76499999999999</v>
      </c>
      <c r="B167">
        <v>914.27599999999995</v>
      </c>
      <c r="C167" s="1">
        <f t="shared" si="6"/>
        <v>1.0575983796296297E-2</v>
      </c>
      <c r="D167" s="5">
        <f t="shared" si="7"/>
        <v>1.0581898148148148E-2</v>
      </c>
      <c r="E167" s="6">
        <f t="shared" si="8"/>
        <v>0.51099999999990042</v>
      </c>
    </row>
    <row r="168" spans="1:5" x14ac:dyDescent="0.3">
      <c r="A168">
        <v>916.75199999999995</v>
      </c>
      <c r="B168">
        <v>918.48400000000004</v>
      </c>
      <c r="C168" s="1">
        <f t="shared" si="6"/>
        <v>1.0610555555555555E-2</v>
      </c>
      <c r="D168" s="5">
        <f t="shared" si="7"/>
        <v>1.0630601851851853E-2</v>
      </c>
      <c r="E168" s="6">
        <f t="shared" si="8"/>
        <v>1.7320000000001057</v>
      </c>
    </row>
    <row r="169" spans="1:5" x14ac:dyDescent="0.3">
      <c r="A169">
        <v>923.67499999999995</v>
      </c>
      <c r="B169">
        <v>924.45699999999999</v>
      </c>
      <c r="C169" s="1">
        <f t="shared" si="6"/>
        <v>1.0690682870370369E-2</v>
      </c>
      <c r="D169" s="5">
        <f t="shared" si="7"/>
        <v>1.0699733796296296E-2</v>
      </c>
      <c r="E169" s="6">
        <f t="shared" si="8"/>
        <v>0.78200000000002712</v>
      </c>
    </row>
    <row r="170" spans="1:5" x14ac:dyDescent="0.3">
      <c r="A170">
        <v>929.94399999999996</v>
      </c>
      <c r="B170">
        <v>931.92399999999998</v>
      </c>
      <c r="C170" s="1">
        <f t="shared" si="6"/>
        <v>1.076324074074074E-2</v>
      </c>
      <c r="D170" s="5">
        <f t="shared" si="7"/>
        <v>1.0786157407407407E-2</v>
      </c>
      <c r="E170" s="6">
        <f t="shared" si="8"/>
        <v>1.9800000000000817</v>
      </c>
    </row>
    <row r="171" spans="1:5" x14ac:dyDescent="0.3">
      <c r="A171">
        <v>939.68799999999999</v>
      </c>
      <c r="B171">
        <v>941.452</v>
      </c>
      <c r="C171" s="1">
        <f t="shared" si="6"/>
        <v>1.0876018518518519E-2</v>
      </c>
      <c r="D171" s="5">
        <f t="shared" si="7"/>
        <v>1.0896435185185184E-2</v>
      </c>
      <c r="E171" s="6">
        <f t="shared" si="8"/>
        <v>1.7639999999998657</v>
      </c>
    </row>
    <row r="172" spans="1:5" x14ac:dyDescent="0.3">
      <c r="A172">
        <v>944.08199999999999</v>
      </c>
      <c r="B172">
        <v>944.68100000000004</v>
      </c>
      <c r="C172" s="1">
        <f t="shared" si="6"/>
        <v>1.0926874999999999E-2</v>
      </c>
      <c r="D172" s="5">
        <f t="shared" si="7"/>
        <v>1.0933807870370372E-2</v>
      </c>
      <c r="E172" s="6">
        <f t="shared" si="8"/>
        <v>0.59900000000017717</v>
      </c>
    </row>
    <row r="173" spans="1:5" x14ac:dyDescent="0.3">
      <c r="A173">
        <v>948</v>
      </c>
      <c r="B173">
        <v>949.79700000000003</v>
      </c>
      <c r="C173" s="1">
        <f t="shared" si="6"/>
        <v>1.0972222222222222E-2</v>
      </c>
      <c r="D173" s="5">
        <f t="shared" si="7"/>
        <v>1.0993020833333334E-2</v>
      </c>
      <c r="E173" s="6">
        <f t="shared" si="8"/>
        <v>1.7970000000000819</v>
      </c>
    </row>
    <row r="174" spans="1:5" x14ac:dyDescent="0.3">
      <c r="A174">
        <v>952.10299999999995</v>
      </c>
      <c r="B174">
        <v>952.84500000000003</v>
      </c>
      <c r="C174" s="1">
        <f t="shared" si="6"/>
        <v>1.1019710648148148E-2</v>
      </c>
      <c r="D174" s="5">
        <f t="shared" si="7"/>
        <v>1.1028298611111112E-2</v>
      </c>
      <c r="E174" s="6">
        <f t="shared" si="8"/>
        <v>0.74200000000006483</v>
      </c>
    </row>
    <row r="175" spans="1:5" x14ac:dyDescent="0.3">
      <c r="A175">
        <v>959.21799999999996</v>
      </c>
      <c r="B175">
        <v>960.952</v>
      </c>
      <c r="C175" s="1">
        <f t="shared" si="6"/>
        <v>1.1102060185185185E-2</v>
      </c>
      <c r="D175" s="5">
        <f t="shared" si="7"/>
        <v>1.1122129629629629E-2</v>
      </c>
      <c r="E175" s="6">
        <f t="shared" si="8"/>
        <v>1.7339999999999689</v>
      </c>
    </row>
    <row r="176" spans="1:5" x14ac:dyDescent="0.3">
      <c r="A176">
        <v>965.80899999999997</v>
      </c>
      <c r="B176">
        <v>966.55399999999997</v>
      </c>
      <c r="C176" s="1">
        <f t="shared" si="6"/>
        <v>1.1178344907407408E-2</v>
      </c>
      <c r="D176" s="5">
        <f t="shared" si="7"/>
        <v>1.1186967592592592E-2</v>
      </c>
      <c r="E176" s="6">
        <f t="shared" si="8"/>
        <v>0.7449999999999346</v>
      </c>
    </row>
    <row r="177" spans="1:5" x14ac:dyDescent="0.3">
      <c r="A177">
        <v>970.08900000000006</v>
      </c>
      <c r="B177">
        <v>972.00400000000002</v>
      </c>
      <c r="C177" s="1">
        <f t="shared" si="6"/>
        <v>1.1227881944444445E-2</v>
      </c>
      <c r="D177" s="5">
        <f t="shared" si="7"/>
        <v>1.1250046296296296E-2</v>
      </c>
      <c r="E177" s="6">
        <f t="shared" si="8"/>
        <v>1.9149999999999556</v>
      </c>
    </row>
    <row r="178" spans="1:5" x14ac:dyDescent="0.3">
      <c r="A178">
        <v>980.08900000000006</v>
      </c>
      <c r="B178">
        <v>981.83600000000001</v>
      </c>
      <c r="C178" s="1">
        <f t="shared" si="6"/>
        <v>1.1343622685185186E-2</v>
      </c>
      <c r="D178" s="5">
        <f t="shared" si="7"/>
        <v>1.1363842592592592E-2</v>
      </c>
      <c r="E178" s="6">
        <f t="shared" si="8"/>
        <v>1.7469999999999042</v>
      </c>
    </row>
    <row r="179" spans="1:5" x14ac:dyDescent="0.3">
      <c r="A179">
        <v>988.97799999999995</v>
      </c>
      <c r="B179">
        <v>990.71299999999997</v>
      </c>
      <c r="C179" s="1">
        <f t="shared" si="6"/>
        <v>1.1446504629629629E-2</v>
      </c>
      <c r="D179" s="5">
        <f t="shared" si="7"/>
        <v>1.1466585648148148E-2</v>
      </c>
      <c r="E179" s="6">
        <f t="shared" si="8"/>
        <v>1.7349999999999755</v>
      </c>
    </row>
    <row r="180" spans="1:5" x14ac:dyDescent="0.3">
      <c r="A180">
        <v>997.31899999999996</v>
      </c>
      <c r="B180">
        <v>998.15700000000004</v>
      </c>
      <c r="C180" s="1">
        <f t="shared" si="6"/>
        <v>1.1543043981481481E-2</v>
      </c>
      <c r="D180" s="5">
        <f t="shared" si="7"/>
        <v>1.1552743055555556E-2</v>
      </c>
      <c r="E180" s="6">
        <f t="shared" si="8"/>
        <v>0.83800000000009423</v>
      </c>
    </row>
    <row r="181" spans="1:5" x14ac:dyDescent="0.3">
      <c r="A181">
        <v>1002.309</v>
      </c>
      <c r="B181">
        <v>1004.117</v>
      </c>
      <c r="C181" s="1">
        <f t="shared" si="6"/>
        <v>1.160079861111111E-2</v>
      </c>
      <c r="D181" s="5">
        <f t="shared" si="7"/>
        <v>1.1621724537037036E-2</v>
      </c>
      <c r="E181" s="6">
        <f t="shared" si="8"/>
        <v>1.808000000000004</v>
      </c>
    </row>
    <row r="182" spans="1:5" x14ac:dyDescent="0.3">
      <c r="A182">
        <v>1009.079</v>
      </c>
      <c r="B182">
        <v>1009.797</v>
      </c>
      <c r="C182" s="1">
        <f t="shared" si="6"/>
        <v>1.1679155092592592E-2</v>
      </c>
      <c r="D182" s="5">
        <f t="shared" si="7"/>
        <v>1.1687465277777778E-2</v>
      </c>
      <c r="E182" s="6">
        <f t="shared" si="8"/>
        <v>0.71800000000005748</v>
      </c>
    </row>
    <row r="183" spans="1:5" x14ac:dyDescent="0.3">
      <c r="A183">
        <v>1017.383</v>
      </c>
      <c r="B183">
        <v>1019.198</v>
      </c>
      <c r="C183" s="1">
        <f t="shared" si="6"/>
        <v>1.1775266203703704E-2</v>
      </c>
      <c r="D183" s="5">
        <f t="shared" si="7"/>
        <v>1.1796273148148148E-2</v>
      </c>
      <c r="E183" s="6">
        <f t="shared" si="8"/>
        <v>1.8149999999999</v>
      </c>
    </row>
    <row r="184" spans="1:5" x14ac:dyDescent="0.3">
      <c r="A184">
        <v>1023.2670000000001</v>
      </c>
      <c r="B184">
        <v>1024.1120000000001</v>
      </c>
      <c r="C184" s="1">
        <f t="shared" si="6"/>
        <v>1.1843368055555557E-2</v>
      </c>
      <c r="D184" s="5">
        <f t="shared" si="7"/>
        <v>1.1853148148148149E-2</v>
      </c>
      <c r="E184" s="6">
        <f t="shared" si="8"/>
        <v>0.8449999999999902</v>
      </c>
    </row>
    <row r="185" spans="1:5" x14ac:dyDescent="0.3">
      <c r="A185">
        <v>1029.5239999999999</v>
      </c>
      <c r="B185">
        <v>1031.3430000000001</v>
      </c>
      <c r="C185" s="1">
        <f t="shared" si="6"/>
        <v>1.1915787037037035E-2</v>
      </c>
      <c r="D185" s="5">
        <f t="shared" si="7"/>
        <v>1.1936840277777779E-2</v>
      </c>
      <c r="E185" s="6">
        <f t="shared" si="8"/>
        <v>1.819000000000226</v>
      </c>
    </row>
    <row r="186" spans="1:5" x14ac:dyDescent="0.3">
      <c r="A186">
        <v>1038.146</v>
      </c>
      <c r="B186">
        <v>1038.731</v>
      </c>
      <c r="C186" s="1">
        <f t="shared" si="6"/>
        <v>1.2015578703703704E-2</v>
      </c>
      <c r="D186" s="5">
        <f t="shared" si="7"/>
        <v>1.2022349537037036E-2</v>
      </c>
      <c r="E186" s="6">
        <f t="shared" si="8"/>
        <v>0.58499999999993557</v>
      </c>
    </row>
    <row r="187" spans="1:5" x14ac:dyDescent="0.3">
      <c r="A187">
        <v>1042.3720000000001</v>
      </c>
      <c r="B187">
        <v>1044.144</v>
      </c>
      <c r="C187" s="1">
        <f t="shared" si="6"/>
        <v>1.2064490740740742E-2</v>
      </c>
      <c r="D187" s="5">
        <f t="shared" si="7"/>
        <v>1.2085E-2</v>
      </c>
      <c r="E187" s="6">
        <f t="shared" si="8"/>
        <v>1.7719999999999181</v>
      </c>
    </row>
    <row r="188" spans="1:5" x14ac:dyDescent="0.3">
      <c r="A188">
        <v>1047.4190000000001</v>
      </c>
      <c r="B188">
        <v>1048.2429999999999</v>
      </c>
      <c r="C188" s="1">
        <f t="shared" si="6"/>
        <v>1.2122905092592593E-2</v>
      </c>
      <c r="D188" s="5">
        <f t="shared" si="7"/>
        <v>1.2132442129629628E-2</v>
      </c>
      <c r="E188" s="6">
        <f t="shared" si="8"/>
        <v>0.82399999999985263</v>
      </c>
    </row>
    <row r="189" spans="1:5" x14ac:dyDescent="0.3">
      <c r="A189">
        <v>1052.258</v>
      </c>
      <c r="B189">
        <v>1054.1220000000001</v>
      </c>
      <c r="C189" s="1">
        <f t="shared" si="6"/>
        <v>1.2178912037037037E-2</v>
      </c>
      <c r="D189" s="5">
        <f t="shared" si="7"/>
        <v>1.2200486111111112E-2</v>
      </c>
      <c r="E189" s="6">
        <f t="shared" si="8"/>
        <v>1.8640000000000712</v>
      </c>
    </row>
    <row r="190" spans="1:5" x14ac:dyDescent="0.3">
      <c r="A190">
        <v>1061.268</v>
      </c>
      <c r="B190">
        <v>1063.069</v>
      </c>
      <c r="C190" s="1">
        <f t="shared" si="6"/>
        <v>1.2283194444444446E-2</v>
      </c>
      <c r="D190" s="5">
        <f t="shared" si="7"/>
        <v>1.2304039351851851E-2</v>
      </c>
      <c r="E190" s="6">
        <f t="shared" si="8"/>
        <v>1.8009999999998083</v>
      </c>
    </row>
    <row r="191" spans="1:5" x14ac:dyDescent="0.3">
      <c r="A191">
        <v>1068.9680000000001</v>
      </c>
      <c r="B191">
        <v>1069.694</v>
      </c>
      <c r="C191" s="1">
        <f t="shared" si="6"/>
        <v>1.2372314814814815E-2</v>
      </c>
      <c r="D191" s="5">
        <f t="shared" si="7"/>
        <v>1.2380717592592592E-2</v>
      </c>
      <c r="E191" s="6">
        <f t="shared" si="8"/>
        <v>0.72599999999996001</v>
      </c>
    </row>
    <row r="192" spans="1:5" x14ac:dyDescent="0.3">
      <c r="A192">
        <v>1073.325</v>
      </c>
      <c r="B192">
        <v>1075.079</v>
      </c>
      <c r="C192" s="1">
        <f t="shared" si="6"/>
        <v>1.2422743055555557E-2</v>
      </c>
      <c r="D192" s="5">
        <f t="shared" si="7"/>
        <v>1.244304398148148E-2</v>
      </c>
      <c r="E192" s="6">
        <f t="shared" si="8"/>
        <v>1.7539999999998002</v>
      </c>
    </row>
    <row r="193" spans="1:5" x14ac:dyDescent="0.3">
      <c r="A193">
        <v>1080.1880000000001</v>
      </c>
      <c r="B193">
        <v>1080.93</v>
      </c>
      <c r="C193" s="1">
        <f t="shared" si="6"/>
        <v>1.2502175925925927E-2</v>
      </c>
      <c r="D193" s="5">
        <f t="shared" si="7"/>
        <v>1.2510763888888889E-2</v>
      </c>
      <c r="E193" s="6">
        <f t="shared" si="8"/>
        <v>0.74199999999991495</v>
      </c>
    </row>
    <row r="194" spans="1:5" x14ac:dyDescent="0.3">
      <c r="A194">
        <v>1082.723</v>
      </c>
      <c r="B194">
        <v>1084.6020000000001</v>
      </c>
      <c r="C194" s="1">
        <f t="shared" ref="C194:C257" si="9">A194/86400</f>
        <v>1.2531516203703703E-2</v>
      </c>
      <c r="D194" s="5">
        <f t="shared" ref="D194:D257" si="10">B194/86400</f>
        <v>1.255326388888889E-2</v>
      </c>
      <c r="E194" s="6">
        <f t="shared" ref="E194:E257" si="11">(D194-C194)*86400</f>
        <v>1.8790000000001694</v>
      </c>
    </row>
    <row r="195" spans="1:5" x14ac:dyDescent="0.3">
      <c r="A195">
        <v>1088.7190000000001</v>
      </c>
      <c r="B195">
        <v>1089.462</v>
      </c>
      <c r="C195" s="1">
        <f t="shared" si="9"/>
        <v>1.2600914351851853E-2</v>
      </c>
      <c r="D195" s="5">
        <f t="shared" si="10"/>
        <v>1.2609513888888889E-2</v>
      </c>
      <c r="E195" s="6">
        <f t="shared" si="11"/>
        <v>0.7429999999999215</v>
      </c>
    </row>
    <row r="196" spans="1:5" x14ac:dyDescent="0.3">
      <c r="A196">
        <v>1092.1369999999999</v>
      </c>
      <c r="B196">
        <v>1093.8720000000001</v>
      </c>
      <c r="C196" s="1">
        <f t="shared" si="9"/>
        <v>1.2640474537037037E-2</v>
      </c>
      <c r="D196" s="5">
        <f t="shared" si="10"/>
        <v>1.2660555555555557E-2</v>
      </c>
      <c r="E196" s="6">
        <f t="shared" si="11"/>
        <v>1.7350000000001253</v>
      </c>
    </row>
    <row r="197" spans="1:5" x14ac:dyDescent="0.3">
      <c r="A197">
        <v>1099.1199999999999</v>
      </c>
      <c r="B197">
        <v>1101.154</v>
      </c>
      <c r="C197" s="1">
        <f t="shared" si="9"/>
        <v>1.2721296296296295E-2</v>
      </c>
      <c r="D197" s="5">
        <f t="shared" si="10"/>
        <v>1.2744837962962963E-2</v>
      </c>
      <c r="E197" s="6">
        <f t="shared" si="11"/>
        <v>2.0340000000001357</v>
      </c>
    </row>
    <row r="198" spans="1:5" x14ac:dyDescent="0.3">
      <c r="A198">
        <v>1111.7349999999999</v>
      </c>
      <c r="B198">
        <v>1113.6289999999999</v>
      </c>
      <c r="C198" s="1">
        <f t="shared" si="9"/>
        <v>1.286730324074074E-2</v>
      </c>
      <c r="D198" s="5">
        <f t="shared" si="10"/>
        <v>1.2889224537037036E-2</v>
      </c>
      <c r="E198" s="6">
        <f t="shared" si="11"/>
        <v>1.8939999999999679</v>
      </c>
    </row>
    <row r="199" spans="1:5" x14ac:dyDescent="0.3">
      <c r="A199">
        <v>1115.6990000000001</v>
      </c>
      <c r="B199">
        <v>1116.4749999999999</v>
      </c>
      <c r="C199" s="1">
        <f t="shared" si="9"/>
        <v>1.2913182870370372E-2</v>
      </c>
      <c r="D199" s="5">
        <f t="shared" si="10"/>
        <v>1.2922164351851851E-2</v>
      </c>
      <c r="E199" s="6">
        <f t="shared" si="11"/>
        <v>0.77599999999983793</v>
      </c>
    </row>
    <row r="200" spans="1:5" x14ac:dyDescent="0.3">
      <c r="A200">
        <v>1120.2360000000001</v>
      </c>
      <c r="B200">
        <v>1121.9559999999999</v>
      </c>
      <c r="C200" s="1">
        <f t="shared" si="9"/>
        <v>1.2965694444444446E-2</v>
      </c>
      <c r="D200" s="5">
        <f t="shared" si="10"/>
        <v>1.2985601851851851E-2</v>
      </c>
      <c r="E200" s="6">
        <f t="shared" si="11"/>
        <v>1.7199999999997273</v>
      </c>
    </row>
    <row r="201" spans="1:5" x14ac:dyDescent="0.3">
      <c r="A201">
        <v>1132.0229999999999</v>
      </c>
      <c r="B201">
        <v>1133.76</v>
      </c>
      <c r="C201" s="1">
        <f t="shared" si="9"/>
        <v>1.3102118055555554E-2</v>
      </c>
      <c r="D201" s="5">
        <f t="shared" si="10"/>
        <v>1.3122222222222223E-2</v>
      </c>
      <c r="E201" s="6">
        <f t="shared" si="11"/>
        <v>1.7370000000001384</v>
      </c>
    </row>
    <row r="202" spans="1:5" x14ac:dyDescent="0.3">
      <c r="A202">
        <v>1141.2429999999999</v>
      </c>
      <c r="B202">
        <v>1143.0070000000001</v>
      </c>
      <c r="C202" s="1">
        <f t="shared" si="9"/>
        <v>1.3208831018518517E-2</v>
      </c>
      <c r="D202" s="5">
        <f t="shared" si="10"/>
        <v>1.3229247685185186E-2</v>
      </c>
      <c r="E202" s="6">
        <f t="shared" si="11"/>
        <v>1.7640000000001654</v>
      </c>
    </row>
    <row r="203" spans="1:5" x14ac:dyDescent="0.3">
      <c r="A203">
        <v>1154.7570000000001</v>
      </c>
      <c r="B203">
        <v>1156.5409999999999</v>
      </c>
      <c r="C203" s="1">
        <f t="shared" si="9"/>
        <v>1.3365243055555556E-2</v>
      </c>
      <c r="D203" s="5">
        <f t="shared" si="10"/>
        <v>1.3385891203703704E-2</v>
      </c>
      <c r="E203" s="6">
        <f t="shared" si="11"/>
        <v>1.7839999999999967</v>
      </c>
    </row>
    <row r="204" spans="1:5" x14ac:dyDescent="0.3">
      <c r="A204">
        <v>1160.03</v>
      </c>
      <c r="B204">
        <v>1161.808</v>
      </c>
      <c r="C204" s="1">
        <f t="shared" si="9"/>
        <v>1.3426273148148147E-2</v>
      </c>
      <c r="D204" s="5">
        <f t="shared" si="10"/>
        <v>1.3446851851851852E-2</v>
      </c>
      <c r="E204" s="6">
        <f t="shared" si="11"/>
        <v>1.7780000000001073</v>
      </c>
    </row>
    <row r="205" spans="1:5" x14ac:dyDescent="0.3">
      <c r="A205">
        <v>1171.0619999999999</v>
      </c>
      <c r="B205">
        <v>1172.96</v>
      </c>
      <c r="C205" s="1">
        <f t="shared" si="9"/>
        <v>1.3553958333333333E-2</v>
      </c>
      <c r="D205" s="5">
        <f t="shared" si="10"/>
        <v>1.3575925925925927E-2</v>
      </c>
      <c r="E205" s="6">
        <f t="shared" si="11"/>
        <v>1.898000000000144</v>
      </c>
    </row>
    <row r="206" spans="1:5" x14ac:dyDescent="0.3">
      <c r="A206">
        <v>1175.0070000000001</v>
      </c>
      <c r="B206">
        <v>1175.789</v>
      </c>
      <c r="C206" s="1">
        <f t="shared" si="9"/>
        <v>1.3599618055555556E-2</v>
      </c>
      <c r="D206" s="5">
        <f t="shared" si="10"/>
        <v>1.3608668981481482E-2</v>
      </c>
      <c r="E206" s="6">
        <f t="shared" si="11"/>
        <v>0.78200000000002712</v>
      </c>
    </row>
    <row r="207" spans="1:5" x14ac:dyDescent="0.3">
      <c r="A207">
        <v>1182.105</v>
      </c>
      <c r="B207">
        <v>1183.8920000000001</v>
      </c>
      <c r="C207" s="1">
        <f t="shared" si="9"/>
        <v>1.3681770833333334E-2</v>
      </c>
      <c r="D207" s="5">
        <f t="shared" si="10"/>
        <v>1.3702453703703705E-2</v>
      </c>
      <c r="E207" s="6">
        <f t="shared" si="11"/>
        <v>1.7870000000000164</v>
      </c>
    </row>
    <row r="208" spans="1:5" x14ac:dyDescent="0.3">
      <c r="A208">
        <v>1190.3309999999999</v>
      </c>
      <c r="B208">
        <v>1192.057</v>
      </c>
      <c r="C208" s="1">
        <f t="shared" si="9"/>
        <v>1.3776979166666665E-2</v>
      </c>
      <c r="D208" s="5">
        <f t="shared" si="10"/>
        <v>1.3796956018518519E-2</v>
      </c>
      <c r="E208" s="6">
        <f t="shared" si="11"/>
        <v>1.7260000000002163</v>
      </c>
    </row>
    <row r="209" spans="1:5" x14ac:dyDescent="0.3">
      <c r="A209">
        <v>1199.7909999999999</v>
      </c>
      <c r="B209">
        <v>1201.5409999999999</v>
      </c>
      <c r="C209" s="1">
        <f t="shared" si="9"/>
        <v>1.3886469907407406E-2</v>
      </c>
      <c r="D209" s="5">
        <f t="shared" si="10"/>
        <v>1.3906724537037037E-2</v>
      </c>
      <c r="E209" s="6">
        <f t="shared" si="11"/>
        <v>1.7500000000000737</v>
      </c>
    </row>
    <row r="210" spans="1:5" x14ac:dyDescent="0.3">
      <c r="A210">
        <v>1208.443</v>
      </c>
      <c r="B210">
        <v>1210.194</v>
      </c>
      <c r="C210" s="1">
        <f t="shared" si="9"/>
        <v>1.3986608796296296E-2</v>
      </c>
      <c r="D210" s="5">
        <f t="shared" si="10"/>
        <v>1.4006875E-2</v>
      </c>
      <c r="E210" s="6">
        <f t="shared" si="11"/>
        <v>1.7510000000000803</v>
      </c>
    </row>
    <row r="211" spans="1:5" x14ac:dyDescent="0.3">
      <c r="A211">
        <v>1218.001</v>
      </c>
      <c r="B211">
        <v>1218.559</v>
      </c>
      <c r="C211" s="1">
        <f t="shared" si="9"/>
        <v>1.4097233796296295E-2</v>
      </c>
      <c r="D211" s="5">
        <f t="shared" si="10"/>
        <v>1.4103692129629629E-2</v>
      </c>
      <c r="E211" s="6">
        <f t="shared" si="11"/>
        <v>0.55800000000005845</v>
      </c>
    </row>
    <row r="212" spans="1:5" x14ac:dyDescent="0.3">
      <c r="A212">
        <v>1220.549</v>
      </c>
      <c r="B212">
        <v>1222.3040000000001</v>
      </c>
      <c r="C212" s="1">
        <f t="shared" si="9"/>
        <v>1.4126724537037037E-2</v>
      </c>
      <c r="D212" s="5">
        <f t="shared" si="10"/>
        <v>1.4147037037037038E-2</v>
      </c>
      <c r="E212" s="6">
        <f t="shared" si="11"/>
        <v>1.7550000000001065</v>
      </c>
    </row>
    <row r="213" spans="1:5" x14ac:dyDescent="0.3">
      <c r="A213">
        <v>1226.739</v>
      </c>
      <c r="B213">
        <v>1228.713</v>
      </c>
      <c r="C213" s="1">
        <f t="shared" si="9"/>
        <v>1.4198368055555556E-2</v>
      </c>
      <c r="D213" s="5">
        <f t="shared" si="10"/>
        <v>1.4221215277777777E-2</v>
      </c>
      <c r="E213" s="6">
        <f t="shared" si="11"/>
        <v>1.9739999999998925</v>
      </c>
    </row>
    <row r="214" spans="1:5" x14ac:dyDescent="0.3">
      <c r="A214">
        <v>1237.7070000000001</v>
      </c>
      <c r="B214">
        <v>1239.4659999999999</v>
      </c>
      <c r="C214" s="1">
        <f t="shared" si="9"/>
        <v>1.4325312500000001E-2</v>
      </c>
      <c r="D214" s="5">
        <f t="shared" si="10"/>
        <v>1.4345671296296296E-2</v>
      </c>
      <c r="E214" s="6">
        <f t="shared" si="11"/>
        <v>1.7589999999998329</v>
      </c>
    </row>
    <row r="215" spans="1:5" x14ac:dyDescent="0.3">
      <c r="A215">
        <v>1242.9939999999999</v>
      </c>
      <c r="B215">
        <v>1244.7429999999999</v>
      </c>
      <c r="C215" s="1">
        <f t="shared" si="9"/>
        <v>1.4386504629629629E-2</v>
      </c>
      <c r="D215" s="5">
        <f t="shared" si="10"/>
        <v>1.4406747685185184E-2</v>
      </c>
      <c r="E215" s="6">
        <f t="shared" si="11"/>
        <v>1.7489999999999173</v>
      </c>
    </row>
    <row r="216" spans="1:5" x14ac:dyDescent="0.3">
      <c r="A216">
        <v>1249.0999999999999</v>
      </c>
      <c r="B216">
        <v>1250.81</v>
      </c>
      <c r="C216" s="1">
        <f t="shared" si="9"/>
        <v>1.4457175925925925E-2</v>
      </c>
      <c r="D216" s="5">
        <f t="shared" si="10"/>
        <v>1.4476967592592592E-2</v>
      </c>
      <c r="E216" s="6">
        <f t="shared" si="11"/>
        <v>1.7099999999999616</v>
      </c>
    </row>
    <row r="217" spans="1:5" x14ac:dyDescent="0.3">
      <c r="A217">
        <v>1253.0989999999999</v>
      </c>
      <c r="B217">
        <v>1253.836</v>
      </c>
      <c r="C217" s="1">
        <f t="shared" si="9"/>
        <v>1.4503460648148147E-2</v>
      </c>
      <c r="D217" s="5">
        <f t="shared" si="10"/>
        <v>1.451199074074074E-2</v>
      </c>
      <c r="E217" s="6">
        <f t="shared" si="11"/>
        <v>0.73700000000003207</v>
      </c>
    </row>
    <row r="218" spans="1:5" x14ac:dyDescent="0.3">
      <c r="A218">
        <v>1258.7239999999999</v>
      </c>
      <c r="B218">
        <v>1260.49</v>
      </c>
      <c r="C218" s="1">
        <f t="shared" si="9"/>
        <v>1.4568564814814814E-2</v>
      </c>
      <c r="D218" s="5">
        <f t="shared" si="10"/>
        <v>1.4589004629629631E-2</v>
      </c>
      <c r="E218" s="6">
        <f t="shared" si="11"/>
        <v>1.7660000000001785</v>
      </c>
    </row>
    <row r="219" spans="1:5" x14ac:dyDescent="0.3">
      <c r="A219">
        <v>1266.4780000000001</v>
      </c>
      <c r="B219">
        <v>1268.23</v>
      </c>
      <c r="C219" s="1">
        <f t="shared" si="9"/>
        <v>1.4658310185185186E-2</v>
      </c>
      <c r="D219" s="5">
        <f t="shared" si="10"/>
        <v>1.4678587962962963E-2</v>
      </c>
      <c r="E219" s="6">
        <f t="shared" si="11"/>
        <v>1.7519999999999369</v>
      </c>
    </row>
    <row r="220" spans="1:5" x14ac:dyDescent="0.3">
      <c r="A220">
        <v>1273.731</v>
      </c>
      <c r="B220">
        <v>1274.4480000000001</v>
      </c>
      <c r="C220" s="1">
        <f t="shared" si="9"/>
        <v>1.4742256944444445E-2</v>
      </c>
      <c r="D220" s="5">
        <f t="shared" si="10"/>
        <v>1.4750555555555557E-2</v>
      </c>
      <c r="E220" s="6">
        <f t="shared" si="11"/>
        <v>0.71700000000005093</v>
      </c>
    </row>
    <row r="221" spans="1:5" x14ac:dyDescent="0.3">
      <c r="A221">
        <v>1277.9190000000001</v>
      </c>
      <c r="B221">
        <v>1279.643</v>
      </c>
      <c r="C221" s="1">
        <f t="shared" si="9"/>
        <v>1.4790729166666667E-2</v>
      </c>
      <c r="D221" s="5">
        <f t="shared" si="10"/>
        <v>1.481068287037037E-2</v>
      </c>
      <c r="E221" s="6">
        <f t="shared" si="11"/>
        <v>1.7239999999999034</v>
      </c>
    </row>
    <row r="222" spans="1:5" x14ac:dyDescent="0.3">
      <c r="A222">
        <v>1282.472</v>
      </c>
      <c r="B222">
        <v>1284.2059999999999</v>
      </c>
      <c r="C222" s="1">
        <f t="shared" si="9"/>
        <v>1.4843425925925925E-2</v>
      </c>
      <c r="D222" s="5">
        <f t="shared" si="10"/>
        <v>1.4863495370370369E-2</v>
      </c>
      <c r="E222" s="6">
        <f t="shared" si="11"/>
        <v>1.7339999999999689</v>
      </c>
    </row>
    <row r="223" spans="1:5" x14ac:dyDescent="0.3">
      <c r="A223">
        <v>1293.3889999999999</v>
      </c>
      <c r="B223">
        <v>1295.1890000000001</v>
      </c>
      <c r="C223" s="1">
        <f t="shared" si="9"/>
        <v>1.4969780092592592E-2</v>
      </c>
      <c r="D223" s="5">
        <f t="shared" si="10"/>
        <v>1.4990613425925926E-2</v>
      </c>
      <c r="E223" s="6">
        <f t="shared" si="11"/>
        <v>1.8000000000001015</v>
      </c>
    </row>
    <row r="224" spans="1:5" x14ac:dyDescent="0.3">
      <c r="A224">
        <v>1301.635</v>
      </c>
      <c r="B224">
        <v>1303.5429999999999</v>
      </c>
      <c r="C224" s="1">
        <f t="shared" si="9"/>
        <v>1.5065219907407407E-2</v>
      </c>
      <c r="D224" s="5">
        <f t="shared" si="10"/>
        <v>1.508730324074074E-2</v>
      </c>
      <c r="E224" s="6">
        <f t="shared" si="11"/>
        <v>1.9079999999999098</v>
      </c>
    </row>
    <row r="225" spans="1:5" x14ac:dyDescent="0.3">
      <c r="A225">
        <v>1306.7619999999999</v>
      </c>
      <c r="B225">
        <v>1307.491</v>
      </c>
      <c r="C225" s="1">
        <f t="shared" si="9"/>
        <v>1.5124560185185185E-2</v>
      </c>
      <c r="D225" s="5">
        <f t="shared" si="10"/>
        <v>1.5132997685185185E-2</v>
      </c>
      <c r="E225" s="6">
        <f t="shared" si="11"/>
        <v>0.72899999999997966</v>
      </c>
    </row>
    <row r="226" spans="1:5" x14ac:dyDescent="0.3">
      <c r="A226">
        <v>1311.116</v>
      </c>
      <c r="B226">
        <v>1313.1489999999999</v>
      </c>
      <c r="C226" s="1">
        <f t="shared" si="9"/>
        <v>1.5174953703703704E-2</v>
      </c>
      <c r="D226" s="5">
        <f t="shared" si="10"/>
        <v>1.5198483796296295E-2</v>
      </c>
      <c r="E226" s="6">
        <f t="shared" si="11"/>
        <v>2.0329999999998294</v>
      </c>
    </row>
    <row r="227" spans="1:5" x14ac:dyDescent="0.3">
      <c r="A227">
        <v>1321.058</v>
      </c>
      <c r="B227">
        <v>1323.07</v>
      </c>
      <c r="C227" s="1">
        <f t="shared" si="9"/>
        <v>1.5290023148148148E-2</v>
      </c>
      <c r="D227" s="5">
        <f t="shared" si="10"/>
        <v>1.5313310185185185E-2</v>
      </c>
      <c r="E227" s="6">
        <f t="shared" si="11"/>
        <v>2.0119999999999916</v>
      </c>
    </row>
    <row r="228" spans="1:5" x14ac:dyDescent="0.3">
      <c r="A228">
        <v>1329.9290000000001</v>
      </c>
      <c r="B228">
        <v>1332.1079999999999</v>
      </c>
      <c r="C228" s="1">
        <f t="shared" si="9"/>
        <v>1.539269675925926E-2</v>
      </c>
      <c r="D228" s="5">
        <f t="shared" si="10"/>
        <v>1.5417916666666667E-2</v>
      </c>
      <c r="E228" s="6">
        <f t="shared" si="11"/>
        <v>2.1789999999998866</v>
      </c>
    </row>
    <row r="229" spans="1:5" x14ac:dyDescent="0.3">
      <c r="A229">
        <v>1336.5219999999999</v>
      </c>
      <c r="B229">
        <v>1337.182</v>
      </c>
      <c r="C229" s="1">
        <f t="shared" si="9"/>
        <v>1.5469004629629629E-2</v>
      </c>
      <c r="D229" s="5">
        <f t="shared" si="10"/>
        <v>1.5476643518518518E-2</v>
      </c>
      <c r="E229" s="6">
        <f t="shared" si="11"/>
        <v>0.65999999999997727</v>
      </c>
    </row>
    <row r="230" spans="1:5" x14ac:dyDescent="0.3">
      <c r="A230">
        <v>1340.732</v>
      </c>
      <c r="B230">
        <v>1341.325</v>
      </c>
      <c r="C230" s="1">
        <f t="shared" si="9"/>
        <v>1.5517731481481481E-2</v>
      </c>
      <c r="D230" s="5">
        <f t="shared" si="10"/>
        <v>1.5524594907407407E-2</v>
      </c>
      <c r="E230" s="6">
        <f t="shared" si="11"/>
        <v>0.59299999999998798</v>
      </c>
    </row>
    <row r="231" spans="1:5" x14ac:dyDescent="0.3">
      <c r="A231">
        <v>1343.7929999999999</v>
      </c>
      <c r="B231">
        <v>1345.6210000000001</v>
      </c>
      <c r="C231" s="1">
        <f t="shared" si="9"/>
        <v>1.5553159722222222E-2</v>
      </c>
      <c r="D231" s="5">
        <f t="shared" si="10"/>
        <v>1.5574317129629631E-2</v>
      </c>
      <c r="E231" s="6">
        <f t="shared" si="11"/>
        <v>1.8280000000001351</v>
      </c>
    </row>
    <row r="232" spans="1:5" x14ac:dyDescent="0.3">
      <c r="A232">
        <v>1348.0050000000001</v>
      </c>
      <c r="B232">
        <v>1348.6030000000001</v>
      </c>
      <c r="C232" s="1">
        <f t="shared" si="9"/>
        <v>1.5601909722222224E-2</v>
      </c>
      <c r="D232" s="5">
        <f t="shared" si="10"/>
        <v>1.5608831018518518E-2</v>
      </c>
      <c r="E232" s="6">
        <f t="shared" si="11"/>
        <v>0.59799999999987086</v>
      </c>
    </row>
    <row r="233" spans="1:5" x14ac:dyDescent="0.3">
      <c r="A233">
        <v>1354.1220000000001</v>
      </c>
      <c r="B233">
        <v>1356.1020000000001</v>
      </c>
      <c r="C233" s="1">
        <f t="shared" si="9"/>
        <v>1.5672708333333334E-2</v>
      </c>
      <c r="D233" s="5">
        <f t="shared" si="10"/>
        <v>1.5695625000000001E-2</v>
      </c>
      <c r="E233" s="6">
        <f t="shared" si="11"/>
        <v>1.9800000000000817</v>
      </c>
    </row>
    <row r="234" spans="1:5" x14ac:dyDescent="0.3">
      <c r="A234">
        <v>1361.299</v>
      </c>
      <c r="B234">
        <v>1362.056</v>
      </c>
      <c r="C234" s="1">
        <f t="shared" si="9"/>
        <v>1.5755775462962963E-2</v>
      </c>
      <c r="D234" s="5">
        <f t="shared" si="10"/>
        <v>1.5764537037037039E-2</v>
      </c>
      <c r="E234" s="6">
        <f t="shared" si="11"/>
        <v>0.7570000000001631</v>
      </c>
    </row>
    <row r="235" spans="1:5" x14ac:dyDescent="0.3">
      <c r="A235">
        <v>1365.6679999999999</v>
      </c>
      <c r="B235">
        <v>1367.4449999999999</v>
      </c>
      <c r="C235" s="1">
        <f t="shared" si="9"/>
        <v>1.5806342592592591E-2</v>
      </c>
      <c r="D235" s="5">
        <f t="shared" si="10"/>
        <v>1.5826909722222223E-2</v>
      </c>
      <c r="E235" s="6">
        <f t="shared" si="11"/>
        <v>1.7770000000002506</v>
      </c>
    </row>
    <row r="236" spans="1:5" x14ac:dyDescent="0.3">
      <c r="A236">
        <v>1375.5550000000001</v>
      </c>
      <c r="B236">
        <v>1377.2660000000001</v>
      </c>
      <c r="C236" s="1">
        <f t="shared" si="9"/>
        <v>1.5920775462962965E-2</v>
      </c>
      <c r="D236" s="5">
        <f t="shared" si="10"/>
        <v>1.5940578703703703E-2</v>
      </c>
      <c r="E236" s="6">
        <f t="shared" si="11"/>
        <v>1.7109999999998182</v>
      </c>
    </row>
    <row r="237" spans="1:5" x14ac:dyDescent="0.3">
      <c r="A237">
        <v>1385.2719999999999</v>
      </c>
      <c r="B237">
        <v>1387</v>
      </c>
      <c r="C237" s="1">
        <f t="shared" si="9"/>
        <v>1.603324074074074E-2</v>
      </c>
      <c r="D237" s="5">
        <f t="shared" si="10"/>
        <v>1.6053240740740739E-2</v>
      </c>
      <c r="E237" s="6">
        <f t="shared" si="11"/>
        <v>1.7279999999999296</v>
      </c>
    </row>
    <row r="238" spans="1:5" x14ac:dyDescent="0.3">
      <c r="A238">
        <v>1393.1669999999999</v>
      </c>
      <c r="B238">
        <v>1394.9090000000001</v>
      </c>
      <c r="C238" s="1">
        <f t="shared" si="9"/>
        <v>1.6124618055555553E-2</v>
      </c>
      <c r="D238" s="5">
        <f t="shared" si="10"/>
        <v>1.6144780092592594E-2</v>
      </c>
      <c r="E238" s="6">
        <f t="shared" si="11"/>
        <v>1.7420000000003211</v>
      </c>
    </row>
    <row r="239" spans="1:5" x14ac:dyDescent="0.3">
      <c r="A239">
        <v>1399.367</v>
      </c>
      <c r="B239">
        <v>1401.1420000000001</v>
      </c>
      <c r="C239" s="1">
        <f t="shared" si="9"/>
        <v>1.6196377314814814E-2</v>
      </c>
      <c r="D239" s="5">
        <f t="shared" si="10"/>
        <v>1.6216921296296295E-2</v>
      </c>
      <c r="E239" s="6">
        <f t="shared" si="11"/>
        <v>1.7749999999999377</v>
      </c>
    </row>
    <row r="240" spans="1:5" x14ac:dyDescent="0.3">
      <c r="A240">
        <v>1409.06</v>
      </c>
      <c r="B240">
        <v>1410.84</v>
      </c>
      <c r="C240" s="1">
        <f t="shared" si="9"/>
        <v>1.6308564814814814E-2</v>
      </c>
      <c r="D240" s="5">
        <f t="shared" si="10"/>
        <v>1.6329166666666665E-2</v>
      </c>
      <c r="E240" s="6">
        <f t="shared" si="11"/>
        <v>1.7799999999999705</v>
      </c>
    </row>
    <row r="241" spans="1:5" x14ac:dyDescent="0.3">
      <c r="A241">
        <v>1417.135</v>
      </c>
      <c r="B241">
        <v>1417.904</v>
      </c>
      <c r="C241" s="1">
        <f t="shared" si="9"/>
        <v>1.6402025462962964E-2</v>
      </c>
      <c r="D241" s="5">
        <f t="shared" si="10"/>
        <v>1.6410925925925926E-2</v>
      </c>
      <c r="E241" s="6">
        <f t="shared" si="11"/>
        <v>0.76899999999994195</v>
      </c>
    </row>
    <row r="242" spans="1:5" x14ac:dyDescent="0.3">
      <c r="A242">
        <v>1421.883</v>
      </c>
      <c r="B242">
        <v>1423.655</v>
      </c>
      <c r="C242" s="1">
        <f t="shared" si="9"/>
        <v>1.6456979166666667E-2</v>
      </c>
      <c r="D242" s="5">
        <f t="shared" si="10"/>
        <v>1.6477488425925925E-2</v>
      </c>
      <c r="E242" s="6">
        <f t="shared" si="11"/>
        <v>1.7719999999999181</v>
      </c>
    </row>
    <row r="243" spans="1:5" x14ac:dyDescent="0.3">
      <c r="A243">
        <v>1428.0619999999999</v>
      </c>
      <c r="B243">
        <v>1429.808</v>
      </c>
      <c r="C243" s="1">
        <f t="shared" si="9"/>
        <v>1.652849537037037E-2</v>
      </c>
      <c r="D243" s="5">
        <f t="shared" si="10"/>
        <v>1.6548703703703704E-2</v>
      </c>
      <c r="E243" s="6">
        <f t="shared" si="11"/>
        <v>1.7460000000000475</v>
      </c>
    </row>
    <row r="244" spans="1:5" x14ac:dyDescent="0.3">
      <c r="A244">
        <v>1432.5719999999999</v>
      </c>
      <c r="B244">
        <v>1434.297</v>
      </c>
      <c r="C244" s="1">
        <f t="shared" si="9"/>
        <v>1.6580694444444443E-2</v>
      </c>
      <c r="D244" s="5">
        <f t="shared" si="10"/>
        <v>1.6600659722222223E-2</v>
      </c>
      <c r="E244" s="6">
        <f t="shared" si="11"/>
        <v>1.7250000000002097</v>
      </c>
    </row>
    <row r="245" spans="1:5" x14ac:dyDescent="0.3">
      <c r="A245">
        <v>1440.3989999999999</v>
      </c>
      <c r="B245">
        <v>1442.498</v>
      </c>
      <c r="C245" s="1">
        <f t="shared" si="9"/>
        <v>1.6671284722222221E-2</v>
      </c>
      <c r="D245" s="5">
        <f t="shared" si="10"/>
        <v>1.6695578703703706E-2</v>
      </c>
      <c r="E245" s="6">
        <f t="shared" si="11"/>
        <v>2.0990000000002618</v>
      </c>
    </row>
    <row r="246" spans="1:5" x14ac:dyDescent="0.3">
      <c r="A246">
        <v>1448.7070000000001</v>
      </c>
      <c r="B246">
        <v>1450.8440000000001</v>
      </c>
      <c r="C246" s="1">
        <f t="shared" si="9"/>
        <v>1.676744212962963E-2</v>
      </c>
      <c r="D246" s="5">
        <f t="shared" si="10"/>
        <v>1.6792175925925926E-2</v>
      </c>
      <c r="E246" s="6">
        <f t="shared" si="11"/>
        <v>2.1369999999999112</v>
      </c>
    </row>
    <row r="247" spans="1:5" x14ac:dyDescent="0.3">
      <c r="A247">
        <v>1457.5830000000001</v>
      </c>
      <c r="B247">
        <v>1459.8009999999999</v>
      </c>
      <c r="C247" s="1">
        <f t="shared" si="9"/>
        <v>1.6870173611111112E-2</v>
      </c>
      <c r="D247" s="5">
        <f t="shared" si="10"/>
        <v>1.6895844907407406E-2</v>
      </c>
      <c r="E247" s="6">
        <f t="shared" si="11"/>
        <v>2.2179999999998423</v>
      </c>
    </row>
    <row r="248" spans="1:5" x14ac:dyDescent="0.3">
      <c r="A248">
        <v>1462.97</v>
      </c>
      <c r="B248">
        <v>1463.5719999999999</v>
      </c>
      <c r="C248" s="1">
        <f t="shared" si="9"/>
        <v>1.6932523148148148E-2</v>
      </c>
      <c r="D248" s="5">
        <f t="shared" si="10"/>
        <v>1.6939490740740741E-2</v>
      </c>
      <c r="E248" s="6">
        <f t="shared" si="11"/>
        <v>0.60200000000004694</v>
      </c>
    </row>
    <row r="249" spans="1:5" x14ac:dyDescent="0.3">
      <c r="A249">
        <v>1466.7809999999999</v>
      </c>
      <c r="B249">
        <v>1468.58</v>
      </c>
      <c r="C249" s="1">
        <f t="shared" si="9"/>
        <v>1.6976631944444445E-2</v>
      </c>
      <c r="D249" s="5">
        <f t="shared" si="10"/>
        <v>1.6997453703703702E-2</v>
      </c>
      <c r="E249" s="6">
        <f t="shared" si="11"/>
        <v>1.7989999999997952</v>
      </c>
    </row>
    <row r="250" spans="1:5" x14ac:dyDescent="0.3">
      <c r="A250">
        <v>1469.8989999999999</v>
      </c>
      <c r="B250">
        <v>1470.7249999999999</v>
      </c>
      <c r="C250" s="1">
        <f t="shared" si="9"/>
        <v>1.7012719907407405E-2</v>
      </c>
      <c r="D250" s="5">
        <f t="shared" si="10"/>
        <v>1.7022280092592591E-2</v>
      </c>
      <c r="E250" s="6">
        <f t="shared" si="11"/>
        <v>0.82600000000001561</v>
      </c>
    </row>
    <row r="251" spans="1:5" x14ac:dyDescent="0.3">
      <c r="A251">
        <v>1474.057</v>
      </c>
      <c r="B251">
        <v>1476.0889999999999</v>
      </c>
      <c r="C251" s="1">
        <f t="shared" si="9"/>
        <v>1.7060844907407408E-2</v>
      </c>
      <c r="D251" s="5">
        <f t="shared" si="10"/>
        <v>1.7084363425925925E-2</v>
      </c>
      <c r="E251" s="6">
        <f t="shared" si="11"/>
        <v>2.0319999999998228</v>
      </c>
    </row>
    <row r="252" spans="1:5" x14ac:dyDescent="0.3">
      <c r="A252">
        <v>1477.9649999999999</v>
      </c>
      <c r="B252">
        <v>1479.8130000000001</v>
      </c>
      <c r="C252" s="1">
        <f t="shared" si="9"/>
        <v>1.7106076388888888E-2</v>
      </c>
      <c r="D252" s="5">
        <f t="shared" si="10"/>
        <v>1.7127465277777778E-2</v>
      </c>
      <c r="E252" s="6">
        <f t="shared" si="11"/>
        <v>1.8480000000001162</v>
      </c>
    </row>
    <row r="253" spans="1:5" x14ac:dyDescent="0.3">
      <c r="A253">
        <v>1482.8910000000001</v>
      </c>
      <c r="B253">
        <v>1483.6020000000001</v>
      </c>
      <c r="C253" s="1">
        <f t="shared" si="9"/>
        <v>1.7163090277777779E-2</v>
      </c>
      <c r="D253" s="5">
        <f t="shared" si="10"/>
        <v>1.7171319444444444E-2</v>
      </c>
      <c r="E253" s="6">
        <f t="shared" si="11"/>
        <v>0.71099999999986174</v>
      </c>
    </row>
    <row r="254" spans="1:5" x14ac:dyDescent="0.3">
      <c r="A254">
        <v>1486.91</v>
      </c>
      <c r="B254">
        <v>1488.723</v>
      </c>
      <c r="C254" s="1">
        <f t="shared" si="9"/>
        <v>1.7209606481481482E-2</v>
      </c>
      <c r="D254" s="5">
        <f t="shared" si="10"/>
        <v>1.7230590277777777E-2</v>
      </c>
      <c r="E254" s="6">
        <f t="shared" si="11"/>
        <v>1.8129999999998869</v>
      </c>
    </row>
    <row r="255" spans="1:5" x14ac:dyDescent="0.3">
      <c r="A255">
        <v>1493.501</v>
      </c>
      <c r="B255">
        <v>1494.251</v>
      </c>
      <c r="C255" s="1">
        <f t="shared" si="9"/>
        <v>1.7285891203703704E-2</v>
      </c>
      <c r="D255" s="5">
        <f t="shared" si="10"/>
        <v>1.7294571759259258E-2</v>
      </c>
      <c r="E255" s="6">
        <f t="shared" si="11"/>
        <v>0.74999999999981748</v>
      </c>
    </row>
    <row r="256" spans="1:5" x14ac:dyDescent="0.3">
      <c r="A256">
        <v>1498.2940000000001</v>
      </c>
      <c r="B256">
        <v>1500.0340000000001</v>
      </c>
      <c r="C256" s="1">
        <f t="shared" si="9"/>
        <v>1.7341365740740741E-2</v>
      </c>
      <c r="D256" s="5">
        <f t="shared" si="10"/>
        <v>1.736150462962963E-2</v>
      </c>
      <c r="E256" s="6">
        <f t="shared" si="11"/>
        <v>1.7400000000000082</v>
      </c>
    </row>
    <row r="257" spans="1:5" x14ac:dyDescent="0.3">
      <c r="A257">
        <v>1503.1990000000001</v>
      </c>
      <c r="B257">
        <v>1503.9349999999999</v>
      </c>
      <c r="C257" s="1">
        <f t="shared" si="9"/>
        <v>1.7398136574074075E-2</v>
      </c>
      <c r="D257" s="5">
        <f t="shared" si="10"/>
        <v>1.7406655092592593E-2</v>
      </c>
      <c r="E257" s="6">
        <f t="shared" si="11"/>
        <v>0.73600000000002552</v>
      </c>
    </row>
    <row r="258" spans="1:5" x14ac:dyDescent="0.3">
      <c r="A258">
        <v>1508.8240000000001</v>
      </c>
      <c r="B258">
        <v>1510.5519999999999</v>
      </c>
      <c r="C258" s="1">
        <f t="shared" ref="C258:C321" si="12">A258/86400</f>
        <v>1.7463240740740741E-2</v>
      </c>
      <c r="D258" s="5">
        <f t="shared" ref="D258:D321" si="13">B258/86400</f>
        <v>1.748324074074074E-2</v>
      </c>
      <c r="E258" s="6">
        <f t="shared" ref="E258:E321" si="14">(D258-C258)*86400</f>
        <v>1.7279999999999296</v>
      </c>
    </row>
    <row r="259" spans="1:5" x14ac:dyDescent="0.3">
      <c r="A259">
        <v>1513.654</v>
      </c>
      <c r="B259">
        <v>1514.4010000000001</v>
      </c>
      <c r="C259" s="1">
        <f t="shared" si="12"/>
        <v>1.7519143518518517E-2</v>
      </c>
      <c r="D259" s="5">
        <f t="shared" si="13"/>
        <v>1.7527789351851852E-2</v>
      </c>
      <c r="E259" s="6">
        <f t="shared" si="14"/>
        <v>0.74700000000009759</v>
      </c>
    </row>
    <row r="260" spans="1:5" x14ac:dyDescent="0.3">
      <c r="A260">
        <v>1518.3440000000001</v>
      </c>
      <c r="B260">
        <v>1520.1279999999999</v>
      </c>
      <c r="C260" s="1">
        <f t="shared" si="12"/>
        <v>1.7573425925925926E-2</v>
      </c>
      <c r="D260" s="5">
        <f t="shared" si="13"/>
        <v>1.7594074074074074E-2</v>
      </c>
      <c r="E260" s="6">
        <f t="shared" si="14"/>
        <v>1.7839999999999967</v>
      </c>
    </row>
    <row r="261" spans="1:5" x14ac:dyDescent="0.3">
      <c r="A261">
        <v>1522.9390000000001</v>
      </c>
      <c r="B261">
        <v>1523.7460000000001</v>
      </c>
      <c r="C261" s="1">
        <f t="shared" si="12"/>
        <v>1.7626608796296298E-2</v>
      </c>
      <c r="D261" s="5">
        <f t="shared" si="13"/>
        <v>1.7635949074074075E-2</v>
      </c>
      <c r="E261" s="6">
        <f t="shared" si="14"/>
        <v>0.80699999999989114</v>
      </c>
    </row>
    <row r="262" spans="1:5" x14ac:dyDescent="0.3">
      <c r="A262">
        <v>1525.2360000000001</v>
      </c>
      <c r="B262">
        <v>1527.0170000000001</v>
      </c>
      <c r="C262" s="1">
        <f t="shared" si="12"/>
        <v>1.7653194444444447E-2</v>
      </c>
      <c r="D262" s="5">
        <f t="shared" si="13"/>
        <v>1.7673807870370373E-2</v>
      </c>
      <c r="E262" s="6">
        <f t="shared" si="14"/>
        <v>1.780999999999977</v>
      </c>
    </row>
    <row r="263" spans="1:5" x14ac:dyDescent="0.3">
      <c r="A263">
        <v>1531.049</v>
      </c>
      <c r="B263">
        <v>1531.633</v>
      </c>
      <c r="C263" s="1">
        <f t="shared" si="12"/>
        <v>1.7720474537037036E-2</v>
      </c>
      <c r="D263" s="5">
        <f t="shared" si="13"/>
        <v>1.7727233796296298E-2</v>
      </c>
      <c r="E263" s="6">
        <f t="shared" si="14"/>
        <v>0.58400000000022878</v>
      </c>
    </row>
    <row r="264" spans="1:5" x14ac:dyDescent="0.3">
      <c r="A264">
        <v>1534.454</v>
      </c>
      <c r="B264">
        <v>1536.73</v>
      </c>
      <c r="C264" s="1">
        <f t="shared" si="12"/>
        <v>1.775988425925926E-2</v>
      </c>
      <c r="D264" s="5">
        <f t="shared" si="13"/>
        <v>1.7786226851851852E-2</v>
      </c>
      <c r="E264" s="6">
        <f t="shared" si="14"/>
        <v>2.2759999999999225</v>
      </c>
    </row>
    <row r="265" spans="1:5" x14ac:dyDescent="0.3">
      <c r="A265">
        <v>1540.356</v>
      </c>
      <c r="B265">
        <v>1541.165</v>
      </c>
      <c r="C265" s="1">
        <f t="shared" si="12"/>
        <v>1.7828194444444445E-2</v>
      </c>
      <c r="D265" s="5">
        <f t="shared" si="13"/>
        <v>1.783755787037037E-2</v>
      </c>
      <c r="E265" s="6">
        <f t="shared" si="14"/>
        <v>0.80899999999990424</v>
      </c>
    </row>
    <row r="266" spans="1:5" x14ac:dyDescent="0.3">
      <c r="A266">
        <v>1544.0029999999999</v>
      </c>
      <c r="B266">
        <v>1546.0550000000001</v>
      </c>
      <c r="C266" s="1">
        <f t="shared" si="12"/>
        <v>1.7870405092592592E-2</v>
      </c>
      <c r="D266" s="5">
        <f t="shared" si="13"/>
        <v>1.7894155092592592E-2</v>
      </c>
      <c r="E266" s="6">
        <f t="shared" si="14"/>
        <v>2.0519999999999539</v>
      </c>
    </row>
    <row r="267" spans="1:5" x14ac:dyDescent="0.3">
      <c r="A267">
        <v>1550.4929999999999</v>
      </c>
      <c r="B267">
        <v>1552.567</v>
      </c>
      <c r="C267" s="1">
        <f t="shared" si="12"/>
        <v>1.7945520833333332E-2</v>
      </c>
      <c r="D267" s="5">
        <f t="shared" si="13"/>
        <v>1.7969525462962963E-2</v>
      </c>
      <c r="E267" s="6">
        <f t="shared" si="14"/>
        <v>2.074000000000098</v>
      </c>
    </row>
    <row r="268" spans="1:5" x14ac:dyDescent="0.3">
      <c r="A268">
        <v>1560.2</v>
      </c>
      <c r="B268">
        <v>1561.962</v>
      </c>
      <c r="C268" s="1">
        <f t="shared" si="12"/>
        <v>1.805787037037037E-2</v>
      </c>
      <c r="D268" s="5">
        <f t="shared" si="13"/>
        <v>1.807826388888889E-2</v>
      </c>
      <c r="E268" s="6">
        <f t="shared" si="14"/>
        <v>1.7620000000001523</v>
      </c>
    </row>
    <row r="269" spans="1:5" x14ac:dyDescent="0.3">
      <c r="A269">
        <v>1569.462</v>
      </c>
      <c r="B269">
        <v>1571.2529999999999</v>
      </c>
      <c r="C269" s="1">
        <f t="shared" si="12"/>
        <v>1.8165069444444445E-2</v>
      </c>
      <c r="D269" s="5">
        <f t="shared" si="13"/>
        <v>1.8185798611111109E-2</v>
      </c>
      <c r="E269" s="6">
        <f t="shared" si="14"/>
        <v>1.7909999999997428</v>
      </c>
    </row>
    <row r="270" spans="1:5" x14ac:dyDescent="0.3">
      <c r="A270">
        <v>1578.9110000000001</v>
      </c>
      <c r="B270">
        <v>1580.713</v>
      </c>
      <c r="C270" s="1">
        <f t="shared" si="12"/>
        <v>1.827443287037037E-2</v>
      </c>
      <c r="D270" s="5">
        <f t="shared" si="13"/>
        <v>1.8295289351851853E-2</v>
      </c>
      <c r="E270" s="6">
        <f t="shared" si="14"/>
        <v>1.8020000000001146</v>
      </c>
    </row>
    <row r="271" spans="1:5" x14ac:dyDescent="0.3">
      <c r="A271">
        <v>1588.8019999999999</v>
      </c>
      <c r="B271">
        <v>1590.692</v>
      </c>
      <c r="C271" s="1">
        <f t="shared" si="12"/>
        <v>1.8388912037037037E-2</v>
      </c>
      <c r="D271" s="5">
        <f t="shared" si="13"/>
        <v>1.8410787037037038E-2</v>
      </c>
      <c r="E271" s="6">
        <f t="shared" si="14"/>
        <v>1.8900000000000916</v>
      </c>
    </row>
    <row r="272" spans="1:5" x14ac:dyDescent="0.3">
      <c r="A272">
        <v>1596.278</v>
      </c>
      <c r="B272">
        <v>1598.0150000000001</v>
      </c>
      <c r="C272" s="1">
        <f t="shared" si="12"/>
        <v>1.8475439814814816E-2</v>
      </c>
      <c r="D272" s="5">
        <f t="shared" si="13"/>
        <v>1.8495543981481483E-2</v>
      </c>
      <c r="E272" s="6">
        <f t="shared" si="14"/>
        <v>1.7369999999999886</v>
      </c>
    </row>
    <row r="273" spans="1:5" x14ac:dyDescent="0.3">
      <c r="A273">
        <v>1603.4839999999999</v>
      </c>
      <c r="B273">
        <v>1604.02</v>
      </c>
      <c r="C273" s="1">
        <f t="shared" si="12"/>
        <v>1.8558842592592592E-2</v>
      </c>
      <c r="D273" s="5">
        <f t="shared" si="13"/>
        <v>1.8565046296296295E-2</v>
      </c>
      <c r="E273" s="6">
        <f t="shared" si="14"/>
        <v>0.53599999999991432</v>
      </c>
    </row>
    <row r="274" spans="1:5" x14ac:dyDescent="0.3">
      <c r="A274">
        <v>1605.9659999999999</v>
      </c>
      <c r="B274">
        <v>1606.471</v>
      </c>
      <c r="C274" s="1">
        <f t="shared" si="12"/>
        <v>1.8587569444444445E-2</v>
      </c>
      <c r="D274" s="5">
        <f t="shared" si="13"/>
        <v>1.8593414351851852E-2</v>
      </c>
      <c r="E274" s="6">
        <f t="shared" si="14"/>
        <v>0.505000000000011</v>
      </c>
    </row>
    <row r="275" spans="1:5" x14ac:dyDescent="0.3">
      <c r="A275">
        <v>1607.8679999999999</v>
      </c>
      <c r="B275">
        <v>1609.6220000000001</v>
      </c>
      <c r="C275" s="1">
        <f t="shared" si="12"/>
        <v>1.8609583333333332E-2</v>
      </c>
      <c r="D275" s="5">
        <f t="shared" si="13"/>
        <v>1.8629884259259259E-2</v>
      </c>
      <c r="E275" s="6">
        <f t="shared" si="14"/>
        <v>1.7540000000000999</v>
      </c>
    </row>
    <row r="276" spans="1:5" x14ac:dyDescent="0.3">
      <c r="A276">
        <v>1614.1369999999999</v>
      </c>
      <c r="B276">
        <v>1615.934</v>
      </c>
      <c r="C276" s="1">
        <f t="shared" si="12"/>
        <v>1.8682141203703703E-2</v>
      </c>
      <c r="D276" s="5">
        <f t="shared" si="13"/>
        <v>1.8702939814814815E-2</v>
      </c>
      <c r="E276" s="6">
        <f t="shared" si="14"/>
        <v>1.7970000000000819</v>
      </c>
    </row>
    <row r="277" spans="1:5" x14ac:dyDescent="0.3">
      <c r="A277">
        <v>1620.34</v>
      </c>
      <c r="B277">
        <v>1621.06</v>
      </c>
      <c r="C277" s="1">
        <f t="shared" si="12"/>
        <v>1.8753935185185183E-2</v>
      </c>
      <c r="D277" s="5">
        <f t="shared" si="13"/>
        <v>1.8762268518518518E-2</v>
      </c>
      <c r="E277" s="6">
        <f t="shared" si="14"/>
        <v>0.72000000000022046</v>
      </c>
    </row>
    <row r="278" spans="1:5" x14ac:dyDescent="0.3">
      <c r="A278">
        <v>1624.491</v>
      </c>
      <c r="B278">
        <v>1626.502</v>
      </c>
      <c r="C278" s="1">
        <f t="shared" si="12"/>
        <v>1.8801979166666666E-2</v>
      </c>
      <c r="D278" s="5">
        <f t="shared" si="13"/>
        <v>1.8825254629629629E-2</v>
      </c>
      <c r="E278" s="6">
        <f t="shared" si="14"/>
        <v>2.010999999999985</v>
      </c>
    </row>
    <row r="279" spans="1:5" x14ac:dyDescent="0.3">
      <c r="A279">
        <v>1632.6420000000001</v>
      </c>
      <c r="B279">
        <v>1634.761</v>
      </c>
      <c r="C279" s="1">
        <f t="shared" si="12"/>
        <v>1.8896319444444445E-2</v>
      </c>
      <c r="D279" s="5">
        <f t="shared" si="13"/>
        <v>1.8920844907407405E-2</v>
      </c>
      <c r="E279" s="6">
        <f t="shared" si="14"/>
        <v>2.1189999999997933</v>
      </c>
    </row>
    <row r="280" spans="1:5" x14ac:dyDescent="0.3">
      <c r="A280">
        <v>1640.1179999999999</v>
      </c>
      <c r="B280">
        <v>1642.2049999999999</v>
      </c>
      <c r="C280" s="1">
        <f t="shared" si="12"/>
        <v>1.898284722222222E-2</v>
      </c>
      <c r="D280" s="5">
        <f t="shared" si="13"/>
        <v>1.9007002314814815E-2</v>
      </c>
      <c r="E280" s="6">
        <f t="shared" si="14"/>
        <v>2.0870000000001832</v>
      </c>
    </row>
    <row r="281" spans="1:5" x14ac:dyDescent="0.3">
      <c r="A281">
        <v>1647.723</v>
      </c>
      <c r="B281">
        <v>1649.779</v>
      </c>
      <c r="C281" s="1">
        <f t="shared" si="12"/>
        <v>1.9070868055555554E-2</v>
      </c>
      <c r="D281" s="5">
        <f t="shared" si="13"/>
        <v>1.9094664351851851E-2</v>
      </c>
      <c r="E281" s="6">
        <f t="shared" si="14"/>
        <v>2.0559999999999801</v>
      </c>
    </row>
    <row r="282" spans="1:5" x14ac:dyDescent="0.3">
      <c r="A282">
        <v>1654.636</v>
      </c>
      <c r="B282">
        <v>1656.385</v>
      </c>
      <c r="C282" s="1">
        <f t="shared" si="12"/>
        <v>1.9150879629629629E-2</v>
      </c>
      <c r="D282" s="5">
        <f t="shared" si="13"/>
        <v>1.9171122685185185E-2</v>
      </c>
      <c r="E282" s="6">
        <f t="shared" si="14"/>
        <v>1.7490000000000672</v>
      </c>
    </row>
    <row r="283" spans="1:5" x14ac:dyDescent="0.3">
      <c r="A283">
        <v>1660.105</v>
      </c>
      <c r="B283">
        <v>1661.923</v>
      </c>
      <c r="C283" s="1">
        <f t="shared" si="12"/>
        <v>1.9214178240740742E-2</v>
      </c>
      <c r="D283" s="5">
        <f t="shared" si="13"/>
        <v>1.9235219907407407E-2</v>
      </c>
      <c r="E283" s="6">
        <f t="shared" si="14"/>
        <v>1.8179999999999197</v>
      </c>
    </row>
    <row r="284" spans="1:5" x14ac:dyDescent="0.3">
      <c r="A284">
        <v>1665.277</v>
      </c>
      <c r="B284">
        <v>1666.0029999999999</v>
      </c>
      <c r="C284" s="1">
        <f t="shared" si="12"/>
        <v>1.9274039351851853E-2</v>
      </c>
      <c r="D284" s="5">
        <f t="shared" si="13"/>
        <v>1.928244212962963E-2</v>
      </c>
      <c r="E284" s="6">
        <f t="shared" si="14"/>
        <v>0.72599999999996001</v>
      </c>
    </row>
    <row r="285" spans="1:5" x14ac:dyDescent="0.3">
      <c r="A285">
        <v>1667.97</v>
      </c>
      <c r="B285">
        <v>1668.759</v>
      </c>
      <c r="C285" s="1">
        <f t="shared" si="12"/>
        <v>1.9305208333333334E-2</v>
      </c>
      <c r="D285" s="5">
        <f t="shared" si="13"/>
        <v>1.9314340277777779E-2</v>
      </c>
      <c r="E285" s="6">
        <f t="shared" si="14"/>
        <v>0.78900000000007298</v>
      </c>
    </row>
    <row r="286" spans="1:5" x14ac:dyDescent="0.3">
      <c r="A286">
        <v>1674.2660000000001</v>
      </c>
      <c r="B286">
        <v>1676.0329999999999</v>
      </c>
      <c r="C286" s="1">
        <f t="shared" si="12"/>
        <v>1.9378078703703703E-2</v>
      </c>
      <c r="D286" s="5">
        <f t="shared" si="13"/>
        <v>1.939853009259259E-2</v>
      </c>
      <c r="E286" s="6">
        <f t="shared" si="14"/>
        <v>1.7669999999998853</v>
      </c>
    </row>
    <row r="287" spans="1:5" x14ac:dyDescent="0.3">
      <c r="A287">
        <v>1682.5</v>
      </c>
      <c r="B287">
        <v>1684.29</v>
      </c>
      <c r="C287" s="1">
        <f t="shared" si="12"/>
        <v>1.9473379629629629E-2</v>
      </c>
      <c r="D287" s="5">
        <f t="shared" si="13"/>
        <v>1.9494097222222222E-2</v>
      </c>
      <c r="E287" s="6">
        <f t="shared" si="14"/>
        <v>1.790000000000036</v>
      </c>
    </row>
    <row r="288" spans="1:5" x14ac:dyDescent="0.3">
      <c r="A288">
        <v>1689.386</v>
      </c>
      <c r="B288">
        <v>1691.145</v>
      </c>
      <c r="C288" s="1">
        <f t="shared" si="12"/>
        <v>1.9553078703703704E-2</v>
      </c>
      <c r="D288" s="5">
        <f t="shared" si="13"/>
        <v>1.9573437499999999E-2</v>
      </c>
      <c r="E288" s="6">
        <f t="shared" si="14"/>
        <v>1.7589999999998329</v>
      </c>
    </row>
    <row r="289" spans="1:5" x14ac:dyDescent="0.3">
      <c r="A289">
        <v>1694.165</v>
      </c>
      <c r="B289">
        <v>1694.9490000000001</v>
      </c>
      <c r="C289" s="1">
        <f t="shared" si="12"/>
        <v>1.9608391203703703E-2</v>
      </c>
      <c r="D289" s="5">
        <f t="shared" si="13"/>
        <v>1.9617465277777777E-2</v>
      </c>
      <c r="E289" s="6">
        <f t="shared" si="14"/>
        <v>0.78400000000004022</v>
      </c>
    </row>
    <row r="290" spans="1:5" x14ac:dyDescent="0.3">
      <c r="A290">
        <v>1698.0809999999999</v>
      </c>
      <c r="B290">
        <v>1699.806</v>
      </c>
      <c r="C290" s="1">
        <f t="shared" si="12"/>
        <v>1.9653715277777775E-2</v>
      </c>
      <c r="D290" s="5">
        <f t="shared" si="13"/>
        <v>1.9673680555555555E-2</v>
      </c>
      <c r="E290" s="6">
        <f t="shared" si="14"/>
        <v>1.7250000000002097</v>
      </c>
    </row>
    <row r="291" spans="1:5" x14ac:dyDescent="0.3">
      <c r="A291">
        <v>1701.9110000000001</v>
      </c>
      <c r="B291">
        <v>1702.723</v>
      </c>
      <c r="C291" s="1">
        <f t="shared" si="12"/>
        <v>1.9698043981481481E-2</v>
      </c>
      <c r="D291" s="5">
        <f t="shared" si="13"/>
        <v>1.9707442129629629E-2</v>
      </c>
      <c r="E291" s="6">
        <f t="shared" si="14"/>
        <v>0.81199999999992389</v>
      </c>
    </row>
    <row r="292" spans="1:5" x14ac:dyDescent="0.3">
      <c r="A292">
        <v>1706.461</v>
      </c>
      <c r="B292">
        <v>1707.2370000000001</v>
      </c>
      <c r="C292" s="1">
        <f t="shared" si="12"/>
        <v>1.975070601851852E-2</v>
      </c>
      <c r="D292" s="5">
        <f t="shared" si="13"/>
        <v>1.9759687500000001E-2</v>
      </c>
      <c r="E292" s="6">
        <f t="shared" si="14"/>
        <v>0.77599999999998781</v>
      </c>
    </row>
    <row r="293" spans="1:5" x14ac:dyDescent="0.3">
      <c r="A293">
        <v>1708.85</v>
      </c>
      <c r="B293">
        <v>1710.6469999999999</v>
      </c>
      <c r="C293" s="1">
        <f t="shared" si="12"/>
        <v>1.977835648148148E-2</v>
      </c>
      <c r="D293" s="5">
        <f t="shared" si="13"/>
        <v>1.9799155092592592E-2</v>
      </c>
      <c r="E293" s="6">
        <f t="shared" si="14"/>
        <v>1.7970000000000819</v>
      </c>
    </row>
    <row r="294" spans="1:5" x14ac:dyDescent="0.3">
      <c r="A294">
        <v>1716.4960000000001</v>
      </c>
      <c r="B294">
        <v>1718.261</v>
      </c>
      <c r="C294" s="1">
        <f t="shared" si="12"/>
        <v>1.9866851851851854E-2</v>
      </c>
      <c r="D294" s="5">
        <f t="shared" si="13"/>
        <v>1.9887280092592594E-2</v>
      </c>
      <c r="E294" s="6">
        <f t="shared" si="14"/>
        <v>1.7649999999998722</v>
      </c>
    </row>
    <row r="295" spans="1:5" x14ac:dyDescent="0.3">
      <c r="A295">
        <v>1723.9269999999999</v>
      </c>
      <c r="B295">
        <v>1725.7850000000001</v>
      </c>
      <c r="C295" s="1">
        <f t="shared" si="12"/>
        <v>1.9952858796296297E-2</v>
      </c>
      <c r="D295" s="5">
        <f t="shared" si="13"/>
        <v>1.9974363425925928E-2</v>
      </c>
      <c r="E295" s="6">
        <f t="shared" si="14"/>
        <v>1.8580000000001817</v>
      </c>
    </row>
    <row r="296" spans="1:5" x14ac:dyDescent="0.3">
      <c r="A296">
        <v>1727.77</v>
      </c>
      <c r="B296">
        <v>1728.5409999999999</v>
      </c>
      <c r="C296" s="1">
        <f t="shared" si="12"/>
        <v>1.9997337962962963E-2</v>
      </c>
      <c r="D296" s="5">
        <f t="shared" si="13"/>
        <v>2.0006261574074074E-2</v>
      </c>
      <c r="E296" s="6">
        <f t="shared" si="14"/>
        <v>0.77099999999995505</v>
      </c>
    </row>
    <row r="297" spans="1:5" x14ac:dyDescent="0.3">
      <c r="A297">
        <v>1732.498</v>
      </c>
      <c r="B297">
        <v>1734.28</v>
      </c>
      <c r="C297" s="1">
        <f t="shared" si="12"/>
        <v>2.0052060185185187E-2</v>
      </c>
      <c r="D297" s="5">
        <f t="shared" si="13"/>
        <v>2.0072685185185186E-2</v>
      </c>
      <c r="E297" s="6">
        <f t="shared" si="14"/>
        <v>1.7819999999999836</v>
      </c>
    </row>
    <row r="298" spans="1:5" x14ac:dyDescent="0.3">
      <c r="A298">
        <v>1740.2639999999999</v>
      </c>
      <c r="B298">
        <v>1741.99</v>
      </c>
      <c r="C298" s="1">
        <f t="shared" si="12"/>
        <v>2.0141944444444445E-2</v>
      </c>
      <c r="D298" s="5">
        <f t="shared" si="13"/>
        <v>2.0161921296296296E-2</v>
      </c>
      <c r="E298" s="6">
        <f t="shared" si="14"/>
        <v>1.7259999999999165</v>
      </c>
    </row>
    <row r="299" spans="1:5" x14ac:dyDescent="0.3">
      <c r="A299">
        <v>1746.6079999999999</v>
      </c>
      <c r="B299">
        <v>1747.376</v>
      </c>
      <c r="C299" s="1">
        <f t="shared" si="12"/>
        <v>2.021537037037037E-2</v>
      </c>
      <c r="D299" s="5">
        <f t="shared" si="13"/>
        <v>2.0224259259259258E-2</v>
      </c>
      <c r="E299" s="6">
        <f t="shared" si="14"/>
        <v>0.7679999999999354</v>
      </c>
    </row>
    <row r="300" spans="1:5" x14ac:dyDescent="0.3">
      <c r="A300">
        <v>1751.26</v>
      </c>
      <c r="B300">
        <v>1753.0160000000001</v>
      </c>
      <c r="C300" s="1">
        <f t="shared" si="12"/>
        <v>2.0269212962962965E-2</v>
      </c>
      <c r="D300" s="5">
        <f t="shared" si="13"/>
        <v>2.0289537037037036E-2</v>
      </c>
      <c r="E300" s="6">
        <f t="shared" si="14"/>
        <v>1.7559999999998133</v>
      </c>
    </row>
    <row r="301" spans="1:5" x14ac:dyDescent="0.3">
      <c r="A301">
        <v>1755.5160000000001</v>
      </c>
      <c r="B301">
        <v>1757.4590000000001</v>
      </c>
      <c r="C301" s="1">
        <f t="shared" si="12"/>
        <v>2.0318472222222224E-2</v>
      </c>
      <c r="D301" s="5">
        <f t="shared" si="13"/>
        <v>2.0340960648148148E-2</v>
      </c>
      <c r="E301" s="6">
        <f t="shared" si="14"/>
        <v>1.9429999999998393</v>
      </c>
    </row>
    <row r="302" spans="1:5" x14ac:dyDescent="0.3">
      <c r="A302">
        <v>1767.0039999999999</v>
      </c>
      <c r="B302">
        <v>1768.7729999999999</v>
      </c>
      <c r="C302" s="1">
        <f t="shared" si="12"/>
        <v>2.0451435185185184E-2</v>
      </c>
      <c r="D302" s="5">
        <f t="shared" si="13"/>
        <v>2.0471909722222219E-2</v>
      </c>
      <c r="E302" s="6">
        <f t="shared" si="14"/>
        <v>1.7689999999998984</v>
      </c>
    </row>
    <row r="303" spans="1:5" x14ac:dyDescent="0.3">
      <c r="A303">
        <v>1774.498</v>
      </c>
      <c r="B303">
        <v>1776.2809999999999</v>
      </c>
      <c r="C303" s="1">
        <f t="shared" si="12"/>
        <v>2.0538171296296297E-2</v>
      </c>
      <c r="D303" s="5">
        <f t="shared" si="13"/>
        <v>2.0558807870370371E-2</v>
      </c>
      <c r="E303" s="6">
        <f t="shared" si="14"/>
        <v>1.7829999999999901</v>
      </c>
    </row>
    <row r="304" spans="1:5" x14ac:dyDescent="0.3">
      <c r="A304">
        <v>1781.2739999999999</v>
      </c>
      <c r="B304">
        <v>1782.0350000000001</v>
      </c>
      <c r="C304" s="1">
        <f t="shared" si="12"/>
        <v>2.061659722222222E-2</v>
      </c>
      <c r="D304" s="5">
        <f t="shared" si="13"/>
        <v>2.0625405092592593E-2</v>
      </c>
      <c r="E304" s="6">
        <f t="shared" si="14"/>
        <v>0.7610000000001893</v>
      </c>
    </row>
    <row r="305" spans="1:5" x14ac:dyDescent="0.3">
      <c r="A305">
        <v>1784.163</v>
      </c>
      <c r="B305">
        <v>1785.9359999999999</v>
      </c>
      <c r="C305" s="1">
        <f t="shared" si="12"/>
        <v>2.0650034722222221E-2</v>
      </c>
      <c r="D305" s="5">
        <f t="shared" si="13"/>
        <v>2.0670555555555553E-2</v>
      </c>
      <c r="E305" s="6">
        <f t="shared" si="14"/>
        <v>1.7729999999999246</v>
      </c>
    </row>
    <row r="306" spans="1:5" x14ac:dyDescent="0.3">
      <c r="A306">
        <v>1790.3879999999999</v>
      </c>
      <c r="B306">
        <v>1791.135</v>
      </c>
      <c r="C306" s="1">
        <f t="shared" si="12"/>
        <v>2.0722083333333332E-2</v>
      </c>
      <c r="D306" s="5">
        <f t="shared" si="13"/>
        <v>2.0730729166666666E-2</v>
      </c>
      <c r="E306" s="6">
        <f t="shared" si="14"/>
        <v>0.74700000000009759</v>
      </c>
    </row>
    <row r="307" spans="1:5" x14ac:dyDescent="0.3">
      <c r="A307">
        <v>1793.567</v>
      </c>
      <c r="B307">
        <v>1795.337</v>
      </c>
      <c r="C307" s="1">
        <f t="shared" si="12"/>
        <v>2.0758877314814815E-2</v>
      </c>
      <c r="D307" s="5">
        <f t="shared" si="13"/>
        <v>2.0779363425925925E-2</v>
      </c>
      <c r="E307" s="6">
        <f t="shared" si="14"/>
        <v>1.769999999999905</v>
      </c>
    </row>
    <row r="308" spans="1:5" x14ac:dyDescent="0.3">
      <c r="A308">
        <v>1799.0329999999999</v>
      </c>
      <c r="B308">
        <v>1800.759</v>
      </c>
      <c r="C308" s="1">
        <f t="shared" si="12"/>
        <v>2.0822141203703702E-2</v>
      </c>
      <c r="D308" s="5">
        <f t="shared" si="13"/>
        <v>2.0842118055555556E-2</v>
      </c>
      <c r="E308" s="6">
        <f t="shared" si="14"/>
        <v>1.7260000000002163</v>
      </c>
    </row>
    <row r="309" spans="1:5" x14ac:dyDescent="0.3">
      <c r="A309">
        <v>1808.2280000000001</v>
      </c>
      <c r="B309">
        <v>1809.979</v>
      </c>
      <c r="C309" s="1">
        <f t="shared" si="12"/>
        <v>2.0928564814814817E-2</v>
      </c>
      <c r="D309" s="5">
        <f t="shared" si="13"/>
        <v>2.0948831018518518E-2</v>
      </c>
      <c r="E309" s="6">
        <f t="shared" si="14"/>
        <v>1.7509999999997805</v>
      </c>
    </row>
    <row r="310" spans="1:5" x14ac:dyDescent="0.3">
      <c r="A310">
        <v>1817.6479999999999</v>
      </c>
      <c r="B310">
        <v>1819.499</v>
      </c>
      <c r="C310" s="1">
        <f t="shared" si="12"/>
        <v>2.103759259259259E-2</v>
      </c>
      <c r="D310" s="5">
        <f t="shared" si="13"/>
        <v>2.1059016203703703E-2</v>
      </c>
      <c r="E310" s="6">
        <f t="shared" si="14"/>
        <v>1.8510000000001359</v>
      </c>
    </row>
    <row r="311" spans="1:5" x14ac:dyDescent="0.3">
      <c r="A311">
        <v>1823.7049999999999</v>
      </c>
      <c r="B311">
        <v>1824.4929999999999</v>
      </c>
      <c r="C311" s="1">
        <f t="shared" si="12"/>
        <v>2.1107696759259258E-2</v>
      </c>
      <c r="D311" s="5">
        <f t="shared" si="13"/>
        <v>2.1116817129629629E-2</v>
      </c>
      <c r="E311" s="6">
        <f t="shared" si="14"/>
        <v>0.78800000000006643</v>
      </c>
    </row>
    <row r="312" spans="1:5" x14ac:dyDescent="0.3">
      <c r="A312">
        <v>1829.212</v>
      </c>
      <c r="B312">
        <v>1830.9570000000001</v>
      </c>
      <c r="C312" s="1">
        <f t="shared" si="12"/>
        <v>2.1171435185185185E-2</v>
      </c>
      <c r="D312" s="5">
        <f t="shared" si="13"/>
        <v>2.1191631944444445E-2</v>
      </c>
      <c r="E312" s="6">
        <f t="shared" si="14"/>
        <v>1.745000000000041</v>
      </c>
    </row>
    <row r="313" spans="1:5" x14ac:dyDescent="0.3">
      <c r="A313">
        <v>1834.047</v>
      </c>
      <c r="B313">
        <v>1834.652</v>
      </c>
      <c r="C313" s="1">
        <f t="shared" si="12"/>
        <v>2.1227395833333332E-2</v>
      </c>
      <c r="D313" s="5">
        <f t="shared" si="13"/>
        <v>2.1234398148148148E-2</v>
      </c>
      <c r="E313" s="6">
        <f t="shared" si="14"/>
        <v>0.6050000000000666</v>
      </c>
    </row>
    <row r="314" spans="1:5" x14ac:dyDescent="0.3">
      <c r="A314">
        <v>1837.6849999999999</v>
      </c>
      <c r="B314">
        <v>1839.45</v>
      </c>
      <c r="C314" s="1">
        <f t="shared" si="12"/>
        <v>2.1269502314814816E-2</v>
      </c>
      <c r="D314" s="5">
        <f t="shared" si="13"/>
        <v>2.1289930555555555E-2</v>
      </c>
      <c r="E314" s="6">
        <f t="shared" si="14"/>
        <v>1.7649999999998722</v>
      </c>
    </row>
    <row r="315" spans="1:5" x14ac:dyDescent="0.3">
      <c r="A315">
        <v>1845.3489999999999</v>
      </c>
      <c r="B315">
        <v>1846.048</v>
      </c>
      <c r="C315" s="1">
        <f t="shared" si="12"/>
        <v>2.1358206018518518E-2</v>
      </c>
      <c r="D315" s="5">
        <f t="shared" si="13"/>
        <v>2.1366296296296296E-2</v>
      </c>
      <c r="E315" s="6">
        <f t="shared" si="14"/>
        <v>0.69900000000008289</v>
      </c>
    </row>
    <row r="316" spans="1:5" x14ac:dyDescent="0.3">
      <c r="A316">
        <v>1849.104</v>
      </c>
      <c r="B316">
        <v>1850.876</v>
      </c>
      <c r="C316" s="1">
        <f t="shared" si="12"/>
        <v>2.1401666666666666E-2</v>
      </c>
      <c r="D316" s="5">
        <f t="shared" si="13"/>
        <v>2.1422175925925924E-2</v>
      </c>
      <c r="E316" s="6">
        <f t="shared" si="14"/>
        <v>1.7719999999999181</v>
      </c>
    </row>
    <row r="317" spans="1:5" x14ac:dyDescent="0.3">
      <c r="A317">
        <v>1860.691</v>
      </c>
      <c r="B317">
        <v>1862.5050000000001</v>
      </c>
      <c r="C317" s="1">
        <f t="shared" si="12"/>
        <v>2.1535775462962963E-2</v>
      </c>
      <c r="D317" s="5">
        <f t="shared" si="13"/>
        <v>2.1556770833333336E-2</v>
      </c>
      <c r="E317" s="6">
        <f t="shared" si="14"/>
        <v>1.8140000000001932</v>
      </c>
    </row>
    <row r="318" spans="1:5" x14ac:dyDescent="0.3">
      <c r="A318">
        <v>1872.75</v>
      </c>
      <c r="B318">
        <v>1874.8209999999999</v>
      </c>
      <c r="C318" s="1">
        <f t="shared" si="12"/>
        <v>2.1675347222222221E-2</v>
      </c>
      <c r="D318" s="5">
        <f t="shared" si="13"/>
        <v>2.1699317129629629E-2</v>
      </c>
      <c r="E318" s="6">
        <f t="shared" si="14"/>
        <v>2.0710000000000783</v>
      </c>
    </row>
    <row r="319" spans="1:5" x14ac:dyDescent="0.3">
      <c r="A319">
        <v>1881.556</v>
      </c>
      <c r="B319">
        <v>1882.3689999999999</v>
      </c>
      <c r="C319" s="1">
        <f t="shared" si="12"/>
        <v>2.1777268518518519E-2</v>
      </c>
      <c r="D319" s="5">
        <f t="shared" si="13"/>
        <v>2.178667824074074E-2</v>
      </c>
      <c r="E319" s="6">
        <f t="shared" si="14"/>
        <v>0.81299999999993044</v>
      </c>
    </row>
    <row r="320" spans="1:5" x14ac:dyDescent="0.3">
      <c r="A320">
        <v>1884.91</v>
      </c>
      <c r="B320">
        <v>1886.6990000000001</v>
      </c>
      <c r="C320" s="1">
        <f t="shared" si="12"/>
        <v>2.1816087962962964E-2</v>
      </c>
      <c r="D320" s="5">
        <f t="shared" si="13"/>
        <v>2.1836793981481483E-2</v>
      </c>
      <c r="E320" s="6">
        <f t="shared" si="14"/>
        <v>1.7890000000000295</v>
      </c>
    </row>
    <row r="321" spans="1:5" x14ac:dyDescent="0.3">
      <c r="A321">
        <v>1895.4369999999999</v>
      </c>
      <c r="B321">
        <v>1896.191</v>
      </c>
      <c r="C321" s="1">
        <f t="shared" si="12"/>
        <v>2.1937928240740739E-2</v>
      </c>
      <c r="D321" s="5">
        <f t="shared" si="13"/>
        <v>2.1946655092592592E-2</v>
      </c>
      <c r="E321" s="6">
        <f t="shared" si="14"/>
        <v>0.75400000000014344</v>
      </c>
    </row>
    <row r="322" spans="1:5" x14ac:dyDescent="0.3">
      <c r="A322">
        <v>1896.778</v>
      </c>
      <c r="B322">
        <v>1898.424</v>
      </c>
      <c r="C322" s="1">
        <f t="shared" ref="C322" si="15">A322/86400</f>
        <v>2.1953449074074073E-2</v>
      </c>
      <c r="D322" s="5">
        <f t="shared" ref="D322" si="16">B322/86400</f>
        <v>2.1972499999999999E-2</v>
      </c>
      <c r="E322" s="6">
        <f t="shared" ref="E322" si="17">(D322-C322)*86400</f>
        <v>1.6459999999999919</v>
      </c>
    </row>
    <row r="323" spans="1:5" x14ac:dyDescent="0.3">
      <c r="A323">
        <v>1897.318</v>
      </c>
      <c r="B323">
        <v>1898.9639999999999</v>
      </c>
      <c r="C323" s="1">
        <f t="shared" ref="C323" si="18">A323/86400</f>
        <v>2.1959699074074072E-2</v>
      </c>
      <c r="D323" s="5">
        <f t="shared" ref="D323" si="19">B323/86400</f>
        <v>2.1978749999999998E-2</v>
      </c>
      <c r="E323" s="6">
        <f t="shared" ref="E323" si="20">(D323-C323)*86400</f>
        <v>1.6459999999999919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zoomScaleNormal="100" workbookViewId="0">
      <selection activeCell="C22" sqref="C22"/>
    </sheetView>
  </sheetViews>
  <sheetFormatPr defaultRowHeight="14" x14ac:dyDescent="0.3"/>
  <cols>
    <col min="1" max="1" width="11.08203125" customWidth="1"/>
    <col min="2" max="2" width="11.5" style="5" bestFit="1" customWidth="1"/>
    <col min="3" max="3" width="20.58203125" customWidth="1"/>
    <col min="4" max="4" width="4.5" bestFit="1" customWidth="1"/>
    <col min="5" max="5" width="3.08203125" customWidth="1"/>
    <col min="6" max="6" width="20.58203125" customWidth="1"/>
    <col min="7" max="14" width="3.0820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08203125" style="2" customWidth="1"/>
    <col min="22" max="23" width="5.58203125" style="2" bestFit="1" customWidth="1"/>
    <col min="24" max="24" width="5.58203125" style="2" customWidth="1"/>
    <col min="25" max="25" width="6.33203125" style="7" bestFit="1" customWidth="1"/>
    <col min="27" max="27" width="11.5" bestFit="1" customWidth="1"/>
  </cols>
  <sheetData>
    <row r="1" spans="1:26" x14ac:dyDescent="0.3">
      <c r="A1" t="s">
        <v>596</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f t="array" aca="1" ref="Q1" ca="1">MATCH(MIN(ABS(sil!D:D-$O1)),ABS(sil!D:D-$O1),0)</f>
        <v>324</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274</v>
      </c>
    </row>
    <row r="2" spans="1:26" x14ac:dyDescent="0.3">
      <c r="A2" t="s">
        <v>597</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275</v>
      </c>
    </row>
    <row r="3" spans="1:26" x14ac:dyDescent="0.3">
      <c r="A3" t="s">
        <v>598</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276</v>
      </c>
    </row>
    <row r="4" spans="1:26" x14ac:dyDescent="0.3">
      <c r="A4" t="s">
        <v>599</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277</v>
      </c>
    </row>
    <row r="5" spans="1:26" x14ac:dyDescent="0.3">
      <c r="A5" t="s">
        <v>600</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00:00:45.920</v>
      </c>
      <c r="Q5">
        <v>8</v>
      </c>
      <c r="R5" s="1">
        <f ca="1">OFFSET(sil!$D$1,sub!Q5-1,0)</f>
        <v>4.5071759259259262E-4</v>
      </c>
      <c r="S5" s="5">
        <f t="shared" ca="1" si="7"/>
        <v>4.4840277777777782E-4</v>
      </c>
      <c r="T5">
        <f t="shared" ca="1" si="8"/>
        <v>-5.7999999999995902E-2</v>
      </c>
      <c r="U5" s="2">
        <f t="shared" ca="1" si="0"/>
        <v>1.7592592592592486E-5</v>
      </c>
      <c r="V5" s="2">
        <f t="shared" si="1"/>
        <v>1.13425925925926E-4</v>
      </c>
      <c r="W5" s="2">
        <f t="shared" ca="1" si="2"/>
        <v>9.9999999999999937E-5</v>
      </c>
      <c r="X5" s="2">
        <f t="shared" ca="1" si="9"/>
        <v>9.9895833333333347E-5</v>
      </c>
      <c r="Y5" s="7">
        <f t="shared" ca="1" si="3"/>
        <v>-1.1690000000000051</v>
      </c>
      <c r="Z5" s="4" t="s">
        <v>278</v>
      </c>
    </row>
    <row r="6" spans="1:26" x14ac:dyDescent="0.3">
      <c r="A6" t="s">
        <v>601</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279</v>
      </c>
    </row>
    <row r="7" spans="1:26" x14ac:dyDescent="0.3">
      <c r="A7" t="s">
        <v>602</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00:01:04.640</v>
      </c>
      <c r="Q7">
        <v>11</v>
      </c>
      <c r="R7" s="1">
        <f ca="1">OFFSET(sil!$D$1,sub!Q7-1,0)</f>
        <v>6.31574074074074E-4</v>
      </c>
      <c r="S7" s="5">
        <f t="shared" ca="1" si="7"/>
        <v>6.292592592592592E-4</v>
      </c>
      <c r="T7">
        <f t="shared" ca="1" si="8"/>
        <v>-3.2000000000003553E-2</v>
      </c>
      <c r="U7" s="2">
        <f t="shared" ca="1" si="0"/>
        <v>0</v>
      </c>
      <c r="V7" s="2">
        <f t="shared" si="1"/>
        <v>1.3773148148148152E-4</v>
      </c>
      <c r="W7" s="2">
        <f t="shared" ca="1" si="2"/>
        <v>1.1851851851851856E-4</v>
      </c>
      <c r="X7" s="2">
        <f t="shared" ca="1" si="9"/>
        <v>1.1817129629629645E-4</v>
      </c>
      <c r="Y7" s="7">
        <f t="shared" ca="1" si="3"/>
        <v>-1.6899999999999897</v>
      </c>
      <c r="Z7" s="4" t="s">
        <v>280</v>
      </c>
    </row>
    <row r="8" spans="1:26" x14ac:dyDescent="0.3">
      <c r="A8" t="s">
        <v>909</v>
      </c>
      <c r="B8" s="5" t="str">
        <f t="shared" si="4"/>
        <v>00:01:38.433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9.4907407407407484E-5</v>
      </c>
      <c r="W8" s="2">
        <f t="shared" ca="1" si="2"/>
        <v>9.4444444444444415E-5</v>
      </c>
      <c r="X8" s="2">
        <f t="shared" ca="1" si="9"/>
        <v>9.4328703703703567E-5</v>
      </c>
      <c r="Y8" s="7">
        <f t="shared" ca="1" si="3"/>
        <v>-5.0000000000018432E-2</v>
      </c>
      <c r="Z8" s="4" t="s">
        <v>281</v>
      </c>
    </row>
    <row r="9" spans="1:26" x14ac:dyDescent="0.3">
      <c r="A9" t="s">
        <v>910</v>
      </c>
      <c r="B9" s="5" t="str">
        <f t="shared" si="4"/>
        <v>00:01:46.633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1.5162037037037032E-4</v>
      </c>
      <c r="W9" s="2">
        <f t="shared" ca="1" si="2"/>
        <v>1.4907407407407415E-4</v>
      </c>
      <c r="X9" s="2">
        <f t="shared" ca="1" si="9"/>
        <v>1.4812500000000014E-4</v>
      </c>
      <c r="Y9" s="7">
        <f t="shared" ca="1" si="3"/>
        <v>-0.30199999999998317</v>
      </c>
      <c r="Z9" s="4" t="s">
        <v>282</v>
      </c>
    </row>
    <row r="10" spans="1:26" x14ac:dyDescent="0.3">
      <c r="A10" t="s">
        <v>911</v>
      </c>
      <c r="B10" s="5" t="str">
        <f t="shared" si="4"/>
        <v>00:01:59.733</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00:01:38.560</v>
      </c>
      <c r="Q10">
        <v>17</v>
      </c>
      <c r="R10" s="1">
        <f ca="1">OFFSET(sil!$D$1,sub!Q10-1,0)</f>
        <v>9.9219907407407416E-4</v>
      </c>
      <c r="S10" s="5">
        <f t="shared" ca="1" si="7"/>
        <v>9.8988425925925936E-4</v>
      </c>
      <c r="T10">
        <f t="shared" ca="1" si="8"/>
        <v>-0.15399999999999719</v>
      </c>
      <c r="U10" s="2">
        <f t="shared" ca="1" si="0"/>
        <v>0</v>
      </c>
      <c r="V10" s="2">
        <f t="shared" si="1"/>
        <v>1.5277777777777772E-4</v>
      </c>
      <c r="W10" s="2">
        <f t="shared" ca="1" si="2"/>
        <v>1.4907407407407404E-4</v>
      </c>
      <c r="X10" s="2">
        <f t="shared" ca="1" si="9"/>
        <v>1.4973379629629625E-4</v>
      </c>
      <c r="Y10" s="7">
        <f t="shared" ca="1" si="3"/>
        <v>-0.26299999999999935</v>
      </c>
      <c r="Z10" s="4" t="s">
        <v>283</v>
      </c>
    </row>
    <row r="11" spans="1:26" x14ac:dyDescent="0.3">
      <c r="A11" t="s">
        <v>912</v>
      </c>
      <c r="B11" s="5" t="str">
        <f t="shared" si="4"/>
        <v>00:02:12.933</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7.4467592592592554E-5</v>
      </c>
      <c r="W11" s="2">
        <f t="shared" ca="1" si="2"/>
        <v>6.8518518518518321E-5</v>
      </c>
      <c r="X11" s="2">
        <f t="shared" ca="1" si="9"/>
        <v>6.8472222222222155E-5</v>
      </c>
      <c r="Y11" s="7">
        <f t="shared" ca="1" si="3"/>
        <v>-0.51800000000000246</v>
      </c>
      <c r="Z11" s="4" t="s">
        <v>284</v>
      </c>
    </row>
    <row r="12" spans="1:26" x14ac:dyDescent="0.3">
      <c r="A12" t="s">
        <v>913</v>
      </c>
      <c r="B12" s="5" t="str">
        <f t="shared" si="4"/>
        <v>00:02:19.367</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00:01:51.160</v>
      </c>
      <c r="Q12">
        <v>20</v>
      </c>
      <c r="R12" s="1">
        <f ca="1">OFFSET(sil!$D$1,sub!Q12-1,0)</f>
        <v>1.2104050925925926E-3</v>
      </c>
      <c r="S12" s="5">
        <f t="shared" ca="1" si="7"/>
        <v>1.2080902777777778E-3</v>
      </c>
      <c r="T12">
        <f t="shared" ca="1" si="8"/>
        <v>-0.10099999999998721</v>
      </c>
      <c r="U12" s="2">
        <f t="shared" ca="1" si="0"/>
        <v>0</v>
      </c>
      <c r="V12" s="2">
        <f t="shared" si="1"/>
        <v>7.638888888888886E-5</v>
      </c>
      <c r="W12" s="2">
        <f t="shared" ca="1" si="2"/>
        <v>7.7314814814814998E-5</v>
      </c>
      <c r="X12" s="2">
        <f t="shared" ca="1" si="9"/>
        <v>7.7465277777777862E-5</v>
      </c>
      <c r="Y12" s="7">
        <f t="shared" ca="1" si="3"/>
        <v>9.3000000000009742E-2</v>
      </c>
      <c r="Z12" s="4" t="s">
        <v>285</v>
      </c>
    </row>
    <row r="13" spans="1:26" x14ac:dyDescent="0.3">
      <c r="A13" t="s">
        <v>914</v>
      </c>
      <c r="B13" s="5" t="str">
        <f t="shared" si="4"/>
        <v>00:02:25.967</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00:01:51.160</v>
      </c>
      <c r="P13" s="1" t="str">
        <f ca="1">OFFSET(srt!$G$1,D15-2,0)</f>
        <v>00:02:04.080</v>
      </c>
      <c r="Q13">
        <v>21</v>
      </c>
      <c r="R13" s="1">
        <f ca="1">OFFSET(sil!$D$1,sub!Q13-1,0)</f>
        <v>1.2878703703703704E-3</v>
      </c>
      <c r="S13" s="5">
        <f t="shared" ca="1" si="7"/>
        <v>1.2855555555555556E-3</v>
      </c>
      <c r="T13">
        <f t="shared" ca="1" si="8"/>
        <v>-8.7999999999995721E-2</v>
      </c>
      <c r="U13" s="2">
        <f t="shared" ca="1" si="0"/>
        <v>0</v>
      </c>
      <c r="V13" s="2">
        <f t="shared" si="1"/>
        <v>1.5277777777777794E-4</v>
      </c>
      <c r="W13" s="2">
        <f t="shared" ca="1" si="2"/>
        <v>1.49537037037037E-4</v>
      </c>
      <c r="X13" s="2">
        <f t="shared" ca="1" si="9"/>
        <v>1.4913194444444436E-4</v>
      </c>
      <c r="Y13" s="7">
        <f t="shared" ca="1" si="3"/>
        <v>-0.31500000000002149</v>
      </c>
      <c r="Z13" s="4" t="s">
        <v>286</v>
      </c>
    </row>
    <row r="14" spans="1:26" x14ac:dyDescent="0.3">
      <c r="A14" t="s">
        <v>915</v>
      </c>
      <c r="B14" s="5" t="str">
        <f t="shared" si="4"/>
        <v>00:02:39.167</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00:02:04.080</v>
      </c>
      <c r="P14" s="1" t="str">
        <f ca="1">OFFSET(srt!$G$1,D16-2,0)</f>
        <v>00:02:18.480</v>
      </c>
      <c r="Q14">
        <v>24</v>
      </c>
      <c r="R14" s="1">
        <f ca="1">OFFSET(sil!$D$1,sub!Q14-1,0)</f>
        <v>1.4370023148148148E-3</v>
      </c>
      <c r="S14" s="5">
        <f t="shared" ca="1" si="7"/>
        <v>1.4346875E-3</v>
      </c>
      <c r="T14">
        <f t="shared" ca="1" si="8"/>
        <v>-0.12300000000000019</v>
      </c>
      <c r="U14" s="2">
        <f t="shared" ca="1" si="0"/>
        <v>0</v>
      </c>
      <c r="V14" s="2">
        <f t="shared" si="1"/>
        <v>1.7013888888888873E-4</v>
      </c>
      <c r="W14" s="2">
        <f t="shared" ca="1" si="2"/>
        <v>1.6666666666666653E-4</v>
      </c>
      <c r="X14" s="2">
        <f t="shared" ca="1" si="9"/>
        <v>1.6703703703703715E-4</v>
      </c>
      <c r="Y14" s="7">
        <f t="shared" ca="1" si="3"/>
        <v>-0.26799999999997592</v>
      </c>
      <c r="Z14" s="4" t="s">
        <v>287</v>
      </c>
    </row>
    <row r="15" spans="1:26" x14ac:dyDescent="0.3">
      <c r="A15" t="s">
        <v>916</v>
      </c>
      <c r="B15" s="5" t="str">
        <f t="shared" si="4"/>
        <v>00:02:53.867</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1.1226851851851892E-4</v>
      </c>
      <c r="W15" s="2">
        <f t="shared" ca="1" si="2"/>
        <v>1.1111111111111109E-4</v>
      </c>
      <c r="X15" s="2">
        <f t="shared" ca="1" si="9"/>
        <v>1.1017361111111102E-4</v>
      </c>
      <c r="Y15" s="7">
        <f t="shared" ca="1" si="3"/>
        <v>-0.18100000000004293</v>
      </c>
      <c r="Z15" s="4" t="s">
        <v>879</v>
      </c>
    </row>
    <row r="16" spans="1:26" x14ac:dyDescent="0.3">
      <c r="A16" t="s">
        <v>917</v>
      </c>
      <c r="B16" s="5" t="str">
        <f t="shared" si="4"/>
        <v>00:03:03.567</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00:02:36.840</v>
      </c>
      <c r="Q16">
        <v>28</v>
      </c>
      <c r="R16" s="1">
        <f ca="1">OFFSET(sil!$D$1,sub!Q16-1,0)</f>
        <v>1.714212962962963E-3</v>
      </c>
      <c r="S16" s="5">
        <f t="shared" ca="1" si="7"/>
        <v>1.7118981481481482E-3</v>
      </c>
      <c r="T16">
        <f t="shared" ca="1" si="8"/>
        <v>-0.17199999999998397</v>
      </c>
      <c r="U16" s="2">
        <f t="shared" ca="1" si="0"/>
        <v>1.7129629629629526E-5</v>
      </c>
      <c r="V16" s="2">
        <f t="shared" si="1"/>
        <v>1.2268518518518488E-4</v>
      </c>
      <c r="W16" s="2">
        <f t="shared" ca="1" si="2"/>
        <v>1.1851851851851867E-4</v>
      </c>
      <c r="X16" s="2">
        <f t="shared" ca="1" si="9"/>
        <v>1.1927083333333342E-4</v>
      </c>
      <c r="Y16" s="7">
        <f t="shared" ca="1" si="3"/>
        <v>-0.2949999999999654</v>
      </c>
      <c r="Z16" s="4" t="s">
        <v>288</v>
      </c>
    </row>
    <row r="17" spans="1:26" x14ac:dyDescent="0.3">
      <c r="A17" t="s">
        <v>918</v>
      </c>
      <c r="B17" s="5" t="str">
        <f t="shared" si="4"/>
        <v>00:03:14.167</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00:02:38.320</v>
      </c>
      <c r="P17" s="1" t="str">
        <f ca="1">OFFSET(srt!$G$1,D19-2,0)</f>
        <v>00:02:52.200</v>
      </c>
      <c r="Q17">
        <v>29</v>
      </c>
      <c r="R17" s="1">
        <f ca="1">OFFSET(sil!$D$1,sub!Q17-1,0)</f>
        <v>1.8334837962962964E-3</v>
      </c>
      <c r="S17" s="5">
        <f t="shared" ca="1" si="7"/>
        <v>1.8311689814814816E-3</v>
      </c>
      <c r="T17">
        <f t="shared" ca="1" si="8"/>
        <v>-0.10699999999998905</v>
      </c>
      <c r="U17" s="2">
        <f t="shared" ca="1" si="0"/>
        <v>1.6203703703703606E-5</v>
      </c>
      <c r="V17" s="2">
        <f t="shared" si="1"/>
        <v>1.8518518518518537E-4</v>
      </c>
      <c r="W17" s="2">
        <f t="shared" ca="1" si="2"/>
        <v>1.7685185185185187E-4</v>
      </c>
      <c r="X17" s="2">
        <f t="shared" ca="1" si="9"/>
        <v>1.7743055555555546E-4</v>
      </c>
      <c r="Y17" s="7">
        <f t="shared" ca="1" si="3"/>
        <v>-0.67000000000002402</v>
      </c>
      <c r="Z17" s="4" t="s">
        <v>289</v>
      </c>
    </row>
    <row r="18" spans="1:26" x14ac:dyDescent="0.3">
      <c r="A18" t="s">
        <v>919</v>
      </c>
      <c r="B18" s="5" t="str">
        <f t="shared" si="4"/>
        <v>00:03:30.167</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00:03:02.280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1.0046296296296279E-4</v>
      </c>
      <c r="X18" s="2">
        <f t="shared" ca="1" si="9"/>
        <v>9.9976851851851962E-5</v>
      </c>
      <c r="Y18" s="7">
        <f t="shared" ca="1" si="3"/>
        <v>-0.26199999999999279</v>
      </c>
      <c r="Z18" s="4" t="s">
        <v>290</v>
      </c>
    </row>
    <row r="19" spans="1:26" x14ac:dyDescent="0.3">
      <c r="A19" t="s">
        <v>920</v>
      </c>
      <c r="B19" s="5" t="str">
        <f t="shared" si="4"/>
        <v>00:03:39.067</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00:03:02.280</v>
      </c>
      <c r="P19" s="1" t="str">
        <f ca="1">OFFSET(srt!$G$1,D21-2,0)</f>
        <v>00:03:12.880</v>
      </c>
      <c r="Q19">
        <v>32</v>
      </c>
      <c r="R19" s="1">
        <f ca="1">OFFSET(sil!$D$1,sub!Q19-1,0)</f>
        <v>2.1108912037037038E-3</v>
      </c>
      <c r="S19" s="5">
        <f t="shared" ca="1" si="7"/>
        <v>2.108576388888889E-3</v>
      </c>
      <c r="T19">
        <f t="shared" ca="1" si="8"/>
        <v>-9.8999999999974109E-2</v>
      </c>
      <c r="U19" s="2">
        <f t="shared" ca="1" si="0"/>
        <v>1.8518518518518406E-5</v>
      </c>
      <c r="V19" s="2">
        <f t="shared" si="1"/>
        <v>1.4814814814814769E-4</v>
      </c>
      <c r="W19" s="2">
        <f t="shared" ca="1" si="2"/>
        <v>1.4120370370370372E-4</v>
      </c>
      <c r="X19" s="2">
        <f t="shared" ca="1" si="9"/>
        <v>1.4120370370370328E-4</v>
      </c>
      <c r="Y19" s="7">
        <f t="shared" ca="1" si="3"/>
        <v>-0.59999999999999631</v>
      </c>
      <c r="Z19" s="4" t="s">
        <v>291</v>
      </c>
    </row>
    <row r="20" spans="1:26" x14ac:dyDescent="0.3">
      <c r="A20" t="s">
        <v>921</v>
      </c>
      <c r="B20" s="5" t="str">
        <f t="shared" si="4"/>
        <v>00:03:51.867</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00:03:26.240</v>
      </c>
      <c r="Q20">
        <v>34</v>
      </c>
      <c r="R20" s="1">
        <f ca="1">OFFSET(sil!$D$1,sub!Q20-1,0)</f>
        <v>2.2520949074074071E-3</v>
      </c>
      <c r="S20" s="5">
        <f t="shared" ca="1" si="7"/>
        <v>2.2497800925925923E-3</v>
      </c>
      <c r="T20">
        <f t="shared" ca="1" si="8"/>
        <v>-9.9000000000011579E-2</v>
      </c>
      <c r="U20" s="2">
        <f t="shared" ca="1" si="0"/>
        <v>1.7592592592592052E-5</v>
      </c>
      <c r="V20" s="2">
        <f t="shared" si="1"/>
        <v>1.5740740740740776E-4</v>
      </c>
      <c r="W20" s="2">
        <f t="shared" ca="1" si="2"/>
        <v>1.5370370370370364E-4</v>
      </c>
      <c r="X20" s="2">
        <f t="shared" ca="1" si="9"/>
        <v>1.5415509259259288E-4</v>
      </c>
      <c r="Y20" s="7">
        <f t="shared" ca="1" si="3"/>
        <v>-0.28100000000000486</v>
      </c>
      <c r="Z20" s="4" t="s">
        <v>292</v>
      </c>
    </row>
    <row r="21" spans="1:26" x14ac:dyDescent="0.3">
      <c r="A21" t="s">
        <v>922</v>
      </c>
      <c r="B21" s="5" t="str">
        <f t="shared" si="4"/>
        <v>00:04:05.467</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1.2653935185185164E-4</v>
      </c>
      <c r="W21" s="2">
        <f t="shared" ca="1" si="2"/>
        <v>1.041666666666669E-4</v>
      </c>
      <c r="X21" s="2">
        <f t="shared" ca="1" si="9"/>
        <v>1.0380787037037043E-4</v>
      </c>
      <c r="Y21" s="7">
        <f t="shared" ca="1" si="3"/>
        <v>-1.9639999999999769</v>
      </c>
      <c r="Z21" s="4" t="s">
        <v>293</v>
      </c>
    </row>
    <row r="22" spans="1:26" s="8" customFormat="1" x14ac:dyDescent="0.3">
      <c r="A22" s="8" t="s">
        <v>923</v>
      </c>
      <c r="B22" s="5" t="str">
        <f t="shared" si="4"/>
        <v>00:04:16.400</v>
      </c>
      <c r="C22" s="8" t="str">
        <f t="shared" si="5"/>
        <v>现在，如果我们把序号1—25用坐标x,y表示，则按钮和灯可写为以上公式。让我们以L7(2)=L(2,2,2)为例。</v>
      </c>
      <c r="D22" s="8">
        <f t="shared" ca="1" si="10"/>
        <v>63</v>
      </c>
      <c r="E22" s="8">
        <f t="shared" ca="1" si="6"/>
        <v>3</v>
      </c>
      <c r="F22" s="8" t="str">
        <f ca="1">OFFSET(srt!$C$1,D23-1,0)</f>
        <v>现在如果我们把序号1到25用坐标X和Y表示，</v>
      </c>
      <c r="G22" s="8">
        <f ca="1">PrefixLenNorm($C22,OFFSET(srt!$C$1,$D22+COLUMN()-7,0))</f>
        <v>0</v>
      </c>
      <c r="H22" s="8">
        <f ca="1">PrefixLenNorm($C22,OFFSET(srt!$C$1,$D22+COLUMN()-7,0))</f>
        <v>0</v>
      </c>
      <c r="I22" s="8">
        <f ca="1">PrefixLenNorm($C22,OFFSET(srt!$C$1,$D22+COLUMN()-7,0))</f>
        <v>17</v>
      </c>
      <c r="J22" s="8">
        <f ca="1">PrefixLenNorm($C22,OFFSET(srt!$C$1,$D22+COLUMN()-7,0))</f>
        <v>0</v>
      </c>
      <c r="K22" s="8">
        <f ca="1">PrefixLenNorm($C22,OFFSET(srt!$C$1,$D22+COLUMN()-7,0))</f>
        <v>0</v>
      </c>
      <c r="L22" s="8">
        <f ca="1">PrefixLenNorm($C22,OFFSET(srt!$C$1,$D22+COLUMN()-7,0))</f>
        <v>0</v>
      </c>
      <c r="M22" s="8">
        <f ca="1">PrefixLenNorm($C22,OFFSET(srt!$C$1,$D22+COLUMN()-7,0))</f>
        <v>0</v>
      </c>
      <c r="N22" s="8">
        <f ca="1">PrefixLenNorm($C22,OFFSET(srt!$C$1,$D22+COLUMN()-7,0))</f>
        <v>0</v>
      </c>
      <c r="O22" s="5" t="str">
        <f ca="1">OFFSET(srt!$F$1,D23-1,0)</f>
        <v>00:03:36.760</v>
      </c>
      <c r="P22" s="5" t="str">
        <f ca="1">OFFSET(srt!$G$1,D24-2,0)</f>
        <v>00:03:49.840</v>
      </c>
      <c r="Q22" s="8">
        <v>37</v>
      </c>
      <c r="R22" s="5">
        <f ca="1">OFFSET(sil!$D$1,sub!Q22-1,0)</f>
        <v>2.5100578703703704E-3</v>
      </c>
      <c r="S22" s="5">
        <f t="shared" ca="1" si="7"/>
        <v>2.5077430555555556E-3</v>
      </c>
      <c r="T22" s="8">
        <f t="shared" ca="1" si="8"/>
        <v>-9.0999999999996639E-2</v>
      </c>
      <c r="U22" s="15">
        <f t="shared" ca="1" si="0"/>
        <v>0</v>
      </c>
      <c r="V22" s="15">
        <f t="shared" si="1"/>
        <v>1.5586805555555579E-4</v>
      </c>
      <c r="W22" s="15">
        <f t="shared" ca="1" si="2"/>
        <v>1.5138888888888884E-4</v>
      </c>
      <c r="X22" s="15">
        <f t="shared" ca="1" si="9"/>
        <v>1.5037037037037015E-4</v>
      </c>
      <c r="Y22" s="7">
        <f t="shared" ca="1" si="3"/>
        <v>-0.47500000000003928</v>
      </c>
      <c r="Z22" s="8" t="s">
        <v>294</v>
      </c>
    </row>
    <row r="23" spans="1:26" x14ac:dyDescent="0.3">
      <c r="A23" t="s">
        <v>924</v>
      </c>
      <c r="B23" s="5" t="str">
        <f t="shared" si="4"/>
        <v>00:04:29.867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295</v>
      </c>
    </row>
    <row r="24" spans="1:26" x14ac:dyDescent="0.3">
      <c r="A24" t="s">
        <v>925</v>
      </c>
      <c r="B24" s="5" t="str">
        <f t="shared" si="4"/>
        <v>00:04:36.967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296</v>
      </c>
    </row>
    <row r="25" spans="1:26" x14ac:dyDescent="0.3">
      <c r="A25" t="s">
        <v>926</v>
      </c>
      <c r="B25" s="5" t="str">
        <f t="shared" si="4"/>
        <v>00:04:45.367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9.0277777777778099E-5</v>
      </c>
      <c r="W25" s="2">
        <f t="shared" ca="1" si="2"/>
        <v>8.3333333333333263E-5</v>
      </c>
      <c r="X25" s="2">
        <f t="shared" ca="1" si="9"/>
        <v>8.3761574074074207E-5</v>
      </c>
      <c r="Y25" s="7">
        <f t="shared" ca="1" si="3"/>
        <v>-0.56300000000001627</v>
      </c>
      <c r="Z25" s="4" t="s">
        <v>297</v>
      </c>
    </row>
    <row r="26" spans="1:26" x14ac:dyDescent="0.3">
      <c r="A26" t="s">
        <v>927</v>
      </c>
      <c r="B26" s="5" t="str">
        <f t="shared" si="4"/>
        <v>00:04:53.167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1.0416666666666604E-4</v>
      </c>
      <c r="W26" s="2">
        <f t="shared" ca="1" si="2"/>
        <v>1.0046296296296279E-4</v>
      </c>
      <c r="X26" s="2">
        <f t="shared" ca="1" si="9"/>
        <v>9.9537037037037302E-5</v>
      </c>
      <c r="Y26" s="7">
        <f t="shared" ca="1" si="3"/>
        <v>-0.39999999999992264</v>
      </c>
      <c r="Z26" s="4" t="s">
        <v>298</v>
      </c>
    </row>
    <row r="27" spans="1:26" x14ac:dyDescent="0.3">
      <c r="A27" t="s">
        <v>928</v>
      </c>
      <c r="B27" s="5" t="str">
        <f t="shared" si="4"/>
        <v>00:05:02.167</v>
      </c>
      <c r="C27" t="str">
        <f t="shared" si="5"/>
        <v>因此，我们可以在公式中去除y。于是，灯可以表示为当前矩阵的上左中右的按钮的叠加。</v>
      </c>
      <c r="D27">
        <f t="shared" ca="1" si="10"/>
        <v>74</v>
      </c>
      <c r="E27">
        <f t="shared" ca="1" si="6"/>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1.0879629629629651E-4</v>
      </c>
      <c r="W27" s="2">
        <f t="shared" ca="1" si="2"/>
        <v>1.0740740740740762E-4</v>
      </c>
      <c r="X27" s="2">
        <f t="shared" ca="1" si="9"/>
        <v>1.080439814814811E-4</v>
      </c>
      <c r="Y27" s="7">
        <f t="shared" ca="1" si="3"/>
        <v>-6.5000000000051128E-2</v>
      </c>
      <c r="Z27" s="4" t="s">
        <v>299</v>
      </c>
    </row>
    <row r="28" spans="1:26" x14ac:dyDescent="0.3">
      <c r="A28" t="s">
        <v>929</v>
      </c>
      <c r="B28" s="5" t="str">
        <f t="shared" si="4"/>
        <v>00:05:11.567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3.1288657407407407E-3</v>
      </c>
      <c r="S28" s="5">
        <f t="shared" ca="1" si="7"/>
        <v>3.1265509259259259E-3</v>
      </c>
      <c r="T28">
        <f t="shared" ca="1" si="8"/>
        <v>-0.10600000000001997</v>
      </c>
      <c r="U28" s="2">
        <f t="shared" ca="1" si="0"/>
        <v>1.7129629629629526E-5</v>
      </c>
      <c r="V28" s="2">
        <f t="shared" si="1"/>
        <v>1.1226851851851849E-4</v>
      </c>
      <c r="W28" s="2">
        <f t="shared" ca="1" si="2"/>
        <v>1.0046296296296279E-4</v>
      </c>
      <c r="X28" s="2">
        <f t="shared" ca="1" si="9"/>
        <v>1.0019675925925908E-4</v>
      </c>
      <c r="Y28" s="7">
        <f t="shared" ca="1" si="3"/>
        <v>-1.0430000000000135</v>
      </c>
      <c r="Z28" s="4" t="s">
        <v>880</v>
      </c>
    </row>
    <row r="29" spans="1:26" x14ac:dyDescent="0.3">
      <c r="A29" t="s">
        <v>930</v>
      </c>
      <c r="B29" s="5" t="str">
        <f t="shared" si="4"/>
        <v>00:05:21.267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881</v>
      </c>
    </row>
    <row r="30" spans="1:26" x14ac:dyDescent="0.3">
      <c r="A30" t="s">
        <v>931</v>
      </c>
      <c r="B30" s="5" t="str">
        <f t="shared" si="4"/>
        <v>00:05:27.367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300</v>
      </c>
    </row>
    <row r="31" spans="1:26" x14ac:dyDescent="0.3">
      <c r="A31" t="s">
        <v>932</v>
      </c>
      <c r="B31" s="5" t="str">
        <f t="shared" si="4"/>
        <v>00:05:39.267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301</v>
      </c>
    </row>
    <row r="32" spans="1:26" x14ac:dyDescent="0.3">
      <c r="A32" t="s">
        <v>933</v>
      </c>
      <c r="B32" s="5" t="str">
        <f t="shared" si="4"/>
        <v>00:05:48.367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302</v>
      </c>
    </row>
    <row r="33" spans="1:26" x14ac:dyDescent="0.3">
      <c r="A33" t="s">
        <v>934</v>
      </c>
      <c r="B33" s="5" t="str">
        <f t="shared" si="4"/>
        <v>00:05:59.567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00:05:22.720</v>
      </c>
      <c r="Q33">
        <v>54</v>
      </c>
      <c r="R33" s="1">
        <f ca="1">OFFSET(sil!$D$1,sub!Q33-1,0)</f>
        <v>3.655833333333333E-3</v>
      </c>
      <c r="S33" s="5">
        <f t="shared" ca="1" si="7"/>
        <v>3.6535185185185182E-3</v>
      </c>
      <c r="T33">
        <f t="shared" ca="1" si="8"/>
        <v>-9.6000000000029395E-2</v>
      </c>
      <c r="U33" s="2">
        <f t="shared" ca="1" si="0"/>
        <v>0</v>
      </c>
      <c r="V33" s="2">
        <f t="shared" si="1"/>
        <v>8.2175925925925646E-5</v>
      </c>
      <c r="W33" s="2">
        <f t="shared" ca="1" si="2"/>
        <v>8.0555555555555935E-5</v>
      </c>
      <c r="X33" s="2">
        <f t="shared" ca="1" si="9"/>
        <v>8.0243055555556057E-5</v>
      </c>
      <c r="Y33" s="7">
        <f t="shared" ca="1" si="3"/>
        <v>-0.16699999999993248</v>
      </c>
      <c r="Z33" s="4" t="s">
        <v>303</v>
      </c>
    </row>
    <row r="34" spans="1:26" x14ac:dyDescent="0.3">
      <c r="A34" t="s">
        <v>935</v>
      </c>
      <c r="B34" s="5" t="str">
        <f t="shared" si="4"/>
        <v>00:06:06.667</v>
      </c>
      <c r="C34" t="str">
        <f t="shared" si="5"/>
        <v>即后一行的翻转是前一行左中右和上上行叠加后的翻转。</v>
      </c>
      <c r="D34">
        <f t="shared" ca="1" si="10"/>
        <v>93</v>
      </c>
      <c r="E34">
        <f t="shared" ca="1" si="6"/>
        <v>4</v>
      </c>
      <c r="F34" t="str">
        <f ca="1">OFFSET(srt!$C$1,D35-1,0)</f>
        <v>即后一行的翻转是前一行，</v>
      </c>
      <c r="G34">
        <f ca="1">PrefixLenNorm($C34,OFFSET(srt!$C$1,$D34+COLUMN()-7,0))</f>
        <v>0</v>
      </c>
      <c r="H34">
        <f ca="1">PrefixLenNorm($C34,OFFSET(srt!$C$1,$D34+COLUMN()-7,0))</f>
        <v>0</v>
      </c>
      <c r="I34">
        <f ca="1">PrefixLenNorm($C34,OFFSET(srt!$C$1,$D34+COLUMN()-7,0))</f>
        <v>0</v>
      </c>
      <c r="J34">
        <f ca="1">PrefixLenNorm($C34,OFFSET(srt!$C$1,$D34+COLUMN()-7,0))</f>
        <v>11</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304</v>
      </c>
    </row>
    <row r="35" spans="1:26" x14ac:dyDescent="0.3">
      <c r="A35" t="s">
        <v>936</v>
      </c>
      <c r="B35" s="5" t="str">
        <f t="shared" si="4"/>
        <v>00:06:13.267</v>
      </c>
      <c r="C35" t="str">
        <f t="shared" si="5"/>
        <v>可以注意到，这里的公式Y和公式B的推导公式是类似的。只不过，Y是从零向量开始推导的，并且不能省略翻转符号¬。</v>
      </c>
      <c r="D35">
        <f t="shared" ca="1" si="10"/>
        <v>97</v>
      </c>
      <c r="E35">
        <f t="shared" ca="1" si="6"/>
        <v>2</v>
      </c>
      <c r="F35" t="str">
        <f ca="1">OFFSET(srt!$C$1,D36-1,0)</f>
        <v>可以注意到这里的公式外和公式B的推导公式是类似的。</v>
      </c>
      <c r="G35">
        <f ca="1">PrefixLenNorm($C35,OFFSET(srt!$C$1,$D35+COLUMN()-7,0))</f>
        <v>0</v>
      </c>
      <c r="H35">
        <f ca="1">PrefixLenNorm($C35,OFFSET(srt!$C$1,$D35+COLUMN()-7,0))</f>
        <v>10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00:05:43.040</v>
      </c>
      <c r="Q35">
        <v>56</v>
      </c>
      <c r="R35" s="1">
        <f ca="1">OFFSET(sil!$D$1,sub!Q35-1,0)</f>
        <v>3.8105902777777778E-3</v>
      </c>
      <c r="S35" s="5">
        <f t="shared" ca="1" si="7"/>
        <v>3.808275462962963E-3</v>
      </c>
      <c r="T35">
        <f t="shared" ca="1" si="8"/>
        <v>-0.12500000000003203</v>
      </c>
      <c r="U35" s="2">
        <f t="shared" ca="1" si="0"/>
        <v>0</v>
      </c>
      <c r="V35" s="2">
        <f t="shared" si="1"/>
        <v>1.4004629629629697E-4</v>
      </c>
      <c r="W35" s="2">
        <f t="shared" ca="1" si="2"/>
        <v>1.6064814814814804E-4</v>
      </c>
      <c r="X35" s="2">
        <f t="shared" ca="1" si="9"/>
        <v>1.378703703703698E-4</v>
      </c>
      <c r="Y35" s="7">
        <f t="shared" ca="1" si="3"/>
        <v>-0.18800000000010753</v>
      </c>
      <c r="Z35" s="4" t="s">
        <v>305</v>
      </c>
    </row>
    <row r="36" spans="1:26" x14ac:dyDescent="0.3">
      <c r="A36" t="s">
        <v>937</v>
      </c>
      <c r="B36" s="5" t="str">
        <f t="shared" si="4"/>
        <v>00:06:25.367</v>
      </c>
      <c r="C36" t="str">
        <f t="shared" si="5"/>
        <v>1. 使用零向量：第一次翻转发生在从一到二行的推导过程中，在此之前没有发生过翻转，因此Y的第一行是全零。</v>
      </c>
      <c r="D36">
        <f t="shared" ca="1" si="10"/>
        <v>99</v>
      </c>
      <c r="E36">
        <f t="shared" ca="1" si="6"/>
        <v>3</v>
      </c>
      <c r="F36" t="str">
        <f ca="1">OFFSET(srt!$C$1,D37-1,0)</f>
        <v>第一次翻转发生在从1到2行的推导过程中，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00:05:53.080</v>
      </c>
      <c r="Q36">
        <v>58</v>
      </c>
      <c r="R36" s="1">
        <f ca="1">OFFSET(sil!$D$1,sub!Q36-1,0)</f>
        <v>3.948460648148148E-3</v>
      </c>
      <c r="S36" s="5">
        <f t="shared" ca="1" si="7"/>
        <v>3.9461458333333328E-3</v>
      </c>
      <c r="T36">
        <f t="shared" ca="1" si="8"/>
        <v>-2.0930000000000728</v>
      </c>
      <c r="U36" s="2">
        <f t="shared" ca="1" si="0"/>
        <v>0</v>
      </c>
      <c r="V36" s="2">
        <f t="shared" si="1"/>
        <v>1.400462962962961E-4</v>
      </c>
      <c r="W36" s="2">
        <f t="shared" ca="1" si="2"/>
        <v>1.1620370370370343E-4</v>
      </c>
      <c r="X36" s="2">
        <f t="shared" ca="1" si="9"/>
        <v>1.3659722222222285E-4</v>
      </c>
      <c r="Y36" s="7">
        <f t="shared" ca="1" si="3"/>
        <v>-0.29799999999992888</v>
      </c>
      <c r="Z36" s="4" t="s">
        <v>306</v>
      </c>
    </row>
    <row r="37" spans="1:26" x14ac:dyDescent="0.3">
      <c r="A37" t="s">
        <v>938</v>
      </c>
      <c r="B37" s="5" t="str">
        <f t="shared" si="4"/>
        <v>00:06:37.467</v>
      </c>
      <c r="C37" t="str">
        <f t="shared" si="5"/>
        <v>2. 翻转符号¬必须存在：每次推导都需要翻转，因此不可省略。而前者将这个翻转取出来了，因此不用翻转符号¬。</v>
      </c>
      <c r="D37">
        <f t="shared" ca="1" si="10"/>
        <v>102</v>
      </c>
      <c r="E37">
        <f t="shared" ca="1" si="6"/>
        <v>3</v>
      </c>
      <c r="F37" t="str">
        <f ca="1">OFFSET(srt!$C$1,D38-1,0)</f>
        <v>2翻转符号非必须存在，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00:05:53.080</v>
      </c>
      <c r="P37" s="1" t="str">
        <f ca="1">OFFSET(srt!$G$1,D39-2,0)</f>
        <v>00:06:03.320</v>
      </c>
      <c r="Q37">
        <v>60</v>
      </c>
      <c r="R37" s="1">
        <f ca="1">OFFSET(sil!$D$1,sub!Q37-1,0)</f>
        <v>4.0850578703703708E-3</v>
      </c>
      <c r="S37" s="5">
        <f t="shared" ca="1" si="7"/>
        <v>4.0827430555555556E-3</v>
      </c>
      <c r="T37">
        <f t="shared" ca="1" si="8"/>
        <v>-0.33099999999999519</v>
      </c>
      <c r="U37" s="2">
        <f t="shared" ca="1" si="0"/>
        <v>2.0833333333333641E-5</v>
      </c>
      <c r="V37" s="2">
        <f t="shared" si="1"/>
        <v>1.4583333333333288E-4</v>
      </c>
      <c r="W37" s="2">
        <f t="shared" ca="1" si="2"/>
        <v>1.3935185185185231E-4</v>
      </c>
      <c r="X37" s="2">
        <f t="shared" ca="1" si="9"/>
        <v>1.4192129629629624E-4</v>
      </c>
      <c r="Y37" s="7">
        <f t="shared" ca="1" si="3"/>
        <v>-0.33799999999996611</v>
      </c>
      <c r="Z37" s="4" t="s">
        <v>307</v>
      </c>
    </row>
    <row r="38" spans="1:26" x14ac:dyDescent="0.3">
      <c r="A38" t="s">
        <v>939</v>
      </c>
      <c r="B38" s="5" t="str">
        <f t="shared" si="4"/>
        <v>00:06:50.067</v>
      </c>
      <c r="C38" t="str">
        <f t="shared" si="5"/>
        <v>3. 不使用x而使用y：翻转是前面所有按钮的翻转叠加后提取出来的，代表的是灯的翻转，而不是某个按钮的翻转。</v>
      </c>
      <c r="D38">
        <f t="shared" ca="1" si="10"/>
        <v>105</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00:06:16.640</v>
      </c>
      <c r="Q38">
        <v>63</v>
      </c>
      <c r="R38" s="1">
        <f ca="1">OFFSET(sil!$D$1,sub!Q38-1,0)</f>
        <v>4.2269791666666671E-3</v>
      </c>
      <c r="S38" s="5">
        <f t="shared" ca="1" si="7"/>
        <v>4.2246643518518518E-3</v>
      </c>
      <c r="T38">
        <f t="shared" ca="1" si="8"/>
        <v>-0.10900000000003962</v>
      </c>
      <c r="U38" s="2">
        <f t="shared" ca="1" si="0"/>
        <v>0</v>
      </c>
      <c r="V38" s="2">
        <f t="shared" si="1"/>
        <v>1.5778935185185167E-4</v>
      </c>
      <c r="W38" s="2">
        <f t="shared" ca="1" si="2"/>
        <v>1.3333333333333253E-4</v>
      </c>
      <c r="X38" s="2">
        <f t="shared" ca="1" si="9"/>
        <v>1.3357638888888881E-4</v>
      </c>
      <c r="Y38" s="7">
        <f t="shared" ca="1" si="3"/>
        <v>-2.0919999999999912</v>
      </c>
      <c r="Z38" s="4" t="s">
        <v>308</v>
      </c>
    </row>
    <row r="39" spans="1:26" s="8" customFormat="1" x14ac:dyDescent="0.3">
      <c r="A39" s="8" t="s">
        <v>940</v>
      </c>
      <c r="B39" s="5" t="str">
        <f t="shared" si="4"/>
        <v>00:07:03.700</v>
      </c>
      <c r="C39" s="8" t="str">
        <f t="shared" si="5"/>
        <v>事实上，按钮矩阵也可以用另一种更直观的方法推得。</v>
      </c>
      <c r="D39" s="8">
        <f t="shared" ca="1" si="10"/>
        <v>110</v>
      </c>
      <c r="E39" s="8">
        <f t="shared" ca="1" si="6"/>
        <v>4</v>
      </c>
      <c r="F39" s="8" t="str">
        <f ca="1">OFFSET(srt!$C$1,D40-1,0)</f>
        <v>事实上，</v>
      </c>
      <c r="G39" s="8">
        <f ca="1">PrefixLenNorm($C39,OFFSET(srt!$C$1,$D39+COLUMN()-7,0))</f>
        <v>0</v>
      </c>
      <c r="H39" s="8">
        <f ca="1">PrefixLenNorm($C39,OFFSET(srt!$C$1,$D39+COLUMN()-7,0))</f>
        <v>0</v>
      </c>
      <c r="I39" s="8">
        <f ca="1">PrefixLenNorm($C39,OFFSET(srt!$C$1,$D39+COLUMN()-7,0))</f>
        <v>0</v>
      </c>
      <c r="J39" s="8">
        <f ca="1">PrefixLenNorm($C39,OFFSET(srt!$C$1,$D39+COLUMN()-7,0))</f>
        <v>3</v>
      </c>
      <c r="K39" s="8">
        <f ca="1">PrefixLenNorm($C39,OFFSET(srt!$C$1,$D39+COLUMN()-7,0))</f>
        <v>0</v>
      </c>
      <c r="L39" s="8">
        <f ca="1">PrefixLenNorm($C39,OFFSET(srt!$C$1,$D39+COLUMN()-7,0))</f>
        <v>0</v>
      </c>
      <c r="M39" s="8">
        <f ca="1">PrefixLenNorm($C39,OFFSET(srt!$C$1,$D39+COLUMN()-7,0))</f>
        <v>0</v>
      </c>
      <c r="N39" s="8">
        <f ca="1">PrefixLenNorm($C39,OFFSET(srt!$C$1,$D39+COLUMN()-7,0))</f>
        <v>0</v>
      </c>
      <c r="O39" s="5" t="str">
        <f ca="1">OFFSET(srt!$F$1,D40-1,0)</f>
        <v>00:06:16.640</v>
      </c>
      <c r="P39" s="5" t="str">
        <f ca="1">OFFSET(srt!$G$1,D41-2,0)</f>
        <v>00:06:20.800</v>
      </c>
      <c r="Q39" s="8">
        <v>65</v>
      </c>
      <c r="R39" s="5">
        <f ca="1">OFFSET(sil!$D$1,sub!Q39-1,0)</f>
        <v>4.3605555555555559E-3</v>
      </c>
      <c r="S39" s="5">
        <f t="shared" ca="1" si="7"/>
        <v>4.3582407407407407E-3</v>
      </c>
      <c r="T39" s="8">
        <f t="shared" ca="1" si="8"/>
        <v>-8.7999999999976986E-2</v>
      </c>
      <c r="U39" s="15">
        <f t="shared" ca="1" si="0"/>
        <v>1.8518518518518406E-5</v>
      </c>
      <c r="V39" s="15">
        <f t="shared" si="1"/>
        <v>7.0601851851852075E-5</v>
      </c>
      <c r="W39" s="15">
        <f t="shared" ca="1" si="2"/>
        <v>6.6666666666667131E-5</v>
      </c>
      <c r="X39" s="15">
        <f t="shared" ca="1" si="9"/>
        <v>6.6967592592592426E-5</v>
      </c>
      <c r="Y39" s="7">
        <f t="shared" ca="1" si="3"/>
        <v>-0.3140000000000337</v>
      </c>
      <c r="Z39" s="8" t="s">
        <v>309</v>
      </c>
    </row>
    <row r="40" spans="1:26" x14ac:dyDescent="0.3">
      <c r="A40" t="s">
        <v>941</v>
      </c>
      <c r="B40" s="5" t="str">
        <f t="shared" si="4"/>
        <v>00:07:09.800</v>
      </c>
      <c r="C40" t="str">
        <f t="shared" si="5"/>
        <v>首先，在第一个矩阵中，我们点击第一行第一个按钮。然后，点击第二行的按钮，尽量消去第一行的灯。</v>
      </c>
      <c r="D40">
        <f t="shared" ca="1" si="10"/>
        <v>114</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4.4275231481481483E-3</v>
      </c>
      <c r="S40" s="5">
        <f t="shared" ca="1" si="7"/>
        <v>4.4252083333333331E-3</v>
      </c>
      <c r="T40">
        <f t="shared" ca="1" si="8"/>
        <v>-6.2000000000031474E-2</v>
      </c>
      <c r="U40" s="2">
        <f t="shared" ca="1" si="0"/>
        <v>1.805555555555588E-5</v>
      </c>
      <c r="V40" s="2">
        <f t="shared" si="1"/>
        <v>1.1574074074074091E-4</v>
      </c>
      <c r="W40" s="2">
        <f t="shared" ca="1" si="2"/>
        <v>1.1481481481481499E-4</v>
      </c>
      <c r="X40" s="2">
        <f t="shared" ca="1" si="9"/>
        <v>1.1407407407407373E-4</v>
      </c>
      <c r="Y40" s="7">
        <f t="shared" ca="1" si="3"/>
        <v>-0.14400000000004409</v>
      </c>
      <c r="Z40" s="4" t="s">
        <v>310</v>
      </c>
    </row>
    <row r="41" spans="1:26" x14ac:dyDescent="0.3">
      <c r="A41" t="s">
        <v>942</v>
      </c>
      <c r="B41" s="5" t="str">
        <f t="shared" si="4"/>
        <v>00:07:19.800</v>
      </c>
      <c r="C41" t="str">
        <f t="shared" si="5"/>
        <v>接着按第三行按钮，消去第二行的灯。不断递推，直到最后一行。</v>
      </c>
      <c r="D41">
        <f t="shared" ca="1" si="10"/>
        <v>116</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4.541597222222222E-3</v>
      </c>
      <c r="S41" s="5">
        <f t="shared" ca="1" si="7"/>
        <v>4.5392824074074068E-3</v>
      </c>
      <c r="T41">
        <f t="shared" ca="1" si="8"/>
        <v>-0.12600000000007605</v>
      </c>
      <c r="U41" s="2">
        <f t="shared" ca="1" si="0"/>
        <v>1.7592592592592486E-5</v>
      </c>
      <c r="V41" s="2">
        <f t="shared" si="1"/>
        <v>8.5648148148148064E-5</v>
      </c>
      <c r="W41" s="2">
        <f t="shared" ca="1" si="2"/>
        <v>8.0555555555555068E-5</v>
      </c>
      <c r="X41" s="2">
        <f t="shared" ca="1" si="9"/>
        <v>8.1608796296296637E-5</v>
      </c>
      <c r="Y41" s="7">
        <f t="shared" ca="1" si="3"/>
        <v>-0.34899999999996323</v>
      </c>
      <c r="Z41" s="4" t="s">
        <v>311</v>
      </c>
    </row>
    <row r="42" spans="1:26" x14ac:dyDescent="0.3">
      <c r="A42" t="s">
        <v>943</v>
      </c>
      <c r="B42" s="5" t="str">
        <f t="shared" si="4"/>
        <v>00:07:27.200</v>
      </c>
      <c r="C42" t="str">
        <f t="shared" si="5"/>
        <v>最终，最后一行按钮和灯的状态，和前面推得的矩阵是一样的。</v>
      </c>
      <c r="D42">
        <f t="shared" ca="1" si="10"/>
        <v>121</v>
      </c>
      <c r="E42">
        <f t="shared" ca="1" si="6"/>
        <v>2</v>
      </c>
      <c r="F42" t="str">
        <f ca="1">OFFSET(srt!$C$1,D43-1,0)</f>
        <v>最终最后一行按钮和灯的状态和前面推得的矩阵是一样的。</v>
      </c>
      <c r="G42">
        <f ca="1">PrefixLenNorm($C42,OFFSET(srt!$C$1,$D42+COLUMN()-7,0))</f>
        <v>0</v>
      </c>
      <c r="H42">
        <f ca="1">PrefixLenNorm($C42,OFFSET(srt!$C$1,$D42+COLUMN()-7,0))</f>
        <v>25</v>
      </c>
      <c r="I42">
        <f ca="1">PrefixLenNorm($C42,OFFSET(srt!$C$1,$D42+COLUMN()-7,0))</f>
        <v>0</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00:06:45.800</v>
      </c>
      <c r="Q42">
        <v>71</v>
      </c>
      <c r="R42" s="1">
        <f ca="1">OFFSET(sil!$D$1,sub!Q42-1,0)</f>
        <v>4.6232060185185187E-3</v>
      </c>
      <c r="S42" s="5">
        <f t="shared" ca="1" si="7"/>
        <v>4.6208912037037034E-3</v>
      </c>
      <c r="T42">
        <f t="shared" ca="1" si="8"/>
        <v>-3.5000000000004472E-2</v>
      </c>
      <c r="U42" s="2">
        <f t="shared" ca="1" si="0"/>
        <v>0</v>
      </c>
      <c r="V42" s="2">
        <f t="shared" si="1"/>
        <v>8.3333333333332829E-5</v>
      </c>
      <c r="W42" s="2">
        <f t="shared" ca="1" si="2"/>
        <v>7.546296296296294E-5</v>
      </c>
      <c r="X42" s="2">
        <f t="shared" ca="1" si="9"/>
        <v>7.4675925925925951E-5</v>
      </c>
      <c r="Y42" s="7">
        <f t="shared" ca="1" si="3"/>
        <v>-0.74799999999995426</v>
      </c>
      <c r="Z42" s="4" t="s">
        <v>312</v>
      </c>
    </row>
    <row r="43" spans="1:26" x14ac:dyDescent="0.3">
      <c r="A43" t="s">
        <v>944</v>
      </c>
      <c r="B43" s="5" t="str">
        <f t="shared" si="4"/>
        <v>00:07:34.400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00:06:45.800</v>
      </c>
      <c r="P43" s="1" t="str">
        <f ca="1">OFFSET(srt!$G$1,D45-2,0)</f>
        <v>00:06:54.200</v>
      </c>
      <c r="Q43">
        <v>72</v>
      </c>
      <c r="R43" s="1">
        <f ca="1">OFFSET(sil!$D$1,sub!Q43-1,0)</f>
        <v>4.6978819444444446E-3</v>
      </c>
      <c r="S43" s="5">
        <f t="shared" ca="1" si="7"/>
        <v>4.6955671296296294E-3</v>
      </c>
      <c r="T43">
        <f t="shared" ca="1" si="8"/>
        <v>-0.10300000000000031</v>
      </c>
      <c r="U43" s="2">
        <f t="shared" ca="1" si="0"/>
        <v>1.712962962962996E-5</v>
      </c>
      <c r="V43" s="2">
        <f t="shared" si="1"/>
        <v>1.1805555555555614E-4</v>
      </c>
      <c r="W43" s="2">
        <f t="shared" ca="1" si="2"/>
        <v>1.1435185185185246E-4</v>
      </c>
      <c r="X43" s="2">
        <f t="shared" ca="1" si="9"/>
        <v>1.1539351851851815E-4</v>
      </c>
      <c r="Y43" s="7">
        <f t="shared" ca="1" si="3"/>
        <v>-0.23000000000008292</v>
      </c>
      <c r="Z43" s="4" t="s">
        <v>313</v>
      </c>
    </row>
    <row r="44" spans="1:26" x14ac:dyDescent="0.3">
      <c r="A44" t="s">
        <v>945</v>
      </c>
      <c r="B44" s="5" t="str">
        <f t="shared" si="4"/>
        <v>00:07:44.600</v>
      </c>
      <c r="C44" t="str">
        <f t="shared" si="5"/>
        <v>通过这个方法，我们可以得到所有矩阵最后一行的状态。</v>
      </c>
      <c r="D44">
        <f t="shared" ca="1" si="10"/>
        <v>124</v>
      </c>
      <c r="E44">
        <f t="shared" ca="1" si="6"/>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00:06:59.880</v>
      </c>
      <c r="Q44">
        <v>74</v>
      </c>
      <c r="R44" s="1">
        <f ca="1">OFFSET(sil!$D$1,sub!Q44-1,0)</f>
        <v>4.8132754629629628E-3</v>
      </c>
      <c r="S44" s="5">
        <f t="shared" ca="1" si="7"/>
        <v>4.8109606481481475E-3</v>
      </c>
      <c r="T44">
        <f t="shared" ca="1" si="8"/>
        <v>-1.3000000000085166E-2</v>
      </c>
      <c r="U44" s="2">
        <f t="shared" ca="1" si="0"/>
        <v>1.805555555555588E-5</v>
      </c>
      <c r="V44" s="2">
        <f t="shared" si="1"/>
        <v>8.6030092592592408E-5</v>
      </c>
      <c r="W44" s="2">
        <f t="shared" ca="1" si="2"/>
        <v>6.6666666666666263E-5</v>
      </c>
      <c r="X44" s="2">
        <f t="shared" ca="1" si="9"/>
        <v>6.4872685185185172E-5</v>
      </c>
      <c r="Y44" s="7">
        <f t="shared" ca="1" si="3"/>
        <v>-1.8279999999999852</v>
      </c>
      <c r="Z44" s="4" t="s">
        <v>314</v>
      </c>
    </row>
    <row r="45" spans="1:26" x14ac:dyDescent="0.3">
      <c r="A45" t="s">
        <v>946</v>
      </c>
      <c r="B45" s="5" t="str">
        <f t="shared" si="4"/>
        <v>00:07:52.033</v>
      </c>
      <c r="C45" t="str">
        <f t="shared" si="5"/>
        <v>另外，翻转向量也可以用相似的方法推得。</v>
      </c>
      <c r="D45">
        <f t="shared" ca="1" si="10"/>
        <v>126</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5.9027777777777637E-5</v>
      </c>
      <c r="W45" s="2">
        <f t="shared" ca="1" si="2"/>
        <v>5.5555555555556087E-5</v>
      </c>
      <c r="X45" s="2">
        <f t="shared" ca="1" si="9"/>
        <v>5.6539351851852757E-5</v>
      </c>
      <c r="Y45" s="7">
        <f t="shared" ca="1" si="3"/>
        <v>-0.21499999999990971</v>
      </c>
      <c r="Z45" s="4" t="s">
        <v>315</v>
      </c>
    </row>
    <row r="46" spans="1:26" x14ac:dyDescent="0.3">
      <c r="A46" t="s">
        <v>947</v>
      </c>
      <c r="B46" s="5" t="str">
        <f t="shared" si="4"/>
        <v>00:07:57.133</v>
      </c>
      <c r="C46" t="str">
        <f t="shared" si="5"/>
        <v>我们把所有灯全部点亮，然后用刚才的方法尝试把所有灯消去，同样可以得到翻转向量最后一行的状态。</v>
      </c>
      <c r="D46">
        <f t="shared" ca="1" si="10"/>
        <v>128</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316</v>
      </c>
    </row>
    <row r="47" spans="1:26" x14ac:dyDescent="0.3">
      <c r="A47" t="s">
        <v>948</v>
      </c>
      <c r="B47" s="5" t="str">
        <f t="shared" si="4"/>
        <v>00:08:07.167</v>
      </c>
      <c r="C47" t="str">
        <f t="shared" si="5"/>
        <v>我们把这种方法称作余数矩阵法，和首行叠加法的原理本质上是相同的，有兴趣的小伙伴可以自行证明。</v>
      </c>
      <c r="D47">
        <f t="shared" ca="1" si="10"/>
        <v>130</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1.6203703703703779E-4</v>
      </c>
      <c r="W47" s="2">
        <f t="shared" ca="1" si="2"/>
        <v>1.1574074074074004E-4</v>
      </c>
      <c r="X47" s="2">
        <f t="shared" ca="1" si="9"/>
        <v>1.1568287037037016E-4</v>
      </c>
      <c r="Y47" s="7">
        <f t="shared" ca="1" si="3"/>
        <v>-4.0050000000000834</v>
      </c>
      <c r="Z47" s="4" t="s">
        <v>317</v>
      </c>
    </row>
    <row r="48" spans="1:26" s="8" customFormat="1" x14ac:dyDescent="0.3">
      <c r="A48" s="8" t="s">
        <v>949</v>
      </c>
      <c r="B48" s="5" t="str">
        <f t="shared" si="4"/>
        <v>00:08:21.167</v>
      </c>
      <c r="C48" s="8" t="str">
        <f t="shared" si="5"/>
        <v>在《生成优化矩阵》章节中，我们将矩阵的行重排。其实是调换了n和y的位置，使原来从左到右的第y个矩阵变为了第n个矩阵。</v>
      </c>
      <c r="D48" s="8">
        <f t="shared" ca="1" si="10"/>
        <v>133</v>
      </c>
      <c r="E48" s="8">
        <f t="shared" ca="1" si="6"/>
        <v>3</v>
      </c>
      <c r="F48" s="8" t="str">
        <f ca="1">OFFSET(srt!$C$1,D49-1,0)</f>
        <v>在生成优化矩阵章节中，</v>
      </c>
      <c r="G48" s="8">
        <f ca="1">PrefixLenNorm($C48,OFFSET(srt!$C$1,$D48+COLUMN()-7,0))</f>
        <v>0</v>
      </c>
      <c r="H48" s="8">
        <f ca="1">PrefixLenNorm($C48,OFFSET(srt!$C$1,$D48+COLUMN()-7,0))</f>
        <v>0</v>
      </c>
      <c r="I48" s="8">
        <f ca="1">PrefixLenNorm($C48,OFFSET(srt!$C$1,$D48+COLUMN()-7,0))</f>
        <v>10</v>
      </c>
      <c r="J48" s="8">
        <f ca="1">PrefixLenNorm($C48,OFFSET(srt!$C$1,$D48+COLUMN()-7,0))</f>
        <v>0</v>
      </c>
      <c r="K48" s="8">
        <f ca="1">PrefixLenNorm($C48,OFFSET(srt!$C$1,$D48+COLUMN()-7,0))</f>
        <v>0</v>
      </c>
      <c r="L48" s="8">
        <f ca="1">PrefixLenNorm($C48,OFFSET(srt!$C$1,$D48+COLUMN()-7,0))</f>
        <v>0</v>
      </c>
      <c r="M48" s="8">
        <f ca="1">PrefixLenNorm($C48,OFFSET(srt!$C$1,$D48+COLUMN()-7,0))</f>
        <v>0</v>
      </c>
      <c r="N48" s="8">
        <f ca="1">PrefixLenNorm($C48,OFFSET(srt!$C$1,$D48+COLUMN()-7,0))</f>
        <v>0</v>
      </c>
      <c r="O48" s="5" t="str">
        <f ca="1">OFFSET(srt!$F$1,D49-1,0)</f>
        <v>00:07:26.200</v>
      </c>
      <c r="P48" s="5" t="str">
        <f ca="1">OFFSET(srt!$G$1,D50-2,0)</f>
        <v>00:07:38.600</v>
      </c>
      <c r="Q48" s="8">
        <v>80</v>
      </c>
      <c r="R48" s="5">
        <f ca="1">OFFSET(sil!$D$1,sub!Q48-1,0)</f>
        <v>5.1656712962962967E-3</v>
      </c>
      <c r="S48" s="5">
        <f t="shared" ca="1" si="7"/>
        <v>5.1633564814814814E-3</v>
      </c>
      <c r="T48" s="8">
        <f t="shared" ca="1" si="8"/>
        <v>-8.5999999999963883E-2</v>
      </c>
      <c r="U48" s="15">
        <f t="shared" ca="1" si="0"/>
        <v>0</v>
      </c>
      <c r="V48" s="15">
        <f t="shared" si="1"/>
        <v>1.5547453703703643E-4</v>
      </c>
      <c r="W48" s="15">
        <f t="shared" ca="1" si="2"/>
        <v>1.4351851851851938E-4</v>
      </c>
      <c r="X48" s="15">
        <f t="shared" ca="1" si="9"/>
        <v>1.4333333333333299E-4</v>
      </c>
      <c r="Y48" s="7">
        <f t="shared" ca="1" si="3"/>
        <v>-1.0489999999999777</v>
      </c>
      <c r="Z48" s="8" t="s">
        <v>318</v>
      </c>
    </row>
    <row r="49" spans="1:26" x14ac:dyDescent="0.3">
      <c r="A49" t="s">
        <v>950</v>
      </c>
      <c r="B49" s="5" t="str">
        <f t="shared" si="4"/>
        <v>00:08:34.600</v>
      </c>
      <c r="C49" t="str">
        <f t="shared" si="5"/>
        <v>这n个矩阵都满足十字偶校验约束，即上下左右四个格子叠加为零，因此这里的公式省去了n。</v>
      </c>
      <c r="D49">
        <f t="shared" ca="1" si="10"/>
        <v>136</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1.1458333333333372E-4</v>
      </c>
      <c r="W49" s="2">
        <f t="shared" ca="1" si="2"/>
        <v>1.0879629629629607E-4</v>
      </c>
      <c r="X49" s="2">
        <f t="shared" ca="1" si="9"/>
        <v>1.0920138888888872E-4</v>
      </c>
      <c r="Y49" s="7">
        <f t="shared" ca="1" si="3"/>
        <v>-0.46500000000004871</v>
      </c>
      <c r="Z49" s="4" t="s">
        <v>319</v>
      </c>
    </row>
    <row r="50" spans="1:26" x14ac:dyDescent="0.3">
      <c r="A50" t="s">
        <v>951</v>
      </c>
      <c r="B50" s="5" t="str">
        <f t="shared" si="4"/>
        <v>00:08:44.500</v>
      </c>
      <c r="C50" t="str">
        <f t="shared" si="5"/>
        <v>这里和之前的情况是一样的，只不过n和y调换了，因此位置发生了变化。</v>
      </c>
      <c r="D50">
        <f t="shared" ca="1" si="10"/>
        <v>140</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1.6666666666665698E-5</v>
      </c>
      <c r="V50" s="2">
        <f t="shared" si="1"/>
        <v>9.0277777777776798E-5</v>
      </c>
      <c r="W50" s="2">
        <f t="shared" ca="1" si="2"/>
        <v>8.4259259259258749E-5</v>
      </c>
      <c r="X50" s="2">
        <f t="shared" ca="1" si="9"/>
        <v>8.4629629629629811E-5</v>
      </c>
      <c r="Y50" s="7">
        <f t="shared" ca="1" si="3"/>
        <v>-0.48799999999989963</v>
      </c>
      <c r="Z50" s="4" t="s">
        <v>320</v>
      </c>
    </row>
    <row r="51" spans="1:26" x14ac:dyDescent="0.3">
      <c r="A51" t="s">
        <v>952</v>
      </c>
      <c r="B51" s="5" t="str">
        <f t="shared" si="4"/>
        <v>00:08:52.300</v>
      </c>
      <c r="C51" t="str">
        <f t="shared" si="5"/>
        <v>这是一个十分重要的性质。使用这个性质，可以由第一个灯直接推导后面的灯。</v>
      </c>
      <c r="D51">
        <f t="shared" ca="1" si="10"/>
        <v>143</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00:07:55.280</v>
      </c>
      <c r="P51" s="1" t="str">
        <f ca="1">OFFSET(srt!$G$1,D53-2,0)</f>
        <v>00:08:02.800</v>
      </c>
      <c r="Q51">
        <v>85</v>
      </c>
      <c r="R51" s="1">
        <f ca="1">OFFSET(sil!$D$1,sub!Q51-1,0)</f>
        <v>5.5028356481481482E-3</v>
      </c>
      <c r="S51" s="5">
        <f t="shared" ca="1" si="7"/>
        <v>5.500520833333333E-3</v>
      </c>
      <c r="T51">
        <f t="shared" ca="1" si="8"/>
        <v>-3.5000000000004472E-2</v>
      </c>
      <c r="U51" s="2">
        <f t="shared" ca="1" si="0"/>
        <v>0</v>
      </c>
      <c r="V51" s="2">
        <f t="shared" si="1"/>
        <v>8.7962962962963298E-5</v>
      </c>
      <c r="W51" s="2">
        <f t="shared" ca="1" si="2"/>
        <v>8.7037037037037378E-5</v>
      </c>
      <c r="X51" s="2">
        <f t="shared" ca="1" si="9"/>
        <v>8.5868055555555177E-5</v>
      </c>
      <c r="Y51" s="7">
        <f t="shared" ca="1" si="3"/>
        <v>-0.18100000000006167</v>
      </c>
      <c r="Z51" s="4" t="s">
        <v>321</v>
      </c>
    </row>
    <row r="52" spans="1:26" x14ac:dyDescent="0.3">
      <c r="A52" t="s">
        <v>953</v>
      </c>
      <c r="B52" s="5" t="str">
        <f t="shared" si="4"/>
        <v>00:08:59.900</v>
      </c>
      <c r="C52" t="str">
        <f t="shared" si="5"/>
        <v>在之后的O(n²)算法中，其本质也是用这个性质进行的优化。</v>
      </c>
      <c r="D52">
        <f t="shared" ca="1" si="10"/>
        <v>146</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00:08:02.800</v>
      </c>
      <c r="P52" s="1" t="str">
        <f ca="1">OFFSET(srt!$G$1,D54-2,0)</f>
        <v>00:08:08.080</v>
      </c>
      <c r="Q52">
        <v>87</v>
      </c>
      <c r="R52" s="1">
        <f ca="1">OFFSET(sil!$D$1,sub!Q52-1,0)</f>
        <v>5.5887037037037034E-3</v>
      </c>
      <c r="S52" s="5">
        <f t="shared" ca="1" si="7"/>
        <v>5.5863888888888881E-3</v>
      </c>
      <c r="T52">
        <f t="shared" ca="1" si="8"/>
        <v>-0.13600000000006662</v>
      </c>
      <c r="U52" s="2">
        <f t="shared" ca="1" si="0"/>
        <v>1.7592592592593354E-5</v>
      </c>
      <c r="V52" s="2">
        <f t="shared" si="1"/>
        <v>8.2175925925926513E-5</v>
      </c>
      <c r="W52" s="2">
        <f t="shared" ca="1" si="2"/>
        <v>7.8703703703704095E-5</v>
      </c>
      <c r="X52" s="2">
        <f t="shared" ca="1" si="9"/>
        <v>7.9085648148148439E-5</v>
      </c>
      <c r="Y52" s="7">
        <f t="shared" ca="1" si="3"/>
        <v>-0.26700000000002555</v>
      </c>
      <c r="Z52" s="4" t="s">
        <v>322</v>
      </c>
    </row>
    <row r="53" spans="1:26" x14ac:dyDescent="0.3">
      <c r="A53" t="s">
        <v>954</v>
      </c>
      <c r="B53" s="5" t="str">
        <f t="shared" si="4"/>
        <v>00:09:07.000</v>
      </c>
      <c r="C53" t="str">
        <f t="shared" si="5"/>
        <v>下面让我们用数学归纳法，证明这个性质。</v>
      </c>
      <c r="D53">
        <f t="shared" ca="1" si="10"/>
        <v>148</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00:08:09.600</v>
      </c>
      <c r="P53" s="1" t="str">
        <f ca="1">OFFSET(srt!$G$1,D55-2,0)</f>
        <v>00:08:14.480</v>
      </c>
      <c r="Q53">
        <v>88</v>
      </c>
      <c r="R53" s="1">
        <f ca="1">OFFSET(sil!$D$1,sub!Q53-1,0)</f>
        <v>5.6677893518518518E-3</v>
      </c>
      <c r="S53" s="5">
        <f t="shared" ca="1" si="7"/>
        <v>5.6654745370370366E-3</v>
      </c>
      <c r="T53">
        <f t="shared" ca="1" si="8"/>
        <v>-0.10300000000007525</v>
      </c>
      <c r="U53" s="2">
        <f t="shared" ca="1" si="0"/>
        <v>0</v>
      </c>
      <c r="V53" s="2">
        <f t="shared" si="1"/>
        <v>5.9027777777777637E-5</v>
      </c>
      <c r="W53" s="2">
        <f t="shared" ca="1" si="2"/>
        <v>5.648148148148114E-5</v>
      </c>
      <c r="X53" s="2">
        <f t="shared" ca="1" si="9"/>
        <v>5.6388888888888808E-5</v>
      </c>
      <c r="Y53" s="7">
        <f t="shared" ca="1" si="3"/>
        <v>-0.22799999999999487</v>
      </c>
      <c r="Z53" s="4" t="s">
        <v>323</v>
      </c>
    </row>
    <row r="54" spans="1:26" x14ac:dyDescent="0.3">
      <c r="A54" t="s">
        <v>955</v>
      </c>
      <c r="B54" s="5" t="str">
        <f t="shared" si="4"/>
        <v>00:09:12.100</v>
      </c>
      <c r="C54" t="str">
        <f t="shared" si="5"/>
        <v>由于右边的按钮矩阵就是左边的灯矩阵，为了方便，我们就只看按钮矩阵。</v>
      </c>
      <c r="D54">
        <f t="shared" ca="1" si="10"/>
        <v>150</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9.4907407407406399E-5</v>
      </c>
      <c r="W54" s="2">
        <f t="shared" ca="1" si="2"/>
        <v>9.0740740740740192E-5</v>
      </c>
      <c r="X54" s="2">
        <f t="shared" ca="1" si="9"/>
        <v>9.0775462962962641E-5</v>
      </c>
      <c r="Y54" s="7">
        <f t="shared" ca="1" si="3"/>
        <v>-0.3569999999999407</v>
      </c>
      <c r="Z54" s="4" t="s">
        <v>324</v>
      </c>
    </row>
    <row r="55" spans="1:26" x14ac:dyDescent="0.3">
      <c r="A55" t="s">
        <v>956</v>
      </c>
      <c r="B55" s="5" t="str">
        <f t="shared" si="4"/>
        <v>00:09:20.300</v>
      </c>
      <c r="C55" t="str">
        <f t="shared" si="5"/>
        <v>首先，我们假定前两个矩阵B(n-1)和B(n-2)满足这个性质，现在来证明B(n)也满足这个性质。</v>
      </c>
      <c r="D55">
        <f t="shared" ca="1" si="10"/>
        <v>151</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1.2384259259259379E-4</v>
      </c>
      <c r="W55" s="2">
        <f t="shared" ca="1" si="2"/>
        <v>1.1805555555555614E-4</v>
      </c>
      <c r="X55" s="2">
        <f t="shared" ca="1" si="9"/>
        <v>1.1836805555555645E-4</v>
      </c>
      <c r="Y55" s="7">
        <f t="shared" ca="1" si="3"/>
        <v>-0.47300000000002618</v>
      </c>
      <c r="Z55" s="4" t="s">
        <v>325</v>
      </c>
    </row>
    <row r="56" spans="1:26" x14ac:dyDescent="0.3">
      <c r="A56" t="s">
        <v>957</v>
      </c>
      <c r="B56" s="5" t="str">
        <f t="shared" si="4"/>
        <v>00:09:31.000</v>
      </c>
      <c r="C56" t="str">
        <f t="shared" si="5"/>
        <v>将刚才的矩阵递推关系加上参数y并重写。</v>
      </c>
      <c r="D56">
        <f t="shared" ca="1" si="10"/>
        <v>153</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00:08:37.720</v>
      </c>
      <c r="Q56">
        <v>92</v>
      </c>
      <c r="R56" s="1">
        <f ca="1">OFFSET(sil!$D$1,sub!Q56-1,0)</f>
        <v>5.9333217592592597E-3</v>
      </c>
      <c r="S56" s="5">
        <f t="shared" ca="1" si="7"/>
        <v>5.9310069444444445E-3</v>
      </c>
      <c r="T56">
        <f t="shared" ca="1" si="8"/>
        <v>-8.1000000000006067E-2</v>
      </c>
      <c r="U56" s="2">
        <f t="shared" ca="1" si="0"/>
        <v>0</v>
      </c>
      <c r="V56" s="2">
        <f t="shared" si="1"/>
        <v>6.2499999999999188E-5</v>
      </c>
      <c r="W56" s="2">
        <f t="shared" ca="1" si="2"/>
        <v>6.0185185185185688E-5</v>
      </c>
      <c r="X56" s="2">
        <f t="shared" ca="1" si="9"/>
        <v>6.0624999999999048E-5</v>
      </c>
      <c r="Y56" s="7">
        <f t="shared" ca="1" si="3"/>
        <v>-0.16200000000001213</v>
      </c>
      <c r="Z56" s="4" t="s">
        <v>326</v>
      </c>
    </row>
    <row r="57" spans="1:26" x14ac:dyDescent="0.3">
      <c r="A57" t="s">
        <v>958</v>
      </c>
      <c r="B57" s="5" t="str">
        <f t="shared" si="4"/>
        <v>00:09:36.400</v>
      </c>
      <c r="C57" t="str">
        <f t="shared" si="5"/>
        <v>对于B(n)，我们将式子竖着写成四项，然后将递推关系代入这个式子。</v>
      </c>
      <c r="D57">
        <f t="shared" ca="1" si="10"/>
        <v>156</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00:08:37.720</v>
      </c>
      <c r="P57" s="1" t="str">
        <f ca="1">OFFSET(srt!$G$1,D59-2,0)</f>
        <v>00:08:44.960</v>
      </c>
      <c r="Q57">
        <v>93</v>
      </c>
      <c r="R57" s="1">
        <f ca="1">OFFSET(sil!$D$1,sub!Q57-1,0)</f>
        <v>5.9939467592592588E-3</v>
      </c>
      <c r="S57" s="5">
        <f t="shared" ca="1" si="7"/>
        <v>5.9916319444444435E-3</v>
      </c>
      <c r="T57">
        <f t="shared" ca="1" si="8"/>
        <v>-4.3000000000131822E-2</v>
      </c>
      <c r="U57" s="2">
        <f t="shared" ca="1" si="0"/>
        <v>0</v>
      </c>
      <c r="V57" s="2">
        <f t="shared" si="1"/>
        <v>8.3333333333333696E-5</v>
      </c>
      <c r="W57" s="2">
        <f t="shared" ca="1" si="2"/>
        <v>8.3796296296296223E-5</v>
      </c>
      <c r="X57" s="2">
        <f t="shared" ca="1" si="9"/>
        <v>8.3495370370370928E-5</v>
      </c>
      <c r="Y57" s="7">
        <f t="shared" ca="1" si="3"/>
        <v>1.4000000000016777E-2</v>
      </c>
      <c r="Z57" s="4" t="s">
        <v>327</v>
      </c>
    </row>
    <row r="58" spans="1:26" x14ac:dyDescent="0.3">
      <c r="A58" t="s">
        <v>959</v>
      </c>
      <c r="B58" s="5" t="str">
        <f t="shared" si="4"/>
        <v>00:09:43.600</v>
      </c>
      <c r="C58" t="str">
        <f t="shared" si="5"/>
        <v>代入后的式子包含16项。现在重新排列项目顺序，将y和n调换，类似《优化生成矩阵》章节中的调换操作。</v>
      </c>
      <c r="D58">
        <f t="shared" ca="1" si="10"/>
        <v>157</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1.3425925925926018E-4</v>
      </c>
      <c r="W58" s="2">
        <f t="shared" ca="1" si="2"/>
        <v>1.2870370370370379E-4</v>
      </c>
      <c r="X58" s="2">
        <f t="shared" ca="1" si="9"/>
        <v>1.2854166666666656E-4</v>
      </c>
      <c r="Y58" s="7">
        <f t="shared" ca="1" si="3"/>
        <v>-0.49400000000008881</v>
      </c>
      <c r="Z58" s="4" t="s">
        <v>328</v>
      </c>
    </row>
    <row r="59" spans="1:26" x14ac:dyDescent="0.3">
      <c r="A59" t="s">
        <v>960</v>
      </c>
      <c r="B59" s="5" t="str">
        <f t="shared" si="4"/>
        <v>00:09:55.200</v>
      </c>
      <c r="C59" t="str">
        <f t="shared" si="5"/>
        <v>不难发现，这四项属于B(n-1)或B(n-2)，并且元素之间的关系满足十字偶校验约束，因此整个式子化为了零。</v>
      </c>
      <c r="D59">
        <f t="shared" ca="1" si="10"/>
        <v>160</v>
      </c>
      <c r="E59">
        <f t="shared" ca="1" si="6"/>
        <v>3</v>
      </c>
      <c r="F59" t="str">
        <f ca="1">OFFSET(srt!$C$1,D60-1,0)</f>
        <v>不难发现这四项属于B、</v>
      </c>
      <c r="G59">
        <f ca="1">PrefixLenNorm($C59,OFFSET(srt!$C$1,$D59+COLUMN()-7,0))</f>
        <v>0</v>
      </c>
      <c r="H59">
        <f ca="1">PrefixLenNorm($C59,OFFSET(srt!$C$1,$D59+COLUMN()-7,0))</f>
        <v>0</v>
      </c>
      <c r="I59">
        <f ca="1">PrefixLenNorm($C59,OFFSET(srt!$C$1,$D59+COLUMN()-7,0))</f>
        <v>10</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1.6782407407407371E-4</v>
      </c>
      <c r="W59" s="2">
        <f t="shared" ca="1" si="2"/>
        <v>1.4166666666666668E-4</v>
      </c>
      <c r="X59" s="2">
        <f t="shared" ca="1" si="9"/>
        <v>1.4211805555555592E-4</v>
      </c>
      <c r="Y59" s="7">
        <f t="shared" ca="1" si="3"/>
        <v>-2.220999999999937</v>
      </c>
      <c r="Z59" s="4" t="s">
        <v>329</v>
      </c>
    </row>
    <row r="60" spans="1:26" s="8" customFormat="1" x14ac:dyDescent="0.3">
      <c r="A60" s="8" t="s">
        <v>961</v>
      </c>
      <c r="B60" s="5" t="str">
        <f t="shared" si="4"/>
        <v>00:10:09.700</v>
      </c>
      <c r="C60" s="8" t="str">
        <f t="shared" si="5"/>
        <v>现在，我们只需要证明最左边的两个矩阵也满足这个性质即可。第一个矩阵是单位矩阵，显然满足这个性质。</v>
      </c>
      <c r="D60" s="8">
        <f t="shared" ca="1" si="10"/>
        <v>163</v>
      </c>
      <c r="E60" s="8">
        <f t="shared" ca="1" si="6"/>
        <v>5</v>
      </c>
      <c r="F60" s="8" t="str">
        <f ca="1">OFFSET(srt!$C$1,D61-1,0)</f>
        <v>现在我们只需要证明最左边的两个矩阵也满足这个性质即可。</v>
      </c>
      <c r="G60" s="8">
        <f ca="1">PrefixLenNorm($C60,OFFSET(srt!$C$1,$D60+COLUMN()-7,0))</f>
        <v>0</v>
      </c>
      <c r="H60" s="8">
        <f ca="1">PrefixLenNorm($C60,OFFSET(srt!$C$1,$D60+COLUMN()-7,0))</f>
        <v>0</v>
      </c>
      <c r="I60" s="8">
        <f ca="1">PrefixLenNorm($C60,OFFSET(srt!$C$1,$D60+COLUMN()-7,0))</f>
        <v>0</v>
      </c>
      <c r="J60" s="8">
        <f ca="1">PrefixLenNorm($C60,OFFSET(srt!$C$1,$D60+COLUMN()-7,0))</f>
        <v>0</v>
      </c>
      <c r="K60" s="8">
        <f ca="1">PrefixLenNorm($C60,OFFSET(srt!$C$1,$D60+COLUMN()-7,0))</f>
        <v>26</v>
      </c>
      <c r="L60" s="8">
        <f ca="1">PrefixLenNorm($C60,OFFSET(srt!$C$1,$D60+COLUMN()-7,0))</f>
        <v>0</v>
      </c>
      <c r="M60" s="8">
        <f ca="1">PrefixLenNorm($C60,OFFSET(srt!$C$1,$D60+COLUMN()-7,0))</f>
        <v>0</v>
      </c>
      <c r="N60" s="8">
        <f ca="1">PrefixLenNorm($C60,OFFSET(srt!$C$1,$D60+COLUMN()-7,0))</f>
        <v>0</v>
      </c>
      <c r="O60" s="5" t="str">
        <f ca="1">OFFSET(srt!$F$1,D61-1,0)</f>
        <v>00:09:08.320</v>
      </c>
      <c r="P60" s="5" t="str">
        <f ca="1">OFFSET(srt!$G$1,D62-2,0)</f>
        <v>00:09:17.040</v>
      </c>
      <c r="Q60" s="8">
        <v>98</v>
      </c>
      <c r="R60" s="5">
        <f ca="1">OFFSET(sil!$D$1,sub!Q60-1,0)</f>
        <v>6.3481018518518522E-3</v>
      </c>
      <c r="S60" s="5">
        <f t="shared" ca="1" si="7"/>
        <v>6.3457870370370369E-3</v>
      </c>
      <c r="T60" s="8">
        <f t="shared" ca="1" si="8"/>
        <v>-4.4000000000063433E-2</v>
      </c>
      <c r="U60" s="15">
        <f t="shared" ca="1" si="0"/>
        <v>1.712962962962996E-5</v>
      </c>
      <c r="V60" s="15">
        <f t="shared" si="1"/>
        <v>1.2268518518518401E-4</v>
      </c>
      <c r="W60" s="15">
        <f t="shared" ca="1" si="2"/>
        <v>1.1805555555555441E-4</v>
      </c>
      <c r="X60" s="15">
        <f t="shared" ca="1" si="9"/>
        <v>1.1747685185185125E-4</v>
      </c>
      <c r="Y60" s="7">
        <f t="shared" ca="1" si="3"/>
        <v>-0.44999999999995044</v>
      </c>
      <c r="Z60" s="8" t="s">
        <v>330</v>
      </c>
    </row>
    <row r="61" spans="1:26" x14ac:dyDescent="0.3">
      <c r="A61" t="s">
        <v>962</v>
      </c>
      <c r="B61" s="5" t="str">
        <f t="shared" si="4"/>
        <v>00:10:20.300</v>
      </c>
      <c r="C61" t="str">
        <f t="shared" si="5"/>
        <v>第二个矩阵可以表示为左边两个矩阵的叠加。由于单位矩阵左边没有矩阵，因此相当于叠加了一个零矩阵。</v>
      </c>
      <c r="D61">
        <f t="shared" ca="1" si="10"/>
        <v>168</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6.4655787037037034E-3</v>
      </c>
      <c r="S61" s="5">
        <f t="shared" ca="1" si="7"/>
        <v>6.4632638888888882E-3</v>
      </c>
      <c r="T61">
        <f t="shared" ca="1" si="8"/>
        <v>-9.4000000000016293E-2</v>
      </c>
      <c r="U61" s="2">
        <f t="shared" ca="1" si="0"/>
        <v>0</v>
      </c>
      <c r="V61" s="2">
        <f t="shared" si="1"/>
        <v>1.1689814814814896E-4</v>
      </c>
      <c r="W61" s="2">
        <f t="shared" ca="1" si="2"/>
        <v>1.166666666666677E-4</v>
      </c>
      <c r="X61" s="2">
        <f t="shared" ca="1" si="9"/>
        <v>1.1711805555555607E-4</v>
      </c>
      <c r="Y61" s="7">
        <f t="shared" ca="1" si="3"/>
        <v>1.8999999999974593E-2</v>
      </c>
      <c r="Z61" s="4" t="s">
        <v>331</v>
      </c>
    </row>
    <row r="62" spans="1:26" x14ac:dyDescent="0.3">
      <c r="A62" t="s">
        <v>963</v>
      </c>
      <c r="B62" s="5" t="str">
        <f t="shared" si="4"/>
        <v>00:10:30.400</v>
      </c>
      <c r="C62" t="str">
        <f t="shared" si="5"/>
        <v>由于零矩阵显然满足这个性质，因此第二个矩阵也满足这个性质。</v>
      </c>
      <c r="D62">
        <f t="shared" ca="1" si="10"/>
        <v>171</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00:09:33.840</v>
      </c>
      <c r="Q62">
        <v>102</v>
      </c>
      <c r="R62" s="1">
        <f ca="1">OFFSET(sil!$D$1,sub!Q62-1,0)</f>
        <v>6.5826967592592595E-3</v>
      </c>
      <c r="S62" s="5">
        <f t="shared" ca="1" si="7"/>
        <v>6.5803819444444443E-3</v>
      </c>
      <c r="T62">
        <f t="shared" ca="1" si="8"/>
        <v>-5.5000000000060556E-2</v>
      </c>
      <c r="U62" s="2">
        <f t="shared" ca="1" si="0"/>
        <v>1.7592592592592486E-5</v>
      </c>
      <c r="V62" s="2">
        <f t="shared" si="1"/>
        <v>8.2175925925925646E-5</v>
      </c>
      <c r="W62" s="2">
        <f t="shared" ca="1" si="2"/>
        <v>7.8240740740740701E-5</v>
      </c>
      <c r="X62" s="2">
        <f t="shared" ca="1" si="9"/>
        <v>7.7511574074073594E-5</v>
      </c>
      <c r="Y62" s="7">
        <f t="shared" ca="1" si="3"/>
        <v>-0.40300000000001723</v>
      </c>
      <c r="Z62" s="4" t="s">
        <v>332</v>
      </c>
    </row>
    <row r="63" spans="1:26" x14ac:dyDescent="0.3">
      <c r="A63" t="s">
        <v>964</v>
      </c>
      <c r="B63" s="5" t="str">
        <f t="shared" si="4"/>
        <v>00:10:37.500</v>
      </c>
      <c r="C63" t="str">
        <f t="shared" si="5"/>
        <v>因为B(n)有了这个性质，我们只需要知道B(n)的第一行，就能通过公式推导出后续的行，求得完整的矩阵B(n)。</v>
      </c>
      <c r="D63">
        <f t="shared" ca="1" si="10"/>
        <v>174</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1.5625000000000014E-4</v>
      </c>
      <c r="W63" s="2">
        <f t="shared" ca="1" si="2"/>
        <v>1.231481481481474E-4</v>
      </c>
      <c r="X63" s="2">
        <f t="shared" ca="1" si="9"/>
        <v>1.2284722222222298E-4</v>
      </c>
      <c r="Y63" s="7">
        <f t="shared" ca="1" si="3"/>
        <v>-2.8859999999999468</v>
      </c>
      <c r="Z63" s="4" t="s">
        <v>333</v>
      </c>
    </row>
    <row r="64" spans="1:26" s="8" customFormat="1" x14ac:dyDescent="0.3">
      <c r="A64" s="8" t="s">
        <v>965</v>
      </c>
      <c r="B64" s="5" t="str">
        <f t="shared" si="4"/>
        <v>00:10:51.000</v>
      </c>
      <c r="C64" s="8" t="str">
        <f t="shared" si="5"/>
        <v>为了实现O(n²)的算法，我们也需要用到类似的方法，尽量不去对整个矩阵进行操作，而是通过第一行来求逆或求解。</v>
      </c>
      <c r="D64" s="8">
        <f t="shared" ca="1" si="10"/>
        <v>176</v>
      </c>
      <c r="E64" s="8">
        <f t="shared" ca="1" si="6"/>
        <v>3</v>
      </c>
      <c r="F64" s="8" t="str">
        <f ca="1">OFFSET(srt!$C$1,D65-1,0)</f>
        <v>为了实现ON的二次方次算法，</v>
      </c>
      <c r="G64" s="8">
        <f ca="1">PrefixLenNorm($C64,OFFSET(srt!$C$1,$D64+COLUMN()-7,0))</f>
        <v>0</v>
      </c>
      <c r="H64" s="8">
        <f ca="1">PrefixLenNorm($C64,OFFSET(srt!$C$1,$D64+COLUMN()-7,0))</f>
        <v>0</v>
      </c>
      <c r="I64" s="8">
        <f ca="1">PrefixLenNorm($C64,OFFSET(srt!$C$1,$D64+COLUMN()-7,0))</f>
        <v>6</v>
      </c>
      <c r="J64" s="8">
        <f ca="1">PrefixLenNorm($C64,OFFSET(srt!$C$1,$D64+COLUMN()-7,0))</f>
        <v>0</v>
      </c>
      <c r="K64" s="8">
        <f ca="1">PrefixLenNorm($C64,OFFSET(srt!$C$1,$D64+COLUMN()-7,0))</f>
        <v>0</v>
      </c>
      <c r="L64" s="8">
        <f ca="1">PrefixLenNorm($C64,OFFSET(srt!$C$1,$D64+COLUMN()-7,0))</f>
        <v>0</v>
      </c>
      <c r="M64" s="8">
        <f ca="1">PrefixLenNorm($C64,OFFSET(srt!$C$1,$D64+COLUMN()-7,0))</f>
        <v>0</v>
      </c>
      <c r="N64" s="8">
        <f ca="1">PrefixLenNorm($C64,OFFSET(srt!$C$1,$D64+COLUMN()-7,0))</f>
        <v>0</v>
      </c>
      <c r="O64" s="5" t="str">
        <f ca="1">OFFSET(srt!$F$1,D65-1,0)</f>
        <v>00:09:46.000</v>
      </c>
      <c r="P64" s="5" t="str">
        <f ca="1">OFFSET(srt!$G$1,D66-2,0)</f>
        <v>00:09:56.120</v>
      </c>
      <c r="Q64" s="8">
        <v>104</v>
      </c>
      <c r="R64" s="5">
        <f ca="1">OFFSET(sil!$D$1,sub!Q64-1,0)</f>
        <v>6.7830555555555561E-3</v>
      </c>
      <c r="S64" s="5">
        <f t="shared" ca="1" si="7"/>
        <v>6.7807407407407408E-3</v>
      </c>
      <c r="T64" s="8">
        <f t="shared" ca="1" si="8"/>
        <v>-0.14399999999996915</v>
      </c>
      <c r="U64" s="15">
        <f t="shared" ca="1" si="0"/>
        <v>1.8981481481480933E-5</v>
      </c>
      <c r="V64" s="15">
        <f t="shared" si="1"/>
        <v>1.3966435185185175E-4</v>
      </c>
      <c r="W64" s="15">
        <f t="shared" ca="1" si="2"/>
        <v>1.3611111111111115E-4</v>
      </c>
      <c r="X64" s="15">
        <f t="shared" ca="1" si="9"/>
        <v>1.3751157407407375E-4</v>
      </c>
      <c r="Y64" s="7">
        <f t="shared" ca="1" si="3"/>
        <v>-0.18600000000001948</v>
      </c>
      <c r="Z64" s="8" t="s">
        <v>334</v>
      </c>
    </row>
    <row r="65" spans="1:26" x14ac:dyDescent="0.3">
      <c r="A65" t="s">
        <v>966</v>
      </c>
      <c r="B65" s="5" t="str">
        <f t="shared" si="4"/>
        <v>00:11:03.067</v>
      </c>
      <c r="C65" t="str">
        <f t="shared" si="5"/>
        <v>我们以n=7为例。这里的B就是前面提到的按钮矩阵B(n)，而y就是翻转向量的最后一行，即B(n)的增广向量。</v>
      </c>
      <c r="D65">
        <f t="shared" ca="1" si="10"/>
        <v>179</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00:09:57.760</v>
      </c>
      <c r="P65" s="1" t="str">
        <f ca="1">OFFSET(srt!$G$1,D67-2,0)</f>
        <v>00:10:08.080</v>
      </c>
      <c r="Q65">
        <v>106</v>
      </c>
      <c r="R65" s="1">
        <f ca="1">OFFSET(sil!$D$1,sub!Q65-1,0)</f>
        <v>6.9205671296296298E-3</v>
      </c>
      <c r="S65" s="5">
        <f t="shared" ca="1" si="7"/>
        <v>6.9182523148148146E-3</v>
      </c>
      <c r="T65">
        <f t="shared" ca="1" si="8"/>
        <v>-2.3000000000000798E-2</v>
      </c>
      <c r="U65" s="2">
        <f t="shared" ref="U65:U128" ca="1" si="11">O66-P65</f>
        <v>1.6666666666665698E-5</v>
      </c>
      <c r="V65" s="2">
        <f t="shared" ref="V65:V128" si="12">B66-B65</f>
        <v>1.4312500000000002E-4</v>
      </c>
      <c r="W65" s="2">
        <f t="shared" ref="W65:W128" ca="1" si="13">O66-O65</f>
        <v>1.3611111111111115E-4</v>
      </c>
      <c r="X65" s="2">
        <f t="shared" ca="1" si="9"/>
        <v>1.3628472222222167E-4</v>
      </c>
      <c r="Y65" s="7">
        <f t="shared" ref="Y65:Y128" ca="1" si="14">(X65-V65)*86400</f>
        <v>-0.59100000000004982</v>
      </c>
      <c r="Z65" s="4" t="s">
        <v>335</v>
      </c>
    </row>
    <row r="66" spans="1:26" x14ac:dyDescent="0.3">
      <c r="A66" t="s">
        <v>967</v>
      </c>
      <c r="B66" s="5" t="str">
        <f t="shared" ref="B66:B129" si="15">LEFT(A66,12)</f>
        <v>00:11:15.433</v>
      </c>
      <c r="C66" t="str">
        <f t="shared" ref="C66:C129" si="16">RIGHT(A66,LEN(A66)-13)</f>
        <v>我们的目标是：对于Bx=y，在已知B的第一行和y的情况下求x。</v>
      </c>
      <c r="D66">
        <f t="shared" ca="1" si="10"/>
        <v>183</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00:10:09.520</v>
      </c>
      <c r="P66" s="1" t="str">
        <f ca="1">OFFSET(srt!$G$1,D68-2,0)</f>
        <v>00:10:16.160</v>
      </c>
      <c r="Q66">
        <v>109</v>
      </c>
      <c r="R66" s="1">
        <f ca="1">OFFSET(sil!$D$1,sub!Q66-1,0)</f>
        <v>7.0568518518518515E-3</v>
      </c>
      <c r="S66" s="5">
        <f t="shared" ref="S66:S129" ca="1" si="18">R66-0.2/86400</f>
        <v>7.0545370370370362E-3</v>
      </c>
      <c r="T66">
        <f t="shared" ref="T66:T129" ca="1" si="19">(S66-O66)*86400</f>
        <v>-8.0000000000524096E-3</v>
      </c>
      <c r="U66" s="2">
        <f t="shared" ca="1" si="11"/>
        <v>1.7592592592592486E-5</v>
      </c>
      <c r="V66" s="2">
        <f t="shared" si="12"/>
        <v>1.0340277777777691E-4</v>
      </c>
      <c r="W66" s="2">
        <f t="shared" ca="1" si="13"/>
        <v>9.4444444444443873E-5</v>
      </c>
      <c r="X66" s="2">
        <f t="shared" ref="X66:X129" ca="1" si="20">S67-S66</f>
        <v>9.3009259259260561E-5</v>
      </c>
      <c r="Y66" s="7">
        <f t="shared" ca="1" si="14"/>
        <v>-0.89799999999981284</v>
      </c>
      <c r="Z66" s="4" t="s">
        <v>336</v>
      </c>
    </row>
    <row r="67" spans="1:26" x14ac:dyDescent="0.3">
      <c r="A67" t="s">
        <v>968</v>
      </c>
      <c r="B67" s="5" t="str">
        <f t="shared" si="15"/>
        <v>00:11:24.367</v>
      </c>
      <c r="C67" t="str">
        <f t="shared" si="16"/>
        <v>如果将n在不同情况下的B的第一行写在一起，矩阵长这样，记为B'。</v>
      </c>
      <c r="D67">
        <f t="shared" ref="D67:D130" ca="1" si="21">D66+IFERROR(E66,1)</f>
        <v>187</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00:10:23.360</v>
      </c>
      <c r="Q67">
        <v>111</v>
      </c>
      <c r="R67" s="1">
        <f ca="1">OFFSET(sil!$D$1,sub!Q67-1,0)</f>
        <v>7.149861111111112E-3</v>
      </c>
      <c r="S67" s="5">
        <f t="shared" ca="1" si="18"/>
        <v>7.1475462962962968E-3</v>
      </c>
      <c r="T67">
        <f t="shared" ca="1" si="19"/>
        <v>-0.13199999999989054</v>
      </c>
      <c r="U67" s="2">
        <f t="shared" ca="1" si="11"/>
        <v>1.6666666666665698E-5</v>
      </c>
      <c r="V67" s="2">
        <f t="shared" si="12"/>
        <v>8.3715277777779776E-5</v>
      </c>
      <c r="W67" s="2">
        <f t="shared" ca="1" si="13"/>
        <v>8.2407407407407776E-5</v>
      </c>
      <c r="X67" s="2">
        <f t="shared" ca="1" si="20"/>
        <v>8.2731481481479636E-5</v>
      </c>
      <c r="Y67" s="7">
        <f t="shared" ca="1" si="14"/>
        <v>-8.5000000000332032E-2</v>
      </c>
      <c r="Z67" s="4" t="s">
        <v>337</v>
      </c>
    </row>
    <row r="68" spans="1:26" x14ac:dyDescent="0.3">
      <c r="A68" t="s">
        <v>969</v>
      </c>
      <c r="B68" s="5" t="str">
        <f t="shared" si="15"/>
        <v>00:11:31.600</v>
      </c>
      <c r="C68" t="str">
        <f t="shared" si="16"/>
        <v>注意，这里的B'矩阵不是刚才说的当n确定时的完整的矩阵B，而是B(n)的第一行拼接起来的结果。</v>
      </c>
      <c r="D68">
        <f t="shared" ca="1" si="21"/>
        <v>189</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00:10:24.800</v>
      </c>
      <c r="P68" s="1" t="str">
        <f ca="1">OFFSET(srt!$G$1,D70-2,0)</f>
        <v>00:10:34.360</v>
      </c>
      <c r="Q68">
        <v>113</v>
      </c>
      <c r="R68" s="1">
        <f ca="1">OFFSET(sil!$D$1,sub!Q68-1,0)</f>
        <v>7.2325925925925917E-3</v>
      </c>
      <c r="S68" s="5">
        <f t="shared" ca="1" si="18"/>
        <v>7.2302777777777764E-3</v>
      </c>
      <c r="T68">
        <f t="shared" ca="1" si="19"/>
        <v>-0.1040000000000818</v>
      </c>
      <c r="U68" s="2">
        <f t="shared" ca="1" si="11"/>
        <v>0</v>
      </c>
      <c r="V68" s="2">
        <f t="shared" si="12"/>
        <v>1.1805555555555354E-4</v>
      </c>
      <c r="W68" s="2">
        <f t="shared" ca="1" si="13"/>
        <v>1.1064814814814878E-4</v>
      </c>
      <c r="X68" s="2">
        <f t="shared" ca="1" si="20"/>
        <v>1.0990740740740926E-4</v>
      </c>
      <c r="Y68" s="7">
        <f t="shared" ca="1" si="14"/>
        <v>-0.703999999999666</v>
      </c>
      <c r="Z68" s="4" t="s">
        <v>338</v>
      </c>
    </row>
    <row r="69" spans="1:26" x14ac:dyDescent="0.3">
      <c r="A69" t="s">
        <v>970</v>
      </c>
      <c r="B69" s="5" t="str">
        <f t="shared" si="15"/>
        <v>00:11:41.800</v>
      </c>
      <c r="C69" t="str">
        <f t="shared" si="16"/>
        <v>另外，这里从n=0开始一共递推n次，最后一个1不包含在矩阵B的第一行内。例如n=7时，第一行为1011011，最后一个1省去。</v>
      </c>
      <c r="D69">
        <f t="shared" ca="1" si="21"/>
        <v>191</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1.7052083333333502E-4</v>
      </c>
      <c r="W69" s="2">
        <f t="shared" ca="1" si="13"/>
        <v>6.0185185185180484E-6</v>
      </c>
      <c r="X69" s="2">
        <f t="shared" ca="1" si="20"/>
        <v>1.6754629629629585E-4</v>
      </c>
      <c r="Y69" s="7">
        <f t="shared" ca="1" si="14"/>
        <v>-0.25700000000018486</v>
      </c>
      <c r="Z69" s="4" t="s">
        <v>339</v>
      </c>
    </row>
    <row r="70" spans="1:26" x14ac:dyDescent="0.3">
      <c r="A70" t="s">
        <v>971</v>
      </c>
      <c r="B70" s="5" t="str">
        <f t="shared" si="15"/>
        <v>00:11:56.533</v>
      </c>
      <c r="C70" t="str">
        <f t="shared" si="16"/>
        <v>改写后的矩阵记为B''=B'⊕I。</v>
      </c>
      <c r="D70">
        <f t="shared" ca="1" si="21"/>
        <v>193</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00:10:52.080</v>
      </c>
      <c r="Q70">
        <v>118</v>
      </c>
      <c r="R70" s="1">
        <f ca="1">OFFSET(sil!$D$1,sub!Q70-1,0)</f>
        <v>7.5100462962962968E-3</v>
      </c>
      <c r="S70" s="5">
        <f t="shared" ca="1" si="18"/>
        <v>7.5077314814814815E-3</v>
      </c>
      <c r="T70">
        <f t="shared" ca="1" si="19"/>
        <v>13.788000000000025</v>
      </c>
      <c r="U70" s="2">
        <f t="shared" ca="1" si="11"/>
        <v>1.6666666666666566E-5</v>
      </c>
      <c r="V70" s="2">
        <f t="shared" si="12"/>
        <v>5.5949074074072846E-5</v>
      </c>
      <c r="W70" s="2">
        <f t="shared" ca="1" si="13"/>
        <v>2.1574074074074117E-4</v>
      </c>
      <c r="X70" s="2">
        <f t="shared" ca="1" si="20"/>
        <v>5.4953703703702894E-5</v>
      </c>
      <c r="Y70" s="7">
        <f t="shared" ca="1" si="14"/>
        <v>-8.5999999999963883E-2</v>
      </c>
      <c r="Z70" s="4" t="s">
        <v>340</v>
      </c>
    </row>
    <row r="71" spans="1:26" x14ac:dyDescent="0.3">
      <c r="A71" t="s">
        <v>972</v>
      </c>
      <c r="B71" s="5" t="str">
        <f t="shared" si="15"/>
        <v>00:12:01.367</v>
      </c>
      <c r="C71" t="str">
        <f t="shared" si="16"/>
        <v>把Y的第一行写在一起是这样的，记为Y'。</v>
      </c>
      <c r="D71">
        <f t="shared" ca="1" si="21"/>
        <v>194</v>
      </c>
      <c r="E71">
        <f t="shared" ca="1" si="17"/>
        <v>6</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14</v>
      </c>
      <c r="M71">
        <f ca="1">PrefixLenNorm($C71,OFFSET(srt!$C$1,$D71+COLUMN()-7,0))</f>
        <v>0</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5.9791666666668061E-5</v>
      </c>
      <c r="W71" s="2">
        <f t="shared" ca="1" si="13"/>
        <v>2.870370370370353E-5</v>
      </c>
      <c r="X71" s="2">
        <f t="shared" ca="1" si="20"/>
        <v>5.8020833333333535E-5</v>
      </c>
      <c r="Y71" s="7">
        <f t="shared" ca="1" si="14"/>
        <v>-0.15300000000010305</v>
      </c>
      <c r="Z71" s="4" t="s">
        <v>341</v>
      </c>
    </row>
    <row r="72" spans="1:26" x14ac:dyDescent="0.3">
      <c r="A72" t="s">
        <v>973</v>
      </c>
      <c r="B72" s="5" t="str">
        <f t="shared" si="15"/>
        <v>00:12:06.533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00:11:03.280</v>
      </c>
      <c r="Q72">
        <v>120</v>
      </c>
      <c r="R72" s="1">
        <f ca="1">OFFSET(sil!$D$1,sub!Q72-1,0)</f>
        <v>7.6230208333333332E-3</v>
      </c>
      <c r="S72" s="5">
        <f t="shared" ca="1" si="18"/>
        <v>7.620706018518518E-3</v>
      </c>
      <c r="T72">
        <f t="shared" ca="1" si="19"/>
        <v>2.4289999999999505</v>
      </c>
      <c r="U72" s="2">
        <f t="shared" ca="1" si="11"/>
        <v>0</v>
      </c>
      <c r="V72" s="2">
        <f t="shared" si="12"/>
        <v>7.0601851851851208E-5</v>
      </c>
      <c r="W72" s="2">
        <f t="shared" ca="1" si="13"/>
        <v>8.4259259259258749E-5</v>
      </c>
      <c r="X72" s="2">
        <f t="shared" ca="1" si="20"/>
        <v>5.4502314814814518E-5</v>
      </c>
      <c r="Y72" s="7">
        <f t="shared" ca="1" si="14"/>
        <v>-1.39099999999997</v>
      </c>
      <c r="Z72" s="4" t="s">
        <v>342</v>
      </c>
    </row>
    <row r="73" spans="1:26" x14ac:dyDescent="0.3">
      <c r="A73" t="s">
        <v>974</v>
      </c>
      <c r="B73" s="5" t="str">
        <f t="shared" si="15"/>
        <v>00:12:12.633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00:11:03.280</v>
      </c>
      <c r="P73" s="1" t="str">
        <f ca="1">OFFSET(srt!$G$1,D75-2,0)</f>
        <v>00:11:12.640</v>
      </c>
      <c r="Q73">
        <v>121</v>
      </c>
      <c r="R73" s="1">
        <f ca="1">OFFSET(sil!$D$1,sub!Q73-1,0)</f>
        <v>7.6775231481481477E-3</v>
      </c>
      <c r="S73" s="5">
        <f t="shared" ca="1" si="18"/>
        <v>7.6752083333333325E-3</v>
      </c>
      <c r="T73">
        <f t="shared" ca="1" si="19"/>
        <v>-0.14200000000003099</v>
      </c>
      <c r="U73" s="2">
        <f t="shared" ca="1" si="11"/>
        <v>1.6666666666667433E-5</v>
      </c>
      <c r="V73" s="2">
        <f t="shared" si="12"/>
        <v>1.3349537037037063E-4</v>
      </c>
      <c r="W73" s="2">
        <f t="shared" ca="1" si="13"/>
        <v>1.2500000000000098E-4</v>
      </c>
      <c r="X73" s="2">
        <f t="shared" ca="1" si="20"/>
        <v>1.2575231481481465E-4</v>
      </c>
      <c r="Y73" s="7">
        <f t="shared" ca="1" si="14"/>
        <v>-0.66900000000003623</v>
      </c>
      <c r="Z73" s="4" t="s">
        <v>343</v>
      </c>
    </row>
    <row r="74" spans="1:26" x14ac:dyDescent="0.3">
      <c r="A74" t="s">
        <v>975</v>
      </c>
      <c r="B74" s="5" t="str">
        <f t="shared" si="15"/>
        <v>00:12:24.167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00:11:14.080</v>
      </c>
      <c r="P74" s="1" t="str">
        <f ca="1">OFFSET(srt!$G$1,D76-2,0)</f>
        <v>00:11:27.520</v>
      </c>
      <c r="Q74">
        <v>123</v>
      </c>
      <c r="R74" s="1">
        <f ca="1">OFFSET(sil!$D$1,sub!Q74-1,0)</f>
        <v>7.8032754629629624E-3</v>
      </c>
      <c r="S74" s="5">
        <f t="shared" ca="1" si="18"/>
        <v>7.8009606481481471E-3</v>
      </c>
      <c r="T74">
        <f t="shared" ca="1" si="19"/>
        <v>-7.7000000000129742E-2</v>
      </c>
      <c r="U74" s="2">
        <f t="shared" ca="1" si="11"/>
        <v>0</v>
      </c>
      <c r="V74" s="2">
        <f t="shared" si="12"/>
        <v>1.6241898148148214E-4</v>
      </c>
      <c r="W74" s="2">
        <f t="shared" ca="1" si="13"/>
        <v>1.5555555555555548E-4</v>
      </c>
      <c r="X74" s="2">
        <f t="shared" ca="1" si="20"/>
        <v>1.5505787037037137E-4</v>
      </c>
      <c r="Y74" s="7">
        <f t="shared" ca="1" si="14"/>
        <v>-0.63599999999996992</v>
      </c>
      <c r="Z74" s="4" t="s">
        <v>344</v>
      </c>
    </row>
    <row r="75" spans="1:26" x14ac:dyDescent="0.3">
      <c r="A75" t="s">
        <v>976</v>
      </c>
      <c r="B75" s="5" t="str">
        <f t="shared" si="15"/>
        <v>00:12:38.200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00:11:27.520</v>
      </c>
      <c r="P75" s="1" t="str">
        <f ca="1">OFFSET(srt!$G$1,D77-2,0)</f>
        <v>00:11:33.480</v>
      </c>
      <c r="Q75">
        <v>125</v>
      </c>
      <c r="R75" s="1">
        <f ca="1">OFFSET(sil!$D$1,sub!Q75-1,0)</f>
        <v>7.9583333333333329E-3</v>
      </c>
      <c r="S75" s="5">
        <f t="shared" ca="1" si="18"/>
        <v>7.9560185185185185E-3</v>
      </c>
      <c r="T75">
        <f t="shared" ca="1" si="19"/>
        <v>-0.12000000000003674</v>
      </c>
      <c r="U75" s="2">
        <f t="shared" ca="1" si="11"/>
        <v>0</v>
      </c>
      <c r="V75" s="2">
        <f t="shared" si="12"/>
        <v>7.1377314814814047E-5</v>
      </c>
      <c r="W75" s="2">
        <f t="shared" ca="1" si="13"/>
        <v>6.898148148148063E-5</v>
      </c>
      <c r="X75" s="2">
        <f t="shared" ca="1" si="20"/>
        <v>6.9224537037037778E-5</v>
      </c>
      <c r="Y75" s="7">
        <f t="shared" ca="1" si="14"/>
        <v>-0.1859999999998696</v>
      </c>
      <c r="Z75" s="4" t="s">
        <v>345</v>
      </c>
    </row>
    <row r="76" spans="1:26" x14ac:dyDescent="0.3">
      <c r="A76" t="s">
        <v>977</v>
      </c>
      <c r="B76" s="5" t="str">
        <f t="shared" si="15"/>
        <v>00:12:44.367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00:11:33.480</v>
      </c>
      <c r="P76" s="1" t="str">
        <f ca="1">OFFSET(srt!$G$1,D78-2,0)</f>
        <v>00:11:39.160</v>
      </c>
      <c r="Q76">
        <v>126</v>
      </c>
      <c r="R76" s="1">
        <f ca="1">OFFSET(sil!$D$1,sub!Q76-1,0)</f>
        <v>8.0275578703703707E-3</v>
      </c>
      <c r="S76" s="5">
        <f t="shared" ca="1" si="18"/>
        <v>8.0252430555555563E-3</v>
      </c>
      <c r="T76">
        <f t="shared" ca="1" si="19"/>
        <v>-9.8999999999899169E-2</v>
      </c>
      <c r="U76" s="2">
        <f t="shared" ca="1" si="11"/>
        <v>1.8981481481480933E-5</v>
      </c>
      <c r="V76" s="2">
        <f t="shared" si="12"/>
        <v>9.0277777777777665E-5</v>
      </c>
      <c r="W76" s="2">
        <f t="shared" ca="1" si="13"/>
        <v>8.4722222222222143E-5</v>
      </c>
      <c r="X76" s="2">
        <f t="shared" ca="1" si="20"/>
        <v>8.3819444444443655E-5</v>
      </c>
      <c r="Y76" s="7">
        <f t="shared" ca="1" si="14"/>
        <v>-0.55800000000005845</v>
      </c>
      <c r="Z76" s="4" t="s">
        <v>346</v>
      </c>
    </row>
    <row r="77" spans="1:26" x14ac:dyDescent="0.3">
      <c r="A77" t="s">
        <v>978</v>
      </c>
      <c r="B77" s="5" t="str">
        <f t="shared" si="15"/>
        <v>00:12:52.167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00:11:40.800</v>
      </c>
      <c r="P77" s="1" t="str">
        <f ca="1">OFFSET(srt!$G$1,D79-2,0)</f>
        <v>00:11:45.920</v>
      </c>
      <c r="Q77">
        <v>127</v>
      </c>
      <c r="R77" s="1">
        <f ca="1">OFFSET(sil!$D$1,sub!Q77-1,0)</f>
        <v>8.1113773148148143E-3</v>
      </c>
      <c r="S77" s="5">
        <f t="shared" ca="1" si="18"/>
        <v>8.1090625E-3</v>
      </c>
      <c r="T77">
        <f t="shared" ca="1" si="19"/>
        <v>-0.17699999999996052</v>
      </c>
      <c r="U77" s="2">
        <f t="shared" ca="1" si="11"/>
        <v>1.6666666666668301E-5</v>
      </c>
      <c r="V77" s="2">
        <f t="shared" si="12"/>
        <v>7.9861111111110411E-5</v>
      </c>
      <c r="W77" s="2">
        <f t="shared" ca="1" si="13"/>
        <v>7.5925925925927201E-5</v>
      </c>
      <c r="X77" s="2">
        <f t="shared" ca="1" si="20"/>
        <v>7.7025462962962768E-5</v>
      </c>
      <c r="Y77" s="7">
        <f t="shared" ca="1" si="14"/>
        <v>-0.24499999999995636</v>
      </c>
      <c r="Z77" s="4" t="s">
        <v>347</v>
      </c>
    </row>
    <row r="78" spans="1:26" x14ac:dyDescent="0.3">
      <c r="A78" t="s">
        <v>979</v>
      </c>
      <c r="B78" s="5" t="str">
        <f t="shared" si="15"/>
        <v>00:12:59.067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00:11:47.360</v>
      </c>
      <c r="P78" s="1" t="str">
        <f ca="1">OFFSET(srt!$G$1,D80-2,0)</f>
        <v>00:11:59.080</v>
      </c>
      <c r="Q78">
        <v>128</v>
      </c>
      <c r="R78" s="1">
        <f ca="1">OFFSET(sil!$D$1,sub!Q78-1,0)</f>
        <v>8.1884027777777771E-3</v>
      </c>
      <c r="S78" s="5">
        <f t="shared" ca="1" si="18"/>
        <v>8.1860879629629627E-3</v>
      </c>
      <c r="T78">
        <f t="shared" ca="1" si="19"/>
        <v>-8.2000000000087558E-2</v>
      </c>
      <c r="U78" s="2">
        <f t="shared" ca="1" si="11"/>
        <v>0</v>
      </c>
      <c r="V78" s="2">
        <f t="shared" si="12"/>
        <v>1.4042824074074131E-4</v>
      </c>
      <c r="W78" s="2">
        <f t="shared" ca="1" si="13"/>
        <v>1.3564814814814863E-4</v>
      </c>
      <c r="X78" s="2">
        <f t="shared" ca="1" si="20"/>
        <v>1.3572916666666768E-4</v>
      </c>
      <c r="Y78" s="7">
        <f t="shared" ca="1" si="14"/>
        <v>-0.40599999999996195</v>
      </c>
      <c r="Z78" s="4" t="s">
        <v>348</v>
      </c>
    </row>
    <row r="79" spans="1:26" x14ac:dyDescent="0.3">
      <c r="A79" t="s">
        <v>980</v>
      </c>
      <c r="B79" s="5" t="str">
        <f t="shared" si="15"/>
        <v>00:13:11.200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00:11:59.080</v>
      </c>
      <c r="P79" s="1" t="str">
        <f ca="1">OFFSET(srt!$G$1,D81-2,0)</f>
        <v>00:12:08.160</v>
      </c>
      <c r="Q79">
        <v>130</v>
      </c>
      <c r="R79" s="1">
        <f ca="1">OFFSET(sil!$D$1,sub!Q79-1,0)</f>
        <v>8.3241319444444448E-3</v>
      </c>
      <c r="S79" s="5">
        <f t="shared" ca="1" si="18"/>
        <v>8.3218171296296304E-3</v>
      </c>
      <c r="T79">
        <f t="shared" ca="1" si="19"/>
        <v>-7.50000000000417E-2</v>
      </c>
      <c r="U79" s="2">
        <f t="shared" ca="1" si="11"/>
        <v>2.1296296296297035E-5</v>
      </c>
      <c r="V79" s="2">
        <f t="shared" si="12"/>
        <v>1.3232638888888842E-4</v>
      </c>
      <c r="W79" s="2">
        <f t="shared" ca="1" si="13"/>
        <v>1.2638888888888769E-4</v>
      </c>
      <c r="X79" s="2">
        <f t="shared" ca="1" si="20"/>
        <v>1.2476851851851885E-4</v>
      </c>
      <c r="Y79" s="7">
        <f t="shared" ca="1" si="14"/>
        <v>-0.65299999999993141</v>
      </c>
      <c r="Z79" s="4" t="s">
        <v>349</v>
      </c>
    </row>
    <row r="80" spans="1:26" x14ac:dyDescent="0.3">
      <c r="A80" t="s">
        <v>1259</v>
      </c>
      <c r="B80" s="5" t="str">
        <f t="shared" si="15"/>
        <v>00:13:22.633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00:12:10.000</v>
      </c>
      <c r="P80" s="1" t="str">
        <f ca="1">OFFSET(srt!$G$1,D82-2,0)</f>
        <v>00:12:20.320</v>
      </c>
      <c r="Q80">
        <v>132</v>
      </c>
      <c r="R80" s="1">
        <f ca="1">OFFSET(sil!$D$1,sub!Q80-1,0)</f>
        <v>8.4489004629629636E-3</v>
      </c>
      <c r="S80" s="5">
        <f t="shared" ca="1" si="18"/>
        <v>8.4465856481481492E-3</v>
      </c>
      <c r="T80">
        <f t="shared" ca="1" si="19"/>
        <v>-0.21499999999990971</v>
      </c>
      <c r="U80" s="2">
        <f t="shared" ca="1" si="11"/>
        <v>0</v>
      </c>
      <c r="V80" s="2">
        <f t="shared" si="12"/>
        <v>1.2192129629629705E-4</v>
      </c>
      <c r="W80" s="2">
        <f t="shared" ca="1" si="13"/>
        <v>1.1944444444444459E-4</v>
      </c>
      <c r="X80" s="2">
        <f t="shared" ca="1" si="20"/>
        <v>1.206944444444441E-4</v>
      </c>
      <c r="Y80" s="7">
        <f t="shared" ca="1" si="14"/>
        <v>-0.10600000000009491</v>
      </c>
      <c r="Z80" s="4" t="s">
        <v>350</v>
      </c>
    </row>
    <row r="81" spans="1:26" x14ac:dyDescent="0.3">
      <c r="A81" t="s">
        <v>981</v>
      </c>
      <c r="B81" s="5" t="str">
        <f t="shared" si="15"/>
        <v>00:13:33.167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00:12:20.320</v>
      </c>
      <c r="P81" s="1" t="str">
        <f ca="1">OFFSET(srt!$G$1,D83-2,0)</f>
        <v>00:12:30.200</v>
      </c>
      <c r="Q81">
        <v>134</v>
      </c>
      <c r="R81" s="1">
        <f ca="1">OFFSET(sil!$D$1,sub!Q81-1,0)</f>
        <v>8.5695949074074077E-3</v>
      </c>
      <c r="S81" s="5">
        <f t="shared" ca="1" si="18"/>
        <v>8.5672800925925933E-3</v>
      </c>
      <c r="T81">
        <f t="shared" ca="1" si="19"/>
        <v>-0.10699999999995158</v>
      </c>
      <c r="U81" s="2">
        <f t="shared" ca="1" si="11"/>
        <v>0</v>
      </c>
      <c r="V81" s="2">
        <f t="shared" si="12"/>
        <v>1.2268518518518574E-4</v>
      </c>
      <c r="W81" s="2">
        <f t="shared" ca="1" si="13"/>
        <v>1.1435185185185159E-4</v>
      </c>
      <c r="X81" s="2">
        <f t="shared" ca="1" si="20"/>
        <v>1.1403935185185128E-4</v>
      </c>
      <c r="Y81" s="7">
        <f t="shared" ca="1" si="14"/>
        <v>-0.74700000000009759</v>
      </c>
      <c r="Z81" s="4" t="s">
        <v>351</v>
      </c>
    </row>
    <row r="82" spans="1:26" x14ac:dyDescent="0.3">
      <c r="A82" t="s">
        <v>982</v>
      </c>
      <c r="B82" s="5" t="str">
        <f t="shared" si="15"/>
        <v>00:13:43.767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00:12:30.200</v>
      </c>
      <c r="P82" s="1" t="str">
        <f ca="1">OFFSET(srt!$G$1,D84-2,0)</f>
        <v>00:12:38.280</v>
      </c>
      <c r="Q82">
        <v>136</v>
      </c>
      <c r="R82" s="1">
        <f ca="1">OFFSET(sil!$D$1,sub!Q82-1,0)</f>
        <v>8.683634259259259E-3</v>
      </c>
      <c r="S82" s="5">
        <f t="shared" ca="1" si="18"/>
        <v>8.6813194444444446E-3</v>
      </c>
      <c r="T82">
        <f t="shared" ca="1" si="19"/>
        <v>-0.13399999999997858</v>
      </c>
      <c r="U82" s="2">
        <f t="shared" ca="1" si="11"/>
        <v>1.7129629629629092E-5</v>
      </c>
      <c r="V82" s="2">
        <f t="shared" si="12"/>
        <v>1.4274305555555568E-4</v>
      </c>
      <c r="W82" s="2">
        <f t="shared" ca="1" si="13"/>
        <v>1.1064814814814791E-4</v>
      </c>
      <c r="X82" s="2">
        <f t="shared" ca="1" si="20"/>
        <v>1.1041666666666665E-4</v>
      </c>
      <c r="Y82" s="7">
        <f t="shared" ca="1" si="14"/>
        <v>-2.7930000000000121</v>
      </c>
      <c r="Z82" s="4" t="s">
        <v>352</v>
      </c>
    </row>
    <row r="83" spans="1:26" s="8" customFormat="1" x14ac:dyDescent="0.3">
      <c r="A83" s="8" t="s">
        <v>983</v>
      </c>
      <c r="B83" s="5" t="str">
        <f t="shared" si="15"/>
        <v>00:13:56.100</v>
      </c>
      <c r="C83" s="8" t="str">
        <f t="shared" si="16"/>
        <v>现在，我们定义多项式p(x)。我们的目标是把B拆分成Hⁿ。</v>
      </c>
      <c r="D83" s="8">
        <f t="shared" ca="1" si="21"/>
        <v>228</v>
      </c>
      <c r="E83" s="8">
        <f t="shared" ca="1" si="17"/>
        <v>4</v>
      </c>
      <c r="F83" s="8" t="str">
        <f ca="1">OFFSET(srt!$C$1,D84-1,0)</f>
        <v>现在我们定义多项式PX，</v>
      </c>
      <c r="G83" s="8">
        <f ca="1">PrefixLenNorm($C83,OFFSET(srt!$C$1,$D83+COLUMN()-7,0))</f>
        <v>0</v>
      </c>
      <c r="H83" s="8">
        <f ca="1">PrefixLenNorm($C83,OFFSET(srt!$C$1,$D83+COLUMN()-7,0))</f>
        <v>0</v>
      </c>
      <c r="I83" s="8">
        <f ca="1">PrefixLenNorm($C83,OFFSET(srt!$C$1,$D83+COLUMN()-7,0))</f>
        <v>0</v>
      </c>
      <c r="J83" s="8">
        <f ca="1">PrefixLenNorm($C83,OFFSET(srt!$C$1,$D83+COLUMN()-7,0))</f>
        <v>11</v>
      </c>
      <c r="K83" s="8">
        <f ca="1">PrefixLenNorm($C83,OFFSET(srt!$C$1,$D83+COLUMN()-7,0))</f>
        <v>0</v>
      </c>
      <c r="L83" s="8">
        <f ca="1">PrefixLenNorm($C83,OFFSET(srt!$C$1,$D83+COLUMN()-7,0))</f>
        <v>0</v>
      </c>
      <c r="M83" s="8">
        <f ca="1">PrefixLenNorm($C83,OFFSET(srt!$C$1,$D83+COLUMN()-7,0))</f>
        <v>0</v>
      </c>
      <c r="N83" s="8">
        <f ca="1">PrefixLenNorm($C83,OFFSET(srt!$C$1,$D83+COLUMN()-7,0))</f>
        <v>4</v>
      </c>
      <c r="O83" s="5" t="str">
        <f ca="1">OFFSET(srt!$F$1,D84-1,0)</f>
        <v>00:12:39.760</v>
      </c>
      <c r="P83" s="5" t="str">
        <f ca="1">OFFSET(srt!$G$1,D85-2,0)</f>
        <v>00:12:45.880</v>
      </c>
      <c r="Q83" s="8">
        <v>138</v>
      </c>
      <c r="R83" s="5">
        <f ca="1">OFFSET(sil!$D$1,sub!Q83-1,0)</f>
        <v>8.7940509259259256E-3</v>
      </c>
      <c r="S83" s="5">
        <f t="shared" ca="1" si="18"/>
        <v>8.7917361111111113E-3</v>
      </c>
      <c r="T83" s="8">
        <f t="shared" ca="1" si="19"/>
        <v>-0.15399999999995972</v>
      </c>
      <c r="U83" s="15">
        <f t="shared" ca="1" si="11"/>
        <v>1.7129629629629092E-5</v>
      </c>
      <c r="V83" s="15">
        <f t="shared" si="12"/>
        <v>9.1435185185183981E-5</v>
      </c>
      <c r="W83" s="15">
        <f t="shared" ca="1" si="13"/>
        <v>8.7962962962963298E-5</v>
      </c>
      <c r="X83" s="15">
        <f t="shared" ca="1" si="20"/>
        <v>8.8750000000000287E-5</v>
      </c>
      <c r="Y83" s="7">
        <f t="shared" ca="1" si="14"/>
        <v>-0.2319999999998712</v>
      </c>
      <c r="Z83" s="8" t="s">
        <v>882</v>
      </c>
    </row>
    <row r="84" spans="1:26" x14ac:dyDescent="0.3">
      <c r="A84" t="s">
        <v>984</v>
      </c>
      <c r="B84" s="5" t="str">
        <f t="shared" si="15"/>
        <v>00:14:04.000</v>
      </c>
      <c r="C84" t="str">
        <f t="shared" si="16"/>
        <v>将矩阵H代入多项式p(x)，得到p(H)，并用其表示矩阵B。</v>
      </c>
      <c r="D84">
        <f t="shared" ca="1" si="21"/>
        <v>232</v>
      </c>
      <c r="E84">
        <f t="shared" ca="1" si="17"/>
        <v>2</v>
      </c>
      <c r="F84" t="str">
        <f ca="1">OFFSET(srt!$C$1,D85-1,0)</f>
        <v>将矩阵H代入多项式PX得到PH并用其表示矩阵B，</v>
      </c>
      <c r="G84">
        <f ca="1">PrefixLenNorm($C84,OFFSET(srt!$C$1,$D84+COLUMN()-7,0))</f>
        <v>0</v>
      </c>
      <c r="H84">
        <f ca="1">PrefixLenNorm($C84,OFFSET(srt!$C$1,$D84+COLUMN()-7,0))</f>
        <v>23</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00:12:47.360</v>
      </c>
      <c r="P84" s="1" t="str">
        <f ca="1">OFFSET(srt!$G$1,D86-2,0)</f>
        <v>00:12:52.880</v>
      </c>
      <c r="Q84">
        <v>140</v>
      </c>
      <c r="R84" s="1">
        <f ca="1">OFFSET(sil!$D$1,sub!Q84-1,0)</f>
        <v>8.8828009259259259E-3</v>
      </c>
      <c r="S84" s="5">
        <f t="shared" ca="1" si="18"/>
        <v>8.8804861111111116E-3</v>
      </c>
      <c r="T84">
        <f t="shared" ca="1" si="19"/>
        <v>-8.5999999999963883E-2</v>
      </c>
      <c r="U84" s="2">
        <f t="shared" ca="1" si="11"/>
        <v>1.7592592592591619E-5</v>
      </c>
      <c r="V84" s="2">
        <f t="shared" si="12"/>
        <v>8.5648148148147196E-5</v>
      </c>
      <c r="W84" s="2">
        <f t="shared" ca="1" si="13"/>
        <v>8.1481481481480988E-5</v>
      </c>
      <c r="X84" s="2">
        <f t="shared" ca="1" si="20"/>
        <v>8.1296296296296325E-5</v>
      </c>
      <c r="Y84" s="7">
        <f t="shared" ca="1" si="14"/>
        <v>-0.37599999999991529</v>
      </c>
      <c r="Z84" s="4" t="s">
        <v>353</v>
      </c>
    </row>
    <row r="85" spans="1:26" x14ac:dyDescent="0.3">
      <c r="A85" t="s">
        <v>985</v>
      </c>
      <c r="B85" s="5" t="str">
        <f t="shared" si="15"/>
        <v>00:14:11.400</v>
      </c>
      <c r="C85" t="str">
        <f t="shared" si="16"/>
        <v>这样，原始求x的问题就转化为了p(H)x=y。</v>
      </c>
      <c r="D85">
        <f t="shared" ca="1" si="21"/>
        <v>234</v>
      </c>
      <c r="E85">
        <f t="shared" ca="1" si="17"/>
        <v>1</v>
      </c>
      <c r="F85" t="str">
        <f ca="1">OFFSET(srt!$C$1,D86-1,0)</f>
        <v>这样原始求X的问题就转化为了PHX等于Y，</v>
      </c>
      <c r="G85">
        <f ca="1">PrefixLenNorm($C85,OFFSET(srt!$C$1,$D85+COLUMN()-7,0))</f>
        <v>20</v>
      </c>
      <c r="H85">
        <f ca="1">PrefixLenNorm($C85,OFFSET(srt!$C$1,$D85+COLUMN()-7,0))</f>
        <v>0</v>
      </c>
      <c r="I85">
        <f ca="1">PrefixLenNorm($C85,OFFSET(srt!$C$1,$D85+COLUMN()-7,0))</f>
        <v>1</v>
      </c>
      <c r="J85">
        <f ca="1">PrefixLenNorm($C85,OFFSET(srt!$C$1,$D85+COLUMN()-7,0))</f>
        <v>0</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00:12:54.400</v>
      </c>
      <c r="P85" s="1" t="str">
        <f ca="1">OFFSET(srt!$G$1,D87-2,0)</f>
        <v>00:12:59.280</v>
      </c>
      <c r="Q85">
        <v>141</v>
      </c>
      <c r="R85" s="1">
        <f ca="1">OFFSET(sil!$D$1,sub!Q85-1,0)</f>
        <v>8.9640972222222223E-3</v>
      </c>
      <c r="S85" s="5">
        <f t="shared" ca="1" si="18"/>
        <v>8.9617824074074079E-3</v>
      </c>
      <c r="T85">
        <f t="shared" ca="1" si="19"/>
        <v>-0.10199999999991882</v>
      </c>
      <c r="U85" s="2">
        <f t="shared" ca="1" si="11"/>
        <v>1.7592592592591619E-5</v>
      </c>
      <c r="V85" s="2">
        <f t="shared" si="12"/>
        <v>7.9861111111112146E-5</v>
      </c>
      <c r="W85" s="2">
        <f t="shared" ca="1" si="13"/>
        <v>7.4074074074073626E-5</v>
      </c>
      <c r="X85" s="2">
        <f t="shared" ca="1" si="20"/>
        <v>7.4305555555554889E-5</v>
      </c>
      <c r="Y85" s="7">
        <f t="shared" ca="1" si="14"/>
        <v>-0.48000000000014698</v>
      </c>
      <c r="Z85" s="4" t="s">
        <v>354</v>
      </c>
    </row>
    <row r="86" spans="1:26" x14ac:dyDescent="0.3">
      <c r="A86" t="s">
        <v>986</v>
      </c>
      <c r="B86" s="5" t="str">
        <f t="shared" si="15"/>
        <v>00:14:18.300</v>
      </c>
      <c r="C86" t="str">
        <f t="shared" si="16"/>
        <v>现在，我们需要把多项式p(H)的系数计算出来。这个系数构成的向量我们记为p。</v>
      </c>
      <c r="D86">
        <f t="shared" ca="1" si="21"/>
        <v>235</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00:13:00.800</v>
      </c>
      <c r="P86" s="1" t="str">
        <f ca="1">OFFSET(srt!$G$1,D88-2,0)</f>
        <v>00:13:07.680</v>
      </c>
      <c r="Q86">
        <v>142</v>
      </c>
      <c r="R86" s="1">
        <f ca="1">OFFSET(sil!$D$1,sub!Q86-1,0)</f>
        <v>9.0384027777777771E-3</v>
      </c>
      <c r="S86" s="5">
        <f t="shared" ca="1" si="18"/>
        <v>9.0360879629629628E-3</v>
      </c>
      <c r="T86">
        <f t="shared" ca="1" si="19"/>
        <v>-8.1999999999937678E-2</v>
      </c>
      <c r="U86" s="2">
        <f t="shared" ca="1" si="11"/>
        <v>1.8518518518520141E-5</v>
      </c>
      <c r="V86" s="2">
        <f t="shared" si="12"/>
        <v>1.0300925925925929E-4</v>
      </c>
      <c r="W86" s="2">
        <f t="shared" ca="1" si="13"/>
        <v>9.8148148148149289E-5</v>
      </c>
      <c r="X86" s="2">
        <f t="shared" ca="1" si="20"/>
        <v>9.7476851851852064E-5</v>
      </c>
      <c r="Y86" s="7">
        <f t="shared" ca="1" si="14"/>
        <v>-0.47799999999998399</v>
      </c>
      <c r="Z86" s="4" t="s">
        <v>355</v>
      </c>
    </row>
    <row r="87" spans="1:26" x14ac:dyDescent="0.3">
      <c r="A87" t="s">
        <v>987</v>
      </c>
      <c r="B87" s="5" t="str">
        <f t="shared" si="15"/>
        <v>00:14:27.200</v>
      </c>
      <c r="C87" t="str">
        <f t="shared" si="16"/>
        <v>为了简化运算，我们只关心矩阵第一行B(0)，记为b。根据刚才K的定义，我们可以得到b=Kp。</v>
      </c>
      <c r="D87">
        <f t="shared" ca="1" si="21"/>
        <v>236</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5" t="str">
        <f ca="1">OFFSET(srt!$F$1,D88-1,0)</f>
        <v>00:13:09.280</v>
      </c>
      <c r="P87" s="1" t="str">
        <f ca="1">OFFSET(srt!$G$1,D89-2,0)</f>
        <v>00:13:17.440</v>
      </c>
      <c r="Q87">
        <v>144</v>
      </c>
      <c r="R87" s="1">
        <f ca="1">OFFSET(sil!$D$1,sub!Q87-1,0)</f>
        <v>9.1358796296296292E-3</v>
      </c>
      <c r="S87" s="5">
        <f t="shared" ca="1" si="18"/>
        <v>9.1335648148148148E-3</v>
      </c>
      <c r="T87">
        <f t="shared" ca="1" si="19"/>
        <v>-0.14000000000001789</v>
      </c>
      <c r="U87" s="2">
        <f t="shared" ca="1" si="11"/>
        <v>1.6666666666664831E-5</v>
      </c>
      <c r="V87" s="2">
        <f t="shared" si="12"/>
        <v>1.3811342592592694E-4</v>
      </c>
      <c r="W87" s="2">
        <f t="shared" ca="1" si="13"/>
        <v>1.1111111111111044E-4</v>
      </c>
      <c r="X87" s="2">
        <f t="shared" ca="1" si="20"/>
        <v>1.1180555555555596E-4</v>
      </c>
      <c r="Y87" s="7">
        <f t="shared" ca="1" si="14"/>
        <v>-2.273000000000053</v>
      </c>
      <c r="Z87" s="4" t="s">
        <v>356</v>
      </c>
    </row>
    <row r="88" spans="1:26" s="8" customFormat="1" x14ac:dyDescent="0.3">
      <c r="A88" s="8" t="s">
        <v>988</v>
      </c>
      <c r="B88" s="5" t="str">
        <f t="shared" si="15"/>
        <v>00:14:39.133</v>
      </c>
      <c r="C88" s="8" t="str">
        <f t="shared" si="16"/>
        <v>为了求得p，我们可以将两边同时乘以K的逆矩阵，记为F，又称反Krylov矩阵或解耦矩阵。</v>
      </c>
      <c r="D88" s="8">
        <f t="shared" ca="1" si="21"/>
        <v>238</v>
      </c>
      <c r="E88" s="8">
        <f t="shared" ca="1" si="17"/>
        <v>5</v>
      </c>
      <c r="F88" s="8" t="str">
        <f ca="1">OFFSET(srt!$C$1,D89-1,0)</f>
        <v>为了求得P，</v>
      </c>
      <c r="G88" s="8">
        <f ca="1">PrefixLenNorm($C88,OFFSET(srt!$C$1,$D88+COLUMN()-7,0))</f>
        <v>0</v>
      </c>
      <c r="H88" s="8">
        <f ca="1">PrefixLenNorm($C88,OFFSET(srt!$C$1,$D88+COLUMN()-7,0))</f>
        <v>0</v>
      </c>
      <c r="I88" s="8">
        <f ca="1">PrefixLenNorm($C88,OFFSET(srt!$C$1,$D88+COLUMN()-7,0))</f>
        <v>0</v>
      </c>
      <c r="J88" s="8">
        <f ca="1">PrefixLenNorm($C88,OFFSET(srt!$C$1,$D88+COLUMN()-7,0))</f>
        <v>0</v>
      </c>
      <c r="K88" s="8">
        <f ca="1">PrefixLenNorm($C88,OFFSET(srt!$C$1,$D88+COLUMN()-7,0))</f>
        <v>5</v>
      </c>
      <c r="L88" s="8">
        <f ca="1">PrefixLenNorm($C88,OFFSET(srt!$C$1,$D88+COLUMN()-7,0))</f>
        <v>0</v>
      </c>
      <c r="M88" s="8">
        <f ca="1">PrefixLenNorm($C88,OFFSET(srt!$C$1,$D88+COLUMN()-7,0))</f>
        <v>0</v>
      </c>
      <c r="N88" s="8">
        <f ca="1">PrefixLenNorm($C88,OFFSET(srt!$C$1,$D88+COLUMN()-7,0))</f>
        <v>0</v>
      </c>
      <c r="O88" s="5" t="str">
        <f ca="1">OFFSET(srt!$F$1,D89-1,0)</f>
        <v>00:13:18.880</v>
      </c>
      <c r="P88" s="5" t="str">
        <f ca="1">OFFSET(srt!$G$1,D90-2,0)</f>
        <v>00:13:28.160</v>
      </c>
      <c r="Q88" s="8">
        <v>146</v>
      </c>
      <c r="R88" s="5">
        <f ca="1">OFFSET(sil!$D$1,sub!Q88-1,0)</f>
        <v>9.2476851851851852E-3</v>
      </c>
      <c r="S88" s="5">
        <f t="shared" ca="1" si="18"/>
        <v>9.2453703703703708E-3</v>
      </c>
      <c r="T88" s="8">
        <f t="shared" ca="1" si="19"/>
        <v>-7.9999999999924576E-2</v>
      </c>
      <c r="U88" s="15">
        <f t="shared" ca="1" si="11"/>
        <v>0</v>
      </c>
      <c r="V88" s="15">
        <f t="shared" si="12"/>
        <v>1.1381944444444243E-4</v>
      </c>
      <c r="W88" s="15">
        <f t="shared" ca="1" si="13"/>
        <v>1.0740740740740676E-4</v>
      </c>
      <c r="X88" s="15">
        <f t="shared" ca="1" si="20"/>
        <v>1.0660879629629562E-4</v>
      </c>
      <c r="Y88" s="7">
        <f t="shared" ca="1" si="14"/>
        <v>-0.62299999999988476</v>
      </c>
      <c r="Z88" s="8" t="s">
        <v>357</v>
      </c>
    </row>
    <row r="89" spans="1:26" x14ac:dyDescent="0.3">
      <c r="A89" t="s">
        <v>989</v>
      </c>
      <c r="B89" s="5" t="str">
        <f t="shared" si="15"/>
        <v>00:14:48.967</v>
      </c>
      <c r="C89" t="str">
        <f t="shared" si="16"/>
        <v>这个矩阵F也是下三角矩阵，并且和矩阵K看上去差不多，不过并不相同。事实上，这个矩阵F也满足类似的性质。</v>
      </c>
      <c r="D89">
        <f t="shared" ca="1" si="21"/>
        <v>243</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00:13:28.160</v>
      </c>
      <c r="P89" s="1" t="str">
        <f ca="1">OFFSET(srt!$G$1,D91-2,0)</f>
        <v>00:13:38.120</v>
      </c>
      <c r="Q89">
        <v>147</v>
      </c>
      <c r="R89" s="1">
        <f ca="1">OFFSET(sil!$D$1,sub!Q89-1,0)</f>
        <v>9.3542939814814808E-3</v>
      </c>
      <c r="S89" s="5">
        <f t="shared" ca="1" si="18"/>
        <v>9.3519791666666664E-3</v>
      </c>
      <c r="T89">
        <f t="shared" ca="1" si="19"/>
        <v>-0.14899999999992697</v>
      </c>
      <c r="U89" s="2">
        <f t="shared" ca="1" si="11"/>
        <v>1.7129629629630827E-5</v>
      </c>
      <c r="V89" s="2">
        <f t="shared" si="12"/>
        <v>1.3849537037037216E-4</v>
      </c>
      <c r="W89" s="2">
        <f t="shared" ca="1" si="13"/>
        <v>1.3240740740740921E-4</v>
      </c>
      <c r="X89" s="2">
        <f t="shared" ca="1" si="20"/>
        <v>1.3281250000000099E-4</v>
      </c>
      <c r="Y89" s="7">
        <f t="shared" ca="1" si="14"/>
        <v>-0.49100000000006916</v>
      </c>
      <c r="Z89" s="4" t="s">
        <v>358</v>
      </c>
    </row>
    <row r="90" spans="1:26" x14ac:dyDescent="0.3">
      <c r="A90" t="s">
        <v>990</v>
      </c>
      <c r="B90" s="5" t="str">
        <f t="shared" si="15"/>
        <v>00:15:00.933</v>
      </c>
      <c r="C90" t="str">
        <f t="shared" si="16"/>
        <v>使用这两个性质构造的矩阵K和F，可以证明S=KF为单位矩阵I，有兴趣的小伙伴可以自己试着证明一下。</v>
      </c>
      <c r="D90">
        <f t="shared" ca="1" si="21"/>
        <v>247</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00:13:39.600</v>
      </c>
      <c r="P90" s="1" t="str">
        <f ca="1">OFFSET(srt!$G$1,D92-2,0)</f>
        <v>00:13:50.360</v>
      </c>
      <c r="Q90">
        <v>149</v>
      </c>
      <c r="R90" s="1">
        <f ca="1">OFFSET(sil!$D$1,sub!Q90-1,0)</f>
        <v>9.4871064814814818E-3</v>
      </c>
      <c r="S90" s="5">
        <f t="shared" ca="1" si="18"/>
        <v>9.4847916666666674E-3</v>
      </c>
      <c r="T90">
        <f t="shared" ca="1" si="19"/>
        <v>-0.11399999999999744</v>
      </c>
      <c r="U90" s="2">
        <f t="shared" ca="1" si="11"/>
        <v>0</v>
      </c>
      <c r="V90" s="2">
        <f t="shared" si="12"/>
        <v>1.2847222222222079E-4</v>
      </c>
      <c r="W90" s="2">
        <f t="shared" ca="1" si="13"/>
        <v>1.2453703703703585E-4</v>
      </c>
      <c r="X90" s="2">
        <f t="shared" ca="1" si="20"/>
        <v>1.2428240740740629E-4</v>
      </c>
      <c r="Y90" s="7">
        <f t="shared" ca="1" si="14"/>
        <v>-0.36199999999997345</v>
      </c>
      <c r="Z90" s="4" t="s">
        <v>359</v>
      </c>
    </row>
    <row r="91" spans="1:26" x14ac:dyDescent="0.3">
      <c r="A91" t="s">
        <v>991</v>
      </c>
      <c r="B91" s="5" t="str">
        <f t="shared" si="15"/>
        <v>00:15:12.033</v>
      </c>
      <c r="C91" t="str">
        <f t="shared" si="16"/>
        <v>提示：矩阵S=KF满足十字偶校验约束，也就是满足以上递推公式。</v>
      </c>
      <c r="D91">
        <f t="shared" ca="1" si="21"/>
        <v>252</v>
      </c>
      <c r="E91">
        <f t="shared" ca="1" si="17"/>
        <v>3</v>
      </c>
      <c r="F91" t="str">
        <f ca="1">OFFSET(srt!$C$1,D92-1,0)</f>
        <v>提示矩阵S等于KF满足10字偶校验约束，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00:13:50.360</v>
      </c>
      <c r="P91" s="1" t="str">
        <f ca="1">OFFSET(srt!$G$1,D93-2,0)</f>
        <v>00:13:58.480</v>
      </c>
      <c r="Q91">
        <v>151</v>
      </c>
      <c r="R91" s="1">
        <f ca="1">OFFSET(sil!$D$1,sub!Q91-1,0)</f>
        <v>9.6113888888888881E-3</v>
      </c>
      <c r="S91" s="5">
        <f t="shared" ca="1" si="18"/>
        <v>9.6090740740740737E-3</v>
      </c>
      <c r="T91">
        <f t="shared" ca="1" si="19"/>
        <v>-0.13599999999999168</v>
      </c>
      <c r="U91" s="2">
        <f t="shared" ca="1" si="11"/>
        <v>0</v>
      </c>
      <c r="V91" s="2">
        <f t="shared" si="12"/>
        <v>9.9155092592593391E-5</v>
      </c>
      <c r="W91" s="2">
        <f t="shared" ca="1" si="13"/>
        <v>9.3981481481481347E-5</v>
      </c>
      <c r="X91" s="2">
        <f t="shared" ca="1" si="20"/>
        <v>9.4074074074074546E-5</v>
      </c>
      <c r="Y91" s="7">
        <f t="shared" ca="1" si="14"/>
        <v>-0.43900000000002826</v>
      </c>
      <c r="Z91" s="4" t="s">
        <v>360</v>
      </c>
    </row>
    <row r="92" spans="1:26" x14ac:dyDescent="0.3">
      <c r="A92" t="s">
        <v>992</v>
      </c>
      <c r="B92" s="5" t="str">
        <f t="shared" si="15"/>
        <v>00:15:20.600</v>
      </c>
      <c r="C92" t="str">
        <f t="shared" si="16"/>
        <v>这里说明一下，矩阵F的每行对应多项式f(n,x)，也就是上集视频《解的数量》章节中提到的OEIS中的Fibonacci多项式。</v>
      </c>
      <c r="D92">
        <f t="shared" ca="1" si="21"/>
        <v>255</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1</v>
      </c>
      <c r="N92">
        <f ca="1">PrefixLenNorm($C92,OFFSET(srt!$C$1,$D92+COLUMN()-7,0))</f>
        <v>0</v>
      </c>
      <c r="O92" s="5" t="str">
        <f ca="1">OFFSET(srt!$F$1,D93-1,0)</f>
        <v>00:13:58.480</v>
      </c>
      <c r="P92" s="1" t="str">
        <f ca="1">OFFSET(srt!$G$1,D94-2,0)</f>
        <v>00:14:08.600</v>
      </c>
      <c r="Q92">
        <v>153</v>
      </c>
      <c r="R92" s="1">
        <f ca="1">OFFSET(sil!$D$1,sub!Q92-1,0)</f>
        <v>9.7054629629629626E-3</v>
      </c>
      <c r="S92" s="5">
        <f t="shared" ca="1" si="18"/>
        <v>9.7031481481481482E-3</v>
      </c>
      <c r="T92">
        <f t="shared" ca="1" si="19"/>
        <v>-0.12799999999993927</v>
      </c>
      <c r="U92" s="2">
        <f t="shared" ca="1" si="11"/>
        <v>1.7129629629630827E-5</v>
      </c>
      <c r="V92" s="2">
        <f t="shared" si="12"/>
        <v>1.3503472222222215E-4</v>
      </c>
      <c r="W92" s="2">
        <f t="shared" ca="1" si="13"/>
        <v>1.3425925925926105E-4</v>
      </c>
      <c r="X92" s="2">
        <f t="shared" ca="1" si="20"/>
        <v>1.3528935185185172E-4</v>
      </c>
      <c r="Y92" s="7">
        <f t="shared" ca="1" si="14"/>
        <v>2.1999999999994246E-2</v>
      </c>
      <c r="Z92" s="4" t="s">
        <v>361</v>
      </c>
    </row>
    <row r="93" spans="1:26" x14ac:dyDescent="0.3">
      <c r="A93" t="s">
        <v>993</v>
      </c>
      <c r="B93" s="5" t="str">
        <f t="shared" si="15"/>
        <v>00:15:32.267</v>
      </c>
      <c r="C93" t="str">
        <f t="shared" si="16"/>
        <v>此外，刚才递推得到的矩阵C对应的多项式c(n,x)，等价于《解的数量》章节中提到的f(n,x+1)。</v>
      </c>
      <c r="D93">
        <f t="shared" ca="1" si="21"/>
        <v>257</v>
      </c>
      <c r="E93">
        <f t="shared" ca="1" si="17"/>
        <v>3</v>
      </c>
      <c r="F93" t="str">
        <f ca="1">OFFSET(srt!$C$1,D94-1,0)</f>
        <v>此外刚才递推得到的矩阵C对应的多项式CNX等价于解的数量章节</v>
      </c>
      <c r="G93">
        <f ca="1">PrefixLenNorm($C93,OFFSET(srt!$C$1,$D93+COLUMN()-7,0))</f>
        <v>0</v>
      </c>
      <c r="H93">
        <f ca="1">PrefixLenNorm($C93,OFFSET(srt!$C$1,$D93+COLUMN()-7,0))</f>
        <v>0</v>
      </c>
      <c r="I93">
        <f ca="1">PrefixLenNorm($C93,OFFSET(srt!$C$1,$D93+COLUMN()-7,0))</f>
        <v>20</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00:14:10.080</v>
      </c>
      <c r="P93" s="1" t="str">
        <f ca="1">OFFSET(srt!$G$1,D95-2,0)</f>
        <v>00:14:18.720</v>
      </c>
      <c r="Q93">
        <v>154</v>
      </c>
      <c r="R93" s="1">
        <f ca="1">OFFSET(sil!$D$1,sub!Q93-1,0)</f>
        <v>9.8407523148148143E-3</v>
      </c>
      <c r="S93" s="5">
        <f t="shared" ca="1" si="18"/>
        <v>9.8384375E-3</v>
      </c>
      <c r="T93">
        <f t="shared" ca="1" si="19"/>
        <v>-3.9000000000105617E-2</v>
      </c>
      <c r="U93" s="2">
        <f t="shared" ca="1" si="11"/>
        <v>0</v>
      </c>
      <c r="V93" s="2">
        <f t="shared" si="12"/>
        <v>1.2152777777777769E-4</v>
      </c>
      <c r="W93" s="2">
        <f t="shared" ca="1" si="13"/>
        <v>9.9999999999999395E-5</v>
      </c>
      <c r="X93" s="2">
        <f t="shared" ca="1" si="20"/>
        <v>1.2006944444444521E-4</v>
      </c>
      <c r="Y93" s="7">
        <f t="shared" ca="1" si="14"/>
        <v>-0.12599999999992617</v>
      </c>
      <c r="Z93" s="4" t="s">
        <v>883</v>
      </c>
    </row>
    <row r="94" spans="1:26" x14ac:dyDescent="0.3">
      <c r="A94" t="s">
        <v>994</v>
      </c>
      <c r="B94" s="5" t="str">
        <f t="shared" si="15"/>
        <v>00:15:42.767</v>
      </c>
      <c r="C94" t="str">
        <f t="shared" si="16"/>
        <v>这个证明也不难，可以由F和C的关系求出F和C的递推公式，或者由递推公式反推。</v>
      </c>
      <c r="D94">
        <f t="shared" ca="1" si="21"/>
        <v>260</v>
      </c>
      <c r="E94">
        <f t="shared" ca="1" si="17"/>
        <v>2</v>
      </c>
      <c r="F94" t="str">
        <f ca="1">OFFSET(srt!$C$1,D95-1,0)</f>
        <v>这个证明也不难，</v>
      </c>
      <c r="G94">
        <f ca="1">PrefixLenNorm($C94,OFFSET(srt!$C$1,$D94+COLUMN()-7,0))</f>
        <v>0</v>
      </c>
      <c r="H94">
        <f ca="1">PrefixLenNorm($C94,OFFSET(srt!$C$1,$D94+COLUMN()-7,0))</f>
        <v>7</v>
      </c>
      <c r="I94">
        <f ca="1">PrefixLenNorm($C94,OFFSET(srt!$C$1,$D94+COLUMN()-7,0))</f>
        <v>0</v>
      </c>
      <c r="J94">
        <f ca="1">PrefixLenNorm($C94,OFFSET(srt!$C$1,$D94+COLUMN()-7,0))</f>
        <v>0</v>
      </c>
      <c r="K94">
        <f ca="1">PrefixLenNorm($C94,OFFSET(srt!$C$1,$D94+COLUMN()-7,0))</f>
        <v>1</v>
      </c>
      <c r="L94">
        <f ca="1">PrefixLenNorm($C94,OFFSET(srt!$C$1,$D94+COLUMN()-7,0))</f>
        <v>0</v>
      </c>
      <c r="M94">
        <f ca="1">PrefixLenNorm($C94,OFFSET(srt!$C$1,$D94+COLUMN()-7,0))</f>
        <v>0</v>
      </c>
      <c r="N94">
        <f ca="1">PrefixLenNorm($C94,OFFSET(srt!$C$1,$D94+COLUMN()-7,0))</f>
        <v>0</v>
      </c>
      <c r="O94" s="5" t="str">
        <f ca="1">OFFSET(srt!$F$1,D95-1,0)</f>
        <v>00:14:18.720</v>
      </c>
      <c r="P94" s="1" t="str">
        <f ca="1">OFFSET(srt!$G$1,D96-2,0)</f>
        <v>00:14:27.640</v>
      </c>
      <c r="Q94">
        <v>155</v>
      </c>
      <c r="R94" s="1">
        <f ca="1">OFFSET(sil!$D$1,sub!Q94-1,0)</f>
        <v>9.9608217592592595E-3</v>
      </c>
      <c r="S94" s="5">
        <f t="shared" ca="1" si="18"/>
        <v>9.9585069444444452E-3</v>
      </c>
      <c r="T94">
        <f t="shared" ca="1" si="19"/>
        <v>1.6950000000000132</v>
      </c>
      <c r="U94" s="2">
        <f t="shared" ca="1" si="11"/>
        <v>1.7129629629629092E-5</v>
      </c>
      <c r="V94" s="2">
        <f t="shared" si="12"/>
        <v>1.0532407407407365E-4</v>
      </c>
      <c r="W94" s="2">
        <f t="shared" ca="1" si="13"/>
        <v>1.2037037037036964E-4</v>
      </c>
      <c r="X94" s="2">
        <f t="shared" ca="1" si="20"/>
        <v>1.0081018518518468E-4</v>
      </c>
      <c r="Y94" s="7">
        <f t="shared" ca="1" si="14"/>
        <v>-0.39000000000000701</v>
      </c>
      <c r="Z94" s="4" t="s">
        <v>362</v>
      </c>
    </row>
    <row r="95" spans="1:26" x14ac:dyDescent="0.3">
      <c r="A95" t="s">
        <v>995</v>
      </c>
      <c r="B95" s="5" t="str">
        <f t="shared" si="15"/>
        <v>00:15:51.867</v>
      </c>
      <c r="C95" t="str">
        <f t="shared" si="16"/>
        <v>同时，B(n)矩阵也可以表示为以上形式。这里的H⊕I等价于x+1。</v>
      </c>
      <c r="D95">
        <f t="shared" ca="1" si="21"/>
        <v>262</v>
      </c>
      <c r="E95">
        <f t="shared" ca="1" si="1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00:14:29.120</v>
      </c>
      <c r="P95" s="1" t="str">
        <f ca="1">OFFSET(srt!$G$1,D97-2,0)</f>
        <v>00:14:35.520</v>
      </c>
      <c r="Q95">
        <v>156</v>
      </c>
      <c r="R95" s="1">
        <f ca="1">OFFSET(sil!$D$1,sub!Q95-1,0)</f>
        <v>1.0061631944444444E-2</v>
      </c>
      <c r="S95" s="5">
        <f t="shared" ca="1" si="18"/>
        <v>1.005931712962963E-2</v>
      </c>
      <c r="T95">
        <f t="shared" ca="1" si="19"/>
        <v>5.000000000032756E-3</v>
      </c>
      <c r="U95" s="2">
        <f t="shared" ca="1" si="11"/>
        <v>1.8518518518518406E-5</v>
      </c>
      <c r="V95" s="2">
        <f t="shared" si="12"/>
        <v>1.1921296296296333E-4</v>
      </c>
      <c r="W95" s="2">
        <f t="shared" ca="1" si="13"/>
        <v>9.2592592592592032E-5</v>
      </c>
      <c r="X95" s="2">
        <f t="shared" ca="1" si="20"/>
        <v>9.0995370370371489E-5</v>
      </c>
      <c r="Y95" s="7">
        <f t="shared" ca="1" si="14"/>
        <v>-2.4379999999999349</v>
      </c>
      <c r="Z95" s="4" t="s">
        <v>363</v>
      </c>
    </row>
    <row r="96" spans="1:26" s="8" customFormat="1" x14ac:dyDescent="0.3">
      <c r="A96" s="8" t="s">
        <v>996</v>
      </c>
      <c r="B96" s="5" t="str">
        <f t="shared" si="15"/>
        <v>00:16:02.167</v>
      </c>
      <c r="C96" s="8" t="str">
        <f t="shared" si="16"/>
        <v>让我们继续求p。由于F和K互逆，于是我们有：Fb=FKp=p。将向量b和矩阵F相乘，我们便求出了p。</v>
      </c>
      <c r="D96" s="8">
        <f t="shared" ca="1" si="21"/>
        <v>264</v>
      </c>
      <c r="E96" s="8">
        <f t="shared" ca="1" si="17"/>
        <v>2</v>
      </c>
      <c r="F96" s="8" t="str">
        <f ca="1">OFFSET(srt!$C$1,D97-1,0)</f>
        <v>让我们继续求P，</v>
      </c>
      <c r="G96" s="8">
        <f ca="1">PrefixLenNorm($C96,OFFSET(srt!$C$1,$D96+COLUMN()-7,0))</f>
        <v>0</v>
      </c>
      <c r="H96" s="8">
        <f ca="1">PrefixLenNorm($C96,OFFSET(srt!$C$1,$D96+COLUMN()-7,0))</f>
        <v>7</v>
      </c>
      <c r="I96" s="8">
        <f ca="1">PrefixLenNorm($C96,OFFSET(srt!$C$1,$D96+COLUMN()-7,0))</f>
        <v>0</v>
      </c>
      <c r="J96" s="8">
        <f ca="1">PrefixLenNorm($C96,OFFSET(srt!$C$1,$D96+COLUMN()-7,0))</f>
        <v>0</v>
      </c>
      <c r="K96" s="8">
        <f ca="1">PrefixLenNorm($C96,OFFSET(srt!$C$1,$D96+COLUMN()-7,0))</f>
        <v>0</v>
      </c>
      <c r="L96" s="8">
        <f ca="1">PrefixLenNorm($C96,OFFSET(srt!$C$1,$D96+COLUMN()-7,0))</f>
        <v>0</v>
      </c>
      <c r="M96" s="8">
        <f ca="1">PrefixLenNorm($C96,OFFSET(srt!$C$1,$D96+COLUMN()-7,0))</f>
        <v>0</v>
      </c>
      <c r="N96" s="8">
        <f ca="1">PrefixLenNorm($C96,OFFSET(srt!$C$1,$D96+COLUMN()-7,0))</f>
        <v>0</v>
      </c>
      <c r="O96" s="5" t="str">
        <f ca="1">OFFSET(srt!$F$1,D97-1,0)</f>
        <v>00:14:37.120</v>
      </c>
      <c r="P96" s="5" t="str">
        <f ca="1">OFFSET(srt!$G$1,D98-2,0)</f>
        <v>00:14:49.840</v>
      </c>
      <c r="Q96" s="8">
        <v>158</v>
      </c>
      <c r="R96" s="5">
        <f ca="1">OFFSET(sil!$D$1,sub!Q96-1,0)</f>
        <v>1.0152627314814816E-2</v>
      </c>
      <c r="S96" s="5">
        <f t="shared" ca="1" si="18"/>
        <v>1.0150312500000001E-2</v>
      </c>
      <c r="T96" s="8">
        <f t="shared" ca="1" si="19"/>
        <v>-0.13299999999982215</v>
      </c>
      <c r="U96" s="15">
        <f t="shared" ca="1" si="11"/>
        <v>0</v>
      </c>
      <c r="V96" s="15">
        <f t="shared" si="12"/>
        <v>1.516203703703714E-4</v>
      </c>
      <c r="W96" s="15">
        <f t="shared" ca="1" si="13"/>
        <v>1.4722222222222393E-4</v>
      </c>
      <c r="X96" s="15">
        <f t="shared" ca="1" si="20"/>
        <v>1.4723379629629635E-4</v>
      </c>
      <c r="Y96" s="7">
        <f t="shared" ca="1" si="14"/>
        <v>-0.37900000000008482</v>
      </c>
      <c r="Z96" s="8" t="s">
        <v>364</v>
      </c>
    </row>
    <row r="97" spans="1:26" x14ac:dyDescent="0.3">
      <c r="A97" t="s">
        <v>997</v>
      </c>
      <c r="B97" s="5" t="str">
        <f t="shared" si="15"/>
        <v>00:16:15.267</v>
      </c>
      <c r="C97" t="str">
        <f t="shared" si="16"/>
        <v>为了和视频中演示的一致，由于b是竖着的，因此写为p=Fb。对于矩阵乘法运算来说，则有P=B''F。这里省去了转置符号。</v>
      </c>
      <c r="D97">
        <f t="shared" ca="1" si="21"/>
        <v>266</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00:14:49.840</v>
      </c>
      <c r="P97" s="1" t="str">
        <f ca="1">OFFSET(srt!$G$1,D99-2,0)</f>
        <v>00:15:02.360</v>
      </c>
      <c r="Q97">
        <v>162</v>
      </c>
      <c r="R97" s="1">
        <f ca="1">OFFSET(sil!$D$1,sub!Q97-1,0)</f>
        <v>1.0299861111111112E-2</v>
      </c>
      <c r="S97" s="5">
        <f t="shared" ca="1" si="18"/>
        <v>1.0297546296296298E-2</v>
      </c>
      <c r="T97">
        <f t="shared" ca="1" si="19"/>
        <v>-0.13199999999996548</v>
      </c>
      <c r="U97" s="2">
        <f t="shared" ca="1" si="11"/>
        <v>1.7129629629630827E-5</v>
      </c>
      <c r="V97" s="2">
        <f t="shared" si="12"/>
        <v>1.6820601851851719E-4</v>
      </c>
      <c r="W97" s="2">
        <f t="shared" ca="1" si="13"/>
        <v>1.6203703703703692E-4</v>
      </c>
      <c r="X97" s="2">
        <f t="shared" ca="1" si="20"/>
        <v>1.6269675925925826E-4</v>
      </c>
      <c r="Y97" s="7">
        <f t="shared" ca="1" si="14"/>
        <v>-0.47599999999997089</v>
      </c>
      <c r="Z97" s="4" t="s">
        <v>365</v>
      </c>
    </row>
    <row r="98" spans="1:26" x14ac:dyDescent="0.3">
      <c r="A98" t="s">
        <v>998</v>
      </c>
      <c r="B98" s="5" t="str">
        <f t="shared" si="15"/>
        <v>00:16:29.800</v>
      </c>
      <c r="C98" t="str">
        <f t="shared" si="16"/>
        <v>将多项式p(x)写成矩阵的形式，记为P。</v>
      </c>
      <c r="D98">
        <f t="shared" ca="1" si="21"/>
        <v>271</v>
      </c>
      <c r="E98">
        <f t="shared" ca="1" si="17"/>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5" t="str">
        <f ca="1">OFFSET(srt!$F$1,D99-1,0)</f>
        <v>00:15:03.840</v>
      </c>
      <c r="P98" s="1" t="str">
        <f ca="1">OFFSET(srt!$G$1,D100-2,0)</f>
        <v>00:15:07.520</v>
      </c>
      <c r="Q98">
        <v>165</v>
      </c>
      <c r="R98" s="1">
        <f ca="1">OFFSET(sil!$D$1,sub!Q98-1,0)</f>
        <v>1.046255787037037E-2</v>
      </c>
      <c r="S98" s="5">
        <f t="shared" ca="1" si="18"/>
        <v>1.0460243055555556E-2</v>
      </c>
      <c r="T98">
        <f t="shared" ca="1" si="19"/>
        <v>-7.50000000000417E-2</v>
      </c>
      <c r="U98" s="2">
        <f t="shared" ca="1" si="11"/>
        <v>1.7592592592591619E-5</v>
      </c>
      <c r="V98" s="2">
        <f t="shared" si="12"/>
        <v>8.2951388888889352E-5</v>
      </c>
      <c r="W98" s="2">
        <f t="shared" ca="1" si="13"/>
        <v>6.0185185185183954E-5</v>
      </c>
      <c r="X98" s="2">
        <f t="shared" ca="1" si="20"/>
        <v>5.9490740740740164E-5</v>
      </c>
      <c r="Y98" s="7">
        <f t="shared" ca="1" si="14"/>
        <v>-2.0270000000000898</v>
      </c>
      <c r="Z98" s="4" t="s">
        <v>366</v>
      </c>
    </row>
    <row r="99" spans="1:26" s="8" customFormat="1" x14ac:dyDescent="0.3">
      <c r="A99" s="8" t="s">
        <v>999</v>
      </c>
      <c r="B99" s="5" t="str">
        <f t="shared" si="15"/>
        <v>00:16:36.967</v>
      </c>
      <c r="C99" s="8" t="str">
        <f t="shared" si="16"/>
        <v>有了p=Fb之后，后续的计算我们都不需要用到完整的B，而只需要B的第一行，即向量b。</v>
      </c>
      <c r="D99" s="8">
        <f t="shared" ca="1" si="21"/>
        <v>277</v>
      </c>
      <c r="E99" s="8">
        <f t="shared" ca="1" si="17"/>
        <v>1</v>
      </c>
      <c r="F99" s="8" t="str">
        <f ca="1">OFFSET(srt!$C$1,D100-1,0)</f>
        <v>有了P等于FB之后，</v>
      </c>
      <c r="G99" s="8">
        <f ca="1">PrefixLenNorm($C99,OFFSET(srt!$C$1,$D99+COLUMN()-7,0))</f>
        <v>9</v>
      </c>
      <c r="H99" s="8">
        <f ca="1">PrefixLenNorm($C99,OFFSET(srt!$C$1,$D99+COLUMN()-7,0))</f>
        <v>0</v>
      </c>
      <c r="I99" s="8">
        <f ca="1">PrefixLenNorm($C99,OFFSET(srt!$C$1,$D99+COLUMN()-7,0))</f>
        <v>0</v>
      </c>
      <c r="J99" s="8">
        <f ca="1">PrefixLenNorm($C99,OFFSET(srt!$C$1,$D99+COLUMN()-7,0))</f>
        <v>0</v>
      </c>
      <c r="K99" s="8">
        <f ca="1">PrefixLenNorm($C99,OFFSET(srt!$C$1,$D99+COLUMN()-7,0))</f>
        <v>0</v>
      </c>
      <c r="L99" s="8">
        <f ca="1">PrefixLenNorm($C99,OFFSET(srt!$C$1,$D99+COLUMN()-7,0))</f>
        <v>0</v>
      </c>
      <c r="M99" s="8">
        <f ca="1">PrefixLenNorm($C99,OFFSET(srt!$C$1,$D99+COLUMN()-7,0))</f>
        <v>0</v>
      </c>
      <c r="N99" s="8">
        <f ca="1">PrefixLenNorm($C99,OFFSET(srt!$C$1,$D99+COLUMN()-7,0))</f>
        <v>0</v>
      </c>
      <c r="O99" s="5" t="str">
        <f ca="1">OFFSET(srt!$F$1,D100-1,0)</f>
        <v>00:15:09.040</v>
      </c>
      <c r="P99" s="5" t="str">
        <f ca="1">OFFSET(srt!$G$1,D101-2,0)</f>
        <v>00:15:16.920</v>
      </c>
      <c r="Q99" s="8">
        <v>166</v>
      </c>
      <c r="R99" s="5">
        <f ca="1">OFFSET(sil!$D$1,sub!Q99-1,0)</f>
        <v>1.052204861111111E-2</v>
      </c>
      <c r="S99" s="5">
        <f t="shared" ca="1" si="18"/>
        <v>1.0519733796296296E-2</v>
      </c>
      <c r="T99" s="8">
        <f t="shared" ca="1" si="19"/>
        <v>-0.13499999999998513</v>
      </c>
      <c r="U99" s="15">
        <f t="shared" ca="1" si="11"/>
        <v>1.7129629629630827E-5</v>
      </c>
      <c r="V99" s="15">
        <f t="shared" si="12"/>
        <v>1.0917824074073955E-4</v>
      </c>
      <c r="W99" s="15">
        <f t="shared" ca="1" si="13"/>
        <v>1.0833333333333355E-4</v>
      </c>
      <c r="X99" s="15">
        <f t="shared" ca="1" si="20"/>
        <v>1.0855324074074239E-4</v>
      </c>
      <c r="Y99" s="7">
        <f t="shared" ca="1" si="14"/>
        <v>-5.3999999999754245E-2</v>
      </c>
      <c r="Z99" s="8" t="s">
        <v>367</v>
      </c>
    </row>
    <row r="100" spans="1:26" x14ac:dyDescent="0.3">
      <c r="A100" t="s">
        <v>1000</v>
      </c>
      <c r="B100" s="5" t="str">
        <f t="shared" si="15"/>
        <v>00:16:46.400</v>
      </c>
      <c r="C100" t="str">
        <f t="shared" si="16"/>
        <v>这是因为，问题已经从Bx=y转化为了p(H)x=y。因此，在前面说到的生成矩阵，也只需要计算向量b，也就是矩阵B'。</v>
      </c>
      <c r="D100">
        <f t="shared" ca="1" si="21"/>
        <v>278</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00:15:18.400</v>
      </c>
      <c r="P100" s="1" t="str">
        <f ca="1">OFFSET(srt!$G$1,D102-2,0)</f>
        <v>00:15:30.200</v>
      </c>
      <c r="Q100">
        <v>168</v>
      </c>
      <c r="R100" s="1">
        <f ca="1">OFFSET(sil!$D$1,sub!Q100-1,0)</f>
        <v>1.0630601851851853E-2</v>
      </c>
      <c r="S100" s="5">
        <f t="shared" ca="1" si="18"/>
        <v>1.0628287037037039E-2</v>
      </c>
      <c r="T100">
        <f t="shared" ca="1" si="19"/>
        <v>-0.11599999999986066</v>
      </c>
      <c r="U100" s="2">
        <f t="shared" ca="1" si="11"/>
        <v>1.9907407407405986E-5</v>
      </c>
      <c r="V100" s="2">
        <f t="shared" si="12"/>
        <v>1.577893518518534E-4</v>
      </c>
      <c r="W100" s="2">
        <f t="shared" ca="1" si="13"/>
        <v>1.564814814814814E-4</v>
      </c>
      <c r="X100" s="2">
        <f t="shared" ca="1" si="20"/>
        <v>1.5555555555555461E-4</v>
      </c>
      <c r="Y100" s="7">
        <f t="shared" ca="1" si="14"/>
        <v>-0.19300000000021522</v>
      </c>
      <c r="Z100" s="4" t="s">
        <v>368</v>
      </c>
    </row>
    <row r="101" spans="1:26" x14ac:dyDescent="0.3">
      <c r="A101" t="s">
        <v>1001</v>
      </c>
      <c r="B101" s="5" t="str">
        <f t="shared" si="15"/>
        <v>00:17:00.033</v>
      </c>
      <c r="C101" t="str">
        <f t="shared" si="16"/>
        <v>由于在不同n的情况下计算b的公式是一样的，我们可以把n-1情况下算出的b，直接用于计算n的情况。</v>
      </c>
      <c r="D101">
        <f t="shared" ca="1" si="21"/>
        <v>281</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00:15:31.920</v>
      </c>
      <c r="P101" s="1" t="str">
        <f ca="1">OFFSET(srt!$G$1,D103-2,0)</f>
        <v>00:15:39.880</v>
      </c>
      <c r="Q101">
        <v>170</v>
      </c>
      <c r="R101" s="1">
        <f ca="1">OFFSET(sil!$D$1,sub!Q101-1,0)</f>
        <v>1.0786157407407407E-2</v>
      </c>
      <c r="S101" s="5">
        <f t="shared" ca="1" si="18"/>
        <v>1.0783842592592593E-2</v>
      </c>
      <c r="T101">
        <f t="shared" ca="1" si="19"/>
        <v>-0.19599999999993512</v>
      </c>
      <c r="U101" s="2">
        <f t="shared" ca="1" si="11"/>
        <v>1.7129629629630827E-5</v>
      </c>
      <c r="V101" s="2">
        <f t="shared" si="12"/>
        <v>1.0957175925925891E-4</v>
      </c>
      <c r="W101" s="2">
        <f t="shared" ca="1" si="13"/>
        <v>1.0925925925926033E-4</v>
      </c>
      <c r="X101" s="2">
        <f t="shared" ca="1" si="20"/>
        <v>1.1027777777777685E-4</v>
      </c>
      <c r="Y101" s="7">
        <f t="shared" ca="1" si="14"/>
        <v>6.0999999999949983E-2</v>
      </c>
      <c r="Z101" s="4" t="s">
        <v>369</v>
      </c>
    </row>
    <row r="102" spans="1:26" x14ac:dyDescent="0.3">
      <c r="A102" t="s">
        <v>1002</v>
      </c>
      <c r="B102" s="5" t="str">
        <f t="shared" si="15"/>
        <v>00:17:09.500</v>
      </c>
      <c r="C102" t="str">
        <f t="shared" si="16"/>
        <v>这样，如果我们是从n=0开始计算的，我们只需要O(n)的时间复杂度便可求出b。</v>
      </c>
      <c r="D102">
        <f t="shared" ca="1" si="21"/>
        <v>284</v>
      </c>
      <c r="E102">
        <f t="shared" ca="1" si="17"/>
        <v>2</v>
      </c>
      <c r="F102" t="str">
        <f ca="1">OFFSET(srt!$C$1,D103-1,0)</f>
        <v>这样如果我们是从N等于0开始计算的，</v>
      </c>
      <c r="G102">
        <f ca="1">PrefixLenNorm($C102,OFFSET(srt!$C$1,$D102+COLUMN()-7,0))</f>
        <v>0</v>
      </c>
      <c r="H102">
        <f ca="1">PrefixLenNorm($C102,OFFSET(srt!$C$1,$D102+COLUMN()-7,0))</f>
        <v>17</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00:15:41.360</v>
      </c>
      <c r="P102" s="1" t="str">
        <f ca="1">OFFSET(srt!$G$1,D104-2,0)</f>
        <v>00:15:44.400</v>
      </c>
      <c r="Q102">
        <v>171</v>
      </c>
      <c r="R102" s="1">
        <f ca="1">OFFSET(sil!$D$1,sub!Q102-1,0)</f>
        <v>1.0896435185185184E-2</v>
      </c>
      <c r="S102" s="5">
        <f t="shared" ca="1" si="18"/>
        <v>1.089412037037037E-2</v>
      </c>
      <c r="T102">
        <f t="shared" ca="1" si="19"/>
        <v>-0.10800000000010801</v>
      </c>
      <c r="U102" s="2">
        <f t="shared" ca="1" si="11"/>
        <v>1.8518518518518406E-6</v>
      </c>
      <c r="V102" s="2">
        <f t="shared" si="12"/>
        <v>9.7604166666665979E-5</v>
      </c>
      <c r="W102" s="2">
        <f t="shared" ca="1" si="13"/>
        <v>3.7037037037035078E-5</v>
      </c>
      <c r="X102" s="2">
        <f t="shared" ca="1" si="20"/>
        <v>9.6585648148149461E-5</v>
      </c>
      <c r="Y102" s="7">
        <f t="shared" ca="1" si="14"/>
        <v>-8.7999999999827105E-2</v>
      </c>
      <c r="Z102" s="4" t="s">
        <v>370</v>
      </c>
    </row>
    <row r="103" spans="1:26" x14ac:dyDescent="0.3">
      <c r="A103" t="s">
        <v>1003</v>
      </c>
      <c r="B103" s="5" t="str">
        <f t="shared" si="15"/>
        <v>00:17:17.933</v>
      </c>
      <c r="C103" t="str">
        <f t="shared" si="16"/>
        <v>同样，计算K和F也是如此。因为每行之间有递推公式，如果从n=0开始计算，也可以在O(n)时间内求出。</v>
      </c>
      <c r="D103">
        <f t="shared" ca="1" si="21"/>
        <v>286</v>
      </c>
      <c r="E103">
        <f t="shared" ca="1" si="17"/>
        <v>1</v>
      </c>
      <c r="F103" t="str">
        <f ca="1">OFFSET(srt!$C$1,D104-1,0)</f>
        <v>我们只需要open的时间复杂度便可求出B同样。</v>
      </c>
      <c r="G103">
        <f ca="1">PrefixLenNorm($C103,OFFSET(srt!$C$1,$D103+COLUMN()-7,0))</f>
        <v>0</v>
      </c>
      <c r="H103">
        <f ca="1">PrefixLenNorm($C103,OFFSET(srt!$C$1,$D103+COLUMN()-7,0))</f>
        <v>0</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00:15:44.560</v>
      </c>
      <c r="P103" s="1" t="str">
        <f ca="1">OFFSET(srt!$G$1,D105-2,0)</f>
        <v>00:16:00.880</v>
      </c>
      <c r="Q103">
        <v>173</v>
      </c>
      <c r="R103" s="1">
        <f ca="1">OFFSET(sil!$D$1,sub!Q103-1,0)</f>
        <v>1.0993020833333334E-2</v>
      </c>
      <c r="S103" s="5">
        <f t="shared" ca="1" si="18"/>
        <v>1.0990706018518519E-2</v>
      </c>
      <c r="T103">
        <f t="shared" ca="1" si="19"/>
        <v>5.0370000000001749</v>
      </c>
      <c r="U103" s="2">
        <f t="shared" ca="1" si="11"/>
        <v>0</v>
      </c>
      <c r="V103" s="2">
        <f t="shared" si="12"/>
        <v>1.2962962962963058E-4</v>
      </c>
      <c r="W103" s="2">
        <f t="shared" ca="1" si="13"/>
        <v>1.8888888888888948E-4</v>
      </c>
      <c r="X103" s="2">
        <f t="shared" ca="1" si="20"/>
        <v>1.2910879629629557E-4</v>
      </c>
      <c r="Y103" s="7">
        <f t="shared" ca="1" si="14"/>
        <v>-4.5000000000144924E-2</v>
      </c>
      <c r="Z103" s="4" t="s">
        <v>371</v>
      </c>
    </row>
    <row r="104" spans="1:26" x14ac:dyDescent="0.3">
      <c r="A104" t="s">
        <v>1004</v>
      </c>
      <c r="B104" s="5" t="str">
        <f t="shared" si="15"/>
        <v>00:17:29.133</v>
      </c>
      <c r="C104" t="str">
        <f t="shared" si="16"/>
        <v>如果需要直接计算特定n，可以用其它方法优化到O(n·log(n))。因为这里的算法不涉及这个优化，因此就不展开了。</v>
      </c>
      <c r="D104">
        <f t="shared" ca="1" si="21"/>
        <v>287</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00:16:00.880</v>
      </c>
      <c r="P104" s="1" t="str">
        <f ca="1">OFFSET(srt!$G$1,D106-2,0)</f>
        <v>00:16:11.920</v>
      </c>
      <c r="Q104">
        <v>175</v>
      </c>
      <c r="R104" s="1">
        <f ca="1">OFFSET(sil!$D$1,sub!Q104-1,0)</f>
        <v>1.1122129629629629E-2</v>
      </c>
      <c r="S104" s="5">
        <f t="shared" ca="1" si="18"/>
        <v>1.1119814814814815E-2</v>
      </c>
      <c r="T104">
        <f t="shared" ca="1" si="19"/>
        <v>-0.12799999999993927</v>
      </c>
      <c r="U104" s="2">
        <f t="shared" ca="1" si="11"/>
        <v>0</v>
      </c>
      <c r="V104" s="2">
        <f t="shared" si="12"/>
        <v>1.3118055555555626E-4</v>
      </c>
      <c r="W104" s="2">
        <f t="shared" ca="1" si="13"/>
        <v>1.27777777777777E-4</v>
      </c>
      <c r="X104" s="2">
        <f t="shared" ca="1" si="20"/>
        <v>1.279166666666668E-4</v>
      </c>
      <c r="Y104" s="7">
        <f t="shared" ca="1" si="14"/>
        <v>-0.28200000000004888</v>
      </c>
      <c r="Z104" s="4" t="s">
        <v>372</v>
      </c>
    </row>
    <row r="105" spans="1:26" x14ac:dyDescent="0.3">
      <c r="A105" t="s">
        <v>1005</v>
      </c>
      <c r="B105" s="5" t="str">
        <f t="shared" si="15"/>
        <v>00:17:40.467</v>
      </c>
      <c r="C105" t="str">
        <f t="shared" si="16"/>
        <v>为了求出p=Fb，我们需要将向量和矩阵相乘，一般情况下，其时间复杂度是O(n²)。</v>
      </c>
      <c r="D105">
        <f t="shared" ca="1" si="21"/>
        <v>292</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00:16:11.920</v>
      </c>
      <c r="P105" s="1" t="str">
        <f ca="1">OFFSET(srt!$G$1,D107-2,0)</f>
        <v>00:16:21.760</v>
      </c>
      <c r="Q105">
        <v>177</v>
      </c>
      <c r="R105" s="1">
        <f ca="1">OFFSET(sil!$D$1,sub!Q105-1,0)</f>
        <v>1.1250046296296296E-2</v>
      </c>
      <c r="S105" s="5">
        <f t="shared" ca="1" si="18"/>
        <v>1.1247731481481482E-2</v>
      </c>
      <c r="T105">
        <f t="shared" ca="1" si="19"/>
        <v>-0.11599999999986066</v>
      </c>
      <c r="U105" s="2">
        <f t="shared" ca="1" si="11"/>
        <v>0</v>
      </c>
      <c r="V105" s="2">
        <f t="shared" si="12"/>
        <v>1.1418981481481523E-4</v>
      </c>
      <c r="W105" s="2">
        <f t="shared" ca="1" si="13"/>
        <v>1.138888888888908E-4</v>
      </c>
      <c r="X105" s="2">
        <f t="shared" ca="1" si="20"/>
        <v>1.1379629629629587E-4</v>
      </c>
      <c r="Y105" s="7">
        <f t="shared" ca="1" si="14"/>
        <v>-3.4000000000072861E-2</v>
      </c>
      <c r="Z105" s="4" t="s">
        <v>373</v>
      </c>
    </row>
    <row r="106" spans="1:26" x14ac:dyDescent="0.3">
      <c r="A106" t="s">
        <v>1006</v>
      </c>
      <c r="B106" s="5" t="str">
        <f t="shared" si="15"/>
        <v>00:17:50.333</v>
      </c>
      <c r="C106" t="str">
        <f t="shared" si="16"/>
        <v>因为矩阵F是有递推规律的，理论上使用FFT等算法，可以把乘法优化到O(n·log(n))。</v>
      </c>
      <c r="D106">
        <f t="shared" ca="1" si="21"/>
        <v>296</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00:16:21.760</v>
      </c>
      <c r="P106" s="1" t="str">
        <f ca="1">OFFSET(srt!$G$1,D108-2,0)</f>
        <v>00:16:28.880</v>
      </c>
      <c r="Q106">
        <v>178</v>
      </c>
      <c r="R106" s="1">
        <f ca="1">OFFSET(sil!$D$1,sub!Q106-1,0)</f>
        <v>1.1363842592592592E-2</v>
      </c>
      <c r="S106" s="5">
        <f t="shared" ca="1" si="18"/>
        <v>1.1361527777777778E-2</v>
      </c>
      <c r="T106">
        <f t="shared" ca="1" si="19"/>
        <v>-0.12400000000006295</v>
      </c>
      <c r="U106" s="2">
        <f t="shared" ca="1" si="11"/>
        <v>0</v>
      </c>
      <c r="V106" s="2">
        <f t="shared" si="12"/>
        <v>1.0609953703703476E-4</v>
      </c>
      <c r="W106" s="2">
        <f t="shared" ca="1" si="13"/>
        <v>8.2407407407406041E-5</v>
      </c>
      <c r="X106" s="2">
        <f t="shared" ca="1" si="20"/>
        <v>1.0274305555555557E-4</v>
      </c>
      <c r="Y106" s="7">
        <f t="shared" ca="1" si="14"/>
        <v>-0.28999999999980153</v>
      </c>
      <c r="Z106" s="4" t="s">
        <v>374</v>
      </c>
    </row>
    <row r="107" spans="1:26" x14ac:dyDescent="0.3">
      <c r="A107" t="s">
        <v>1007</v>
      </c>
      <c r="B107" s="5" t="str">
        <f t="shared" si="15"/>
        <v>00:17:59.500</v>
      </c>
      <c r="C107" t="str">
        <f t="shared" si="16"/>
        <v>另一方面，这里在计算p的时候，我们将B''的对角线去除了，即P=B''F。假如我们保留B''的对角线，则有C=B'F。</v>
      </c>
      <c r="D107">
        <f t="shared" ca="1" si="21"/>
        <v>300</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00:16:28.880</v>
      </c>
      <c r="P107" s="1" t="str">
        <f ca="1">OFFSET(srt!$G$1,D109-2,0)</f>
        <v>00:16:42.400</v>
      </c>
      <c r="Q107">
        <v>179</v>
      </c>
      <c r="R107" s="1">
        <f ca="1">OFFSET(sil!$D$1,sub!Q107-1,0)</f>
        <v>1.1466585648148148E-2</v>
      </c>
      <c r="S107" s="5">
        <f t="shared" ca="1" si="18"/>
        <v>1.1464270833333333E-2</v>
      </c>
      <c r="T107">
        <f t="shared" ca="1" si="19"/>
        <v>1.6330000000000566</v>
      </c>
      <c r="U107" s="2">
        <f t="shared" ca="1" si="11"/>
        <v>1.8981481481482668E-5</v>
      </c>
      <c r="V107" s="2">
        <f t="shared" si="12"/>
        <v>1.6435185185185303E-4</v>
      </c>
      <c r="W107" s="2">
        <f t="shared" ca="1" si="13"/>
        <v>1.7546296296296407E-4</v>
      </c>
      <c r="X107" s="2">
        <f t="shared" ca="1" si="20"/>
        <v>1.5513888888888869E-4</v>
      </c>
      <c r="Y107" s="7">
        <f t="shared" ca="1" si="14"/>
        <v>-0.79600000000011883</v>
      </c>
      <c r="Z107" s="4" t="s">
        <v>375</v>
      </c>
    </row>
    <row r="108" spans="1:26" x14ac:dyDescent="0.3">
      <c r="A108" t="s">
        <v>1008</v>
      </c>
      <c r="B108" s="5" t="str">
        <f t="shared" si="15"/>
        <v>00:18:13.700</v>
      </c>
      <c r="C108" t="str">
        <f t="shared" si="16"/>
        <v>为了证明这一点，我们假定B'F=C'，得出以上递推公式。由于C'的递推公式和C是相同的，因此这里的C'就是C，即C'=C=B'F。</v>
      </c>
      <c r="D108">
        <f t="shared" ca="1" si="21"/>
        <v>302</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00:16:44.040</v>
      </c>
      <c r="P108" s="1" t="str">
        <f ca="1">OFFSET(srt!$G$1,D110-2,0)</f>
        <v>00:16:57.520</v>
      </c>
      <c r="Q108">
        <v>181</v>
      </c>
      <c r="R108" s="1">
        <f ca="1">OFFSET(sil!$D$1,sub!Q108-1,0)</f>
        <v>1.1621724537037036E-2</v>
      </c>
      <c r="S108" s="5">
        <f t="shared" ca="1" si="18"/>
        <v>1.1619409722222222E-2</v>
      </c>
      <c r="T108">
        <f t="shared" ca="1" si="19"/>
        <v>-0.1230000000000564</v>
      </c>
      <c r="U108" s="2">
        <f t="shared" ca="1" si="11"/>
        <v>1.7592592592593354E-5</v>
      </c>
      <c r="V108" s="2">
        <f t="shared" si="12"/>
        <v>1.8171296296296338E-4</v>
      </c>
      <c r="W108" s="2">
        <f t="shared" ca="1" si="13"/>
        <v>1.7361111111111049E-4</v>
      </c>
      <c r="X108" s="2">
        <f t="shared" ca="1" si="20"/>
        <v>1.7454861111111143E-4</v>
      </c>
      <c r="Y108" s="7">
        <f t="shared" ca="1" si="14"/>
        <v>-0.61900000000000843</v>
      </c>
      <c r="Z108" s="4" t="s">
        <v>376</v>
      </c>
    </row>
    <row r="109" spans="1:26" x14ac:dyDescent="0.3">
      <c r="A109" t="s">
        <v>1009</v>
      </c>
      <c r="B109" s="5" t="str">
        <f t="shared" si="15"/>
        <v>00:18:29.400</v>
      </c>
      <c r="C109" t="str">
        <f t="shared" si="16"/>
        <v>由于C=B'F，我们可以推得P=C⊕F。因此，我们可以计算出C和F，叠加后直接求得P，无需使用矩阵乘法。</v>
      </c>
      <c r="D109">
        <f t="shared" ca="1" si="21"/>
        <v>308</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00:16:59.040</v>
      </c>
      <c r="P109" s="1" t="str">
        <f ca="1">OFFSET(srt!$G$1,D111-2,0)</f>
        <v>00:17:09.720</v>
      </c>
      <c r="Q109">
        <v>183</v>
      </c>
      <c r="R109" s="1">
        <f ca="1">OFFSET(sil!$D$1,sub!Q109-1,0)</f>
        <v>1.1796273148148148E-2</v>
      </c>
      <c r="S109" s="5">
        <f t="shared" ca="1" si="18"/>
        <v>1.1793958333333333E-2</v>
      </c>
      <c r="T109">
        <f t="shared" ca="1" si="19"/>
        <v>-4.199999999997539E-2</v>
      </c>
      <c r="U109" s="2">
        <f t="shared" ca="1" si="11"/>
        <v>1.7129629629629092E-5</v>
      </c>
      <c r="V109" s="2">
        <f t="shared" si="12"/>
        <v>1.4351851851851678E-4</v>
      </c>
      <c r="W109" s="2">
        <f t="shared" ca="1" si="13"/>
        <v>1.4074074074074162E-4</v>
      </c>
      <c r="X109" s="2">
        <f t="shared" ca="1" si="20"/>
        <v>1.4056712962963111E-4</v>
      </c>
      <c r="Y109" s="7">
        <f t="shared" ca="1" si="14"/>
        <v>-0.25499999999972212</v>
      </c>
      <c r="Z109" s="4" t="s">
        <v>377</v>
      </c>
    </row>
    <row r="110" spans="1:26" x14ac:dyDescent="0.3">
      <c r="A110" t="s">
        <v>1010</v>
      </c>
      <c r="B110" s="5" t="str">
        <f t="shared" si="15"/>
        <v>00:18:41.800</v>
      </c>
      <c r="C110" t="str">
        <f t="shared" si="16"/>
        <v>同时，由于P=C⊕F，P也可以写成这个递推公式，从而无需B，C或F，在O(n)的时间内，由P的递推公式直接推得。</v>
      </c>
      <c r="D110">
        <f t="shared" ca="1" si="21"/>
        <v>313</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00:17:11.200</v>
      </c>
      <c r="P110" s="1" t="str">
        <f ca="1">OFFSET(srt!$G$1,D112-2,0)</f>
        <v>00:17:22.400</v>
      </c>
      <c r="Q110">
        <v>185</v>
      </c>
      <c r="R110" s="1">
        <f ca="1">OFFSET(sil!$D$1,sub!Q110-1,0)</f>
        <v>1.1936840277777779E-2</v>
      </c>
      <c r="S110" s="5">
        <f t="shared" ca="1" si="18"/>
        <v>1.1934525462962964E-2</v>
      </c>
      <c r="T110">
        <f t="shared" ca="1" si="19"/>
        <v>-5.6999999999923778E-2</v>
      </c>
      <c r="U110" s="2">
        <f t="shared" ca="1" si="11"/>
        <v>1.8518518518516672E-5</v>
      </c>
      <c r="V110" s="2">
        <f t="shared" si="12"/>
        <v>1.5277777777777946E-4</v>
      </c>
      <c r="W110" s="2">
        <f t="shared" ca="1" si="13"/>
        <v>1.4814814814814725E-4</v>
      </c>
      <c r="X110" s="2">
        <f t="shared" ca="1" si="20"/>
        <v>1.481597222222214E-4</v>
      </c>
      <c r="Y110" s="7">
        <f t="shared" ca="1" si="14"/>
        <v>-0.39900000000021585</v>
      </c>
      <c r="Z110" s="4" t="s">
        <v>884</v>
      </c>
    </row>
    <row r="111" spans="1:26" x14ac:dyDescent="0.3">
      <c r="A111" t="s">
        <v>1011</v>
      </c>
      <c r="B111" s="5" t="str">
        <f t="shared" si="15"/>
        <v>00:18:55.000</v>
      </c>
      <c r="C111" t="str">
        <f t="shared" si="16"/>
        <v>由于这个证明较长，因此这里就不展示出来了。有兴趣的小伙伴可以从C和F的递推公式自行证明。</v>
      </c>
      <c r="D111">
        <f t="shared" ca="1" si="21"/>
        <v>318</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00:17:24.000</v>
      </c>
      <c r="P111" s="1" t="str">
        <f ca="1">OFFSET(srt!$G$1,D113-2,0)</f>
        <v>00:17:34.040</v>
      </c>
      <c r="Q111">
        <v>187</v>
      </c>
      <c r="R111" s="1">
        <f ca="1">OFFSET(sil!$D$1,sub!Q111-1,0)</f>
        <v>1.2085E-2</v>
      </c>
      <c r="S111" s="5">
        <f t="shared" ca="1" si="18"/>
        <v>1.2082685185185186E-2</v>
      </c>
      <c r="T111">
        <f t="shared" ca="1" si="19"/>
        <v>-5.5999999999917227E-2</v>
      </c>
      <c r="U111" s="2">
        <f t="shared" ca="1" si="11"/>
        <v>0</v>
      </c>
      <c r="V111" s="2">
        <f t="shared" si="12"/>
        <v>1.1921296296296159E-4</v>
      </c>
      <c r="W111" s="2">
        <f t="shared" ca="1" si="13"/>
        <v>1.1620370370370343E-4</v>
      </c>
      <c r="X111" s="2">
        <f t="shared" ca="1" si="20"/>
        <v>1.1548611111111134E-4</v>
      </c>
      <c r="Y111" s="7">
        <f t="shared" ca="1" si="14"/>
        <v>-0.32199999999986129</v>
      </c>
      <c r="Z111" s="4" t="s">
        <v>378</v>
      </c>
    </row>
    <row r="112" spans="1:26" x14ac:dyDescent="0.3">
      <c r="A112" t="s">
        <v>1012</v>
      </c>
      <c r="B112" s="5" t="str">
        <f t="shared" si="15"/>
        <v>00:19:05.300</v>
      </c>
      <c r="C112" t="str">
        <f t="shared" si="16"/>
        <v>现在，我们已用多种方法求得了p，并将原始问题转化为了p(H)x=y，可这又有什么用呢？</v>
      </c>
      <c r="D112">
        <f t="shared" ca="1" si="21"/>
        <v>322</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00:17:34.040</v>
      </c>
      <c r="P112" s="1" t="str">
        <f ca="1">OFFSET(srt!$G$1,D114-2,0)</f>
        <v>00:17:41.520</v>
      </c>
      <c r="Q112">
        <v>189</v>
      </c>
      <c r="R112" s="1">
        <f ca="1">OFFSET(sil!$D$1,sub!Q112-1,0)</f>
        <v>1.2200486111111112E-2</v>
      </c>
      <c r="S112" s="5">
        <f t="shared" ca="1" si="18"/>
        <v>1.2198171296296297E-2</v>
      </c>
      <c r="T112">
        <f t="shared" ca="1" si="19"/>
        <v>-0.11799999999987376</v>
      </c>
      <c r="U112" s="2">
        <f t="shared" ca="1" si="11"/>
        <v>1.7592592592593354E-5</v>
      </c>
      <c r="V112" s="2">
        <f t="shared" si="12"/>
        <v>1.4930555555555704E-4</v>
      </c>
      <c r="W112" s="2">
        <f t="shared" ca="1" si="13"/>
        <v>1.0416666666666734E-4</v>
      </c>
      <c r="X112" s="2">
        <f t="shared" ca="1" si="20"/>
        <v>1.0355324074073913E-4</v>
      </c>
      <c r="Y112" s="7">
        <f t="shared" ca="1" si="14"/>
        <v>-3.9530000000002676</v>
      </c>
      <c r="Z112" s="4" t="s">
        <v>379</v>
      </c>
    </row>
    <row r="113" spans="1:26" s="8" customFormat="1" x14ac:dyDescent="0.3">
      <c r="A113" s="8" t="s">
        <v>1013</v>
      </c>
      <c r="B113" s="5" t="str">
        <f t="shared" si="15"/>
        <v>00:19:18.200</v>
      </c>
      <c r="C113" s="8" t="str">
        <f t="shared" si="16"/>
        <v>试想一下，如果有一个多项式q(x)，满足q(x)p(x)=1 mod f(x)。这里的f(x)就是前面提到的多项式f(n,x)。</v>
      </c>
      <c r="D113" s="8">
        <f t="shared" ca="1" si="21"/>
        <v>325</v>
      </c>
      <c r="E113" s="8">
        <f t="shared" ca="1" si="17"/>
        <v>3</v>
      </c>
      <c r="F113" s="8" t="str">
        <f ca="1">OFFSET(srt!$C$1,D114-1,0)</f>
        <v>试想一下，</v>
      </c>
      <c r="G113" s="8">
        <f ca="1">PrefixLenNorm($C113,OFFSET(srt!$C$1,$D113+COLUMN()-7,0))</f>
        <v>0</v>
      </c>
      <c r="H113" s="8">
        <f ca="1">PrefixLenNorm($C113,OFFSET(srt!$C$1,$D113+COLUMN()-7,0))</f>
        <v>0</v>
      </c>
      <c r="I113" s="8">
        <f ca="1">PrefixLenNorm($C113,OFFSET(srt!$C$1,$D113+COLUMN()-7,0))</f>
        <v>4</v>
      </c>
      <c r="J113" s="8">
        <f ca="1">PrefixLenNorm($C113,OFFSET(srt!$C$1,$D113+COLUMN()-7,0))</f>
        <v>0</v>
      </c>
      <c r="K113" s="8">
        <f ca="1">PrefixLenNorm($C113,OFFSET(srt!$C$1,$D113+COLUMN()-7,0))</f>
        <v>0</v>
      </c>
      <c r="L113" s="8">
        <f ca="1">PrefixLenNorm($C113,OFFSET(srt!$C$1,$D113+COLUMN()-7,0))</f>
        <v>0</v>
      </c>
      <c r="M113" s="8">
        <f ca="1">PrefixLenNorm($C113,OFFSET(srt!$C$1,$D113+COLUMN()-7,0))</f>
        <v>0</v>
      </c>
      <c r="N113" s="8">
        <f ca="1">PrefixLenNorm($C113,OFFSET(srt!$C$1,$D113+COLUMN()-7,0))</f>
        <v>0</v>
      </c>
      <c r="O113" s="5" t="str">
        <f ca="1">OFFSET(srt!$F$1,D114-1,0)</f>
        <v>00:17:43.040</v>
      </c>
      <c r="P113" s="5" t="str">
        <f ca="1">OFFSET(srt!$G$1,D115-2,0)</f>
        <v>00:17:55.000</v>
      </c>
      <c r="Q113" s="8">
        <v>190</v>
      </c>
      <c r="R113" s="5">
        <f ca="1">OFFSET(sil!$D$1,sub!Q113-1,0)</f>
        <v>1.2304039351851851E-2</v>
      </c>
      <c r="S113" s="5">
        <f t="shared" ca="1" si="18"/>
        <v>1.2301724537037036E-2</v>
      </c>
      <c r="T113" s="8">
        <f t="shared" ca="1" si="19"/>
        <v>-0.1710000000000711</v>
      </c>
      <c r="U113" s="15">
        <f t="shared" ca="1" si="11"/>
        <v>0</v>
      </c>
      <c r="V113" s="15">
        <f t="shared" si="12"/>
        <v>1.3888888888888805E-4</v>
      </c>
      <c r="W113" s="15">
        <f t="shared" ca="1" si="13"/>
        <v>1.3842592592592552E-4</v>
      </c>
      <c r="X113" s="15">
        <f t="shared" ca="1" si="20"/>
        <v>1.3900462962962955E-4</v>
      </c>
      <c r="Y113" s="7">
        <f t="shared" ca="1" si="14"/>
        <v>1.0000000000065512E-2</v>
      </c>
      <c r="Z113" s="8" t="s">
        <v>380</v>
      </c>
    </row>
    <row r="114" spans="1:26" x14ac:dyDescent="0.3">
      <c r="A114" t="s">
        <v>1014</v>
      </c>
      <c r="B114" s="5" t="str">
        <f t="shared" si="15"/>
        <v>00:19:30.200</v>
      </c>
      <c r="C114" t="str">
        <f t="shared" si="16"/>
        <v>那么，将式子两边同时乘以q(H)，便有：x=q(H)y。这样，我们就能立即求出x。</v>
      </c>
      <c r="D114">
        <f t="shared" ca="1" si="21"/>
        <v>328</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00:17:55.000</v>
      </c>
      <c r="P114" s="1" t="str">
        <f ca="1">OFFSET(srt!$G$1,D116-2,0)</f>
        <v>00:18:03.000</v>
      </c>
      <c r="Q114">
        <v>192</v>
      </c>
      <c r="R114" s="1">
        <f ca="1">OFFSET(sil!$D$1,sub!Q114-1,0)</f>
        <v>1.244304398148148E-2</v>
      </c>
      <c r="S114" s="5">
        <f t="shared" ca="1" si="18"/>
        <v>1.2440729166666666E-2</v>
      </c>
      <c r="T114">
        <f t="shared" ca="1" si="19"/>
        <v>-0.1210000000000433</v>
      </c>
      <c r="U114" s="2">
        <f t="shared" ca="1" si="11"/>
        <v>1.7129629629630827E-5</v>
      </c>
      <c r="V114" s="2">
        <f t="shared" si="12"/>
        <v>1.2769675925925796E-4</v>
      </c>
      <c r="W114" s="2">
        <f t="shared" ca="1" si="13"/>
        <v>1.0972222222222286E-4</v>
      </c>
      <c r="X114" s="2">
        <f t="shared" ca="1" si="20"/>
        <v>1.1021990740740957E-4</v>
      </c>
      <c r="Y114" s="7">
        <f t="shared" ca="1" si="14"/>
        <v>-1.5099999999997005</v>
      </c>
      <c r="Z114" s="4" t="s">
        <v>381</v>
      </c>
    </row>
    <row r="115" spans="1:26" x14ac:dyDescent="0.3">
      <c r="A115" t="s">
        <v>1015</v>
      </c>
      <c r="B115" s="5" t="str">
        <f t="shared" si="15"/>
        <v>00:19:41.233</v>
      </c>
      <c r="C115" t="str">
        <f t="shared" si="16"/>
        <v>我们把这样的多项式q(x)称之为p(x)的逆多项式。那么，如何求出逆多项式q(x)呢？</v>
      </c>
      <c r="D115">
        <f t="shared" ca="1" si="21"/>
        <v>331</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00:18:04.480</v>
      </c>
      <c r="P115" s="1" t="str">
        <f ca="1">OFFSET(srt!$G$1,D117-2,0)</f>
        <v>00:18:12.320</v>
      </c>
      <c r="Q115">
        <v>194</v>
      </c>
      <c r="R115" s="1">
        <f ca="1">OFFSET(sil!$D$1,sub!Q115-1,0)</f>
        <v>1.255326388888889E-2</v>
      </c>
      <c r="S115" s="5">
        <f t="shared" ca="1" si="18"/>
        <v>1.2550949074074075E-2</v>
      </c>
      <c r="T115">
        <f t="shared" ca="1" si="19"/>
        <v>-7.7999999999911473E-2</v>
      </c>
      <c r="U115" s="2">
        <f t="shared" ca="1" si="11"/>
        <v>1.5740740740741513E-5</v>
      </c>
      <c r="V115" s="2">
        <f t="shared" si="12"/>
        <v>1.068750000000028E-4</v>
      </c>
      <c r="W115" s="2">
        <f t="shared" ca="1" si="13"/>
        <v>1.064814814814817E-4</v>
      </c>
      <c r="X115" s="2">
        <f t="shared" ca="1" si="20"/>
        <v>1.0729166666666699E-4</v>
      </c>
      <c r="Y115" s="7">
        <f t="shared" ca="1" si="14"/>
        <v>3.5999999999786203E-2</v>
      </c>
      <c r="Z115" s="4" t="s">
        <v>382</v>
      </c>
    </row>
    <row r="116" spans="1:26" x14ac:dyDescent="0.3">
      <c r="A116" t="s">
        <v>1016</v>
      </c>
      <c r="B116" s="5" t="str">
        <f t="shared" si="15"/>
        <v>00:19:50.467</v>
      </c>
      <c r="C116" t="str">
        <f t="shared" si="16"/>
        <v>我们可以使用扩展欧几里得算法，通过f(x)和p(x)来求q(x)。</v>
      </c>
      <c r="D116">
        <f t="shared" ca="1" si="21"/>
        <v>333</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00:18:13.680</v>
      </c>
      <c r="P116" s="1" t="str">
        <f ca="1">OFFSET(srt!$G$1,D118-2,0)</f>
        <v>00:18:19.360</v>
      </c>
      <c r="Q116">
        <v>196</v>
      </c>
      <c r="R116" s="1">
        <f ca="1">OFFSET(sil!$D$1,sub!Q116-1,0)</f>
        <v>1.2660555555555557E-2</v>
      </c>
      <c r="S116" s="5">
        <f t="shared" ca="1" si="18"/>
        <v>1.2658240740740742E-2</v>
      </c>
      <c r="T116">
        <f t="shared" ca="1" si="19"/>
        <v>-7.9999999999025295E-3</v>
      </c>
      <c r="U116" s="2">
        <f t="shared" ca="1" si="11"/>
        <v>1.9444444444445194E-5</v>
      </c>
      <c r="V116" s="2">
        <f t="shared" si="12"/>
        <v>8.912037037036788E-5</v>
      </c>
      <c r="W116" s="2">
        <f t="shared" ca="1" si="13"/>
        <v>8.518518518518467E-5</v>
      </c>
      <c r="X116" s="2">
        <f t="shared" ca="1" si="20"/>
        <v>8.4282407407406182E-5</v>
      </c>
      <c r="Y116" s="7">
        <f t="shared" ca="1" si="14"/>
        <v>-0.41799999999989068</v>
      </c>
      <c r="Z116" s="4" t="s">
        <v>885</v>
      </c>
    </row>
    <row r="117" spans="1:26" x14ac:dyDescent="0.3">
      <c r="A117" t="s">
        <v>1017</v>
      </c>
      <c r="B117" s="5" t="str">
        <f t="shared" si="15"/>
        <v>00:19:58.167</v>
      </c>
      <c r="C117" t="str">
        <f t="shared" si="16"/>
        <v>这里，我们同时定义一个零多项式o(x)和单位多项式e(x)，在对f(x)和p(x)操作的同时，对o(x)和e(x)做相同的操作。</v>
      </c>
      <c r="D117">
        <f t="shared" ca="1" si="21"/>
        <v>335</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00:18:21.040</v>
      </c>
      <c r="P117" s="1" t="str">
        <f ca="1">OFFSET(srt!$G$1,D119-2,0)</f>
        <v>00:18:33.560</v>
      </c>
      <c r="Q117">
        <v>197</v>
      </c>
      <c r="R117" s="1">
        <f ca="1">OFFSET(sil!$D$1,sub!Q117-1,0)</f>
        <v>1.2744837962962963E-2</v>
      </c>
      <c r="S117" s="5">
        <f t="shared" ca="1" si="18"/>
        <v>1.2742523148148149E-2</v>
      </c>
      <c r="T117">
        <f t="shared" ca="1" si="19"/>
        <v>-8.5999999999963883E-2</v>
      </c>
      <c r="U117" s="2">
        <f t="shared" ca="1" si="11"/>
        <v>0</v>
      </c>
      <c r="V117" s="2">
        <f t="shared" si="12"/>
        <v>1.4583333333333462E-4</v>
      </c>
      <c r="W117" s="2">
        <f t="shared" ca="1" si="13"/>
        <v>1.449074074074061E-4</v>
      </c>
      <c r="X117" s="2">
        <f t="shared" ca="1" si="20"/>
        <v>1.4438657407407282E-4</v>
      </c>
      <c r="Y117" s="7">
        <f t="shared" ca="1" si="14"/>
        <v>-0.12500000000021938</v>
      </c>
      <c r="Z117" s="4" t="s">
        <v>383</v>
      </c>
    </row>
    <row r="118" spans="1:26" x14ac:dyDescent="0.3">
      <c r="A118" t="s">
        <v>1018</v>
      </c>
      <c r="B118" s="5" t="str">
        <f t="shared" si="15"/>
        <v>00:20:10.767</v>
      </c>
      <c r="C118" t="str">
        <f t="shared" si="16"/>
        <v>类似矩阵求逆，我们的目标是：将f(x)变为零多项式，p(x)变为单位多项式。</v>
      </c>
      <c r="D118">
        <f t="shared" ca="1" si="21"/>
        <v>337</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00:18:33.560</v>
      </c>
      <c r="P118" s="1" t="str">
        <f ca="1">OFFSET(srt!$G$1,D120-2,0)</f>
        <v>00:18:40.360</v>
      </c>
      <c r="Q118">
        <v>198</v>
      </c>
      <c r="R118" s="1">
        <f ca="1">OFFSET(sil!$D$1,sub!Q118-1,0)</f>
        <v>1.2889224537037036E-2</v>
      </c>
      <c r="S118" s="5">
        <f t="shared" ca="1" si="18"/>
        <v>1.2886909722222221E-2</v>
      </c>
      <c r="T118">
        <f t="shared" ca="1" si="19"/>
        <v>-0.13099999999995893</v>
      </c>
      <c r="U118" s="2">
        <f t="shared" ca="1" si="11"/>
        <v>1.7592592592595088E-5</v>
      </c>
      <c r="V118" s="2">
        <f t="shared" si="12"/>
        <v>9.9537037037036868E-5</v>
      </c>
      <c r="W118" s="2">
        <f t="shared" ca="1" si="13"/>
        <v>9.6296296296299183E-5</v>
      </c>
      <c r="X118" s="2">
        <f t="shared" ca="1" si="20"/>
        <v>9.6377314814814763E-5</v>
      </c>
      <c r="Y118" s="7">
        <f t="shared" ca="1" si="14"/>
        <v>-0.27299999999998992</v>
      </c>
      <c r="Z118" s="4" t="s">
        <v>384</v>
      </c>
    </row>
    <row r="119" spans="1:26" x14ac:dyDescent="0.3">
      <c r="A119" t="s">
        <v>1019</v>
      </c>
      <c r="B119" s="5" t="str">
        <f t="shared" si="15"/>
        <v>00:20:19.367</v>
      </c>
      <c r="C119" t="str">
        <f t="shared" si="16"/>
        <v>我们使用辗转相减法，将p(x)右移，使其最高次项和f(x)对齐，然后叠加到f(x)上，从而消去f(x)的最高次项。</v>
      </c>
      <c r="D119">
        <f t="shared" ca="1" si="21"/>
        <v>340</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00:18:41.880</v>
      </c>
      <c r="P119" s="1" t="str">
        <f ca="1">OFFSET(srt!$G$1,D121-2,0)</f>
        <v>00:18:53.680</v>
      </c>
      <c r="Q119">
        <v>200</v>
      </c>
      <c r="R119" s="1">
        <f ca="1">OFFSET(sil!$D$1,sub!Q119-1,0)</f>
        <v>1.2985601851851851E-2</v>
      </c>
      <c r="S119" s="5">
        <f t="shared" ca="1" si="18"/>
        <v>1.2983287037037036E-2</v>
      </c>
      <c r="T119">
        <f t="shared" ca="1" si="19"/>
        <v>-0.12400000000021283</v>
      </c>
      <c r="U119" s="2">
        <f t="shared" ca="1" si="11"/>
        <v>0</v>
      </c>
      <c r="V119" s="2">
        <f t="shared" si="12"/>
        <v>1.4583333333333462E-4</v>
      </c>
      <c r="W119" s="2">
        <f t="shared" ca="1" si="13"/>
        <v>1.3657407407407368E-4</v>
      </c>
      <c r="X119" s="2">
        <f t="shared" ca="1" si="20"/>
        <v>1.3662037037037202E-4</v>
      </c>
      <c r="Y119" s="7">
        <f t="shared" ca="1" si="14"/>
        <v>-0.79599999999996895</v>
      </c>
      <c r="Z119" s="4" t="s">
        <v>385</v>
      </c>
    </row>
    <row r="120" spans="1:26" x14ac:dyDescent="0.3">
      <c r="A120" t="s">
        <v>1020</v>
      </c>
      <c r="B120" s="5" t="str">
        <f t="shared" si="15"/>
        <v>00:20:31.967</v>
      </c>
      <c r="C120" t="str">
        <f t="shared" si="16"/>
        <v>叠加后，如果f(x)的最高次数仍旧大于等于p(x)，则继续右移p(x)并叠加到f(x)上。</v>
      </c>
      <c r="D120">
        <f t="shared" ca="1" si="21"/>
        <v>342</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00:18:53.680</v>
      </c>
      <c r="P120" s="1" t="str">
        <f ca="1">OFFSET(srt!$G$1,D122-2,0)</f>
        <v>00:19:02.920</v>
      </c>
      <c r="Q120">
        <v>201</v>
      </c>
      <c r="R120" s="1">
        <f ca="1">OFFSET(sil!$D$1,sub!Q120-1,0)</f>
        <v>1.3122222222222223E-2</v>
      </c>
      <c r="S120" s="5">
        <f t="shared" ca="1" si="18"/>
        <v>1.3119907407407408E-2</v>
      </c>
      <c r="T120">
        <f t="shared" ca="1" si="19"/>
        <v>-0.12000000000003674</v>
      </c>
      <c r="U120" s="2">
        <f t="shared" ca="1" si="11"/>
        <v>0</v>
      </c>
      <c r="V120" s="2">
        <f t="shared" si="12"/>
        <v>1.1111111111111044E-4</v>
      </c>
      <c r="W120" s="2">
        <f t="shared" ca="1" si="13"/>
        <v>1.0694444444444423E-4</v>
      </c>
      <c r="X120" s="2">
        <f t="shared" ca="1" si="20"/>
        <v>1.0702546296296328E-4</v>
      </c>
      <c r="Y120" s="7">
        <f t="shared" ca="1" si="14"/>
        <v>-0.35299999999991449</v>
      </c>
      <c r="Z120" s="4" t="s">
        <v>386</v>
      </c>
    </row>
    <row r="121" spans="1:26" x14ac:dyDescent="0.3">
      <c r="A121" t="s">
        <v>1021</v>
      </c>
      <c r="B121" s="5" t="str">
        <f t="shared" si="15"/>
        <v>00:20:41.567</v>
      </c>
      <c r="C121" t="str">
        <f t="shared" si="16"/>
        <v>否则，当f(x)的最高次数小于p(x)时，将p(x)和f(x)互换，使得f(x)的最高次数始终大于或等于p(x)，让叠加操作可以继续下去。</v>
      </c>
      <c r="D121">
        <f t="shared" ca="1" si="21"/>
        <v>346</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00:19:02.920</v>
      </c>
      <c r="P121" s="1" t="str">
        <f ca="1">OFFSET(srt!$G$1,D123-2,0)</f>
        <v>00:19:16.400</v>
      </c>
      <c r="Q121">
        <v>202</v>
      </c>
      <c r="R121" s="1">
        <f ca="1">OFFSET(sil!$D$1,sub!Q121-1,0)</f>
        <v>1.3229247685185186E-2</v>
      </c>
      <c r="S121" s="5">
        <f t="shared" ca="1" si="18"/>
        <v>1.3226932870370372E-2</v>
      </c>
      <c r="T121">
        <f t="shared" ca="1" si="19"/>
        <v>-0.11299999999999089</v>
      </c>
      <c r="U121" s="2">
        <f t="shared" ca="1" si="11"/>
        <v>0</v>
      </c>
      <c r="V121" s="2">
        <f t="shared" si="12"/>
        <v>1.5740740740740645E-4</v>
      </c>
      <c r="W121" s="2">
        <f t="shared" ca="1" si="13"/>
        <v>1.5601851851851888E-4</v>
      </c>
      <c r="X121" s="2">
        <f t="shared" ca="1" si="20"/>
        <v>1.5664351851851777E-4</v>
      </c>
      <c r="Y121" s="7">
        <f t="shared" ca="1" si="14"/>
        <v>-6.5999999999982739E-2</v>
      </c>
      <c r="Z121" s="4" t="s">
        <v>387</v>
      </c>
    </row>
    <row r="122" spans="1:26" x14ac:dyDescent="0.3">
      <c r="A122" t="s">
        <v>1022</v>
      </c>
      <c r="B122" s="5" t="str">
        <f t="shared" si="15"/>
        <v>00:20:55.167</v>
      </c>
      <c r="C122" t="str">
        <f t="shared" si="16"/>
        <v>重复这样的操作，直到f(x)最终被叠加为零。</v>
      </c>
      <c r="D122">
        <f t="shared" ca="1" si="21"/>
        <v>349</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00:19:16.400</v>
      </c>
      <c r="P122" s="1" t="str">
        <f ca="1">OFFSET(srt!$G$1,D124-2,0)</f>
        <v>00:19:20.200</v>
      </c>
      <c r="Q122">
        <v>203</v>
      </c>
      <c r="R122" s="1">
        <f ca="1">OFFSET(sil!$D$1,sub!Q122-1,0)</f>
        <v>1.3385891203703704E-2</v>
      </c>
      <c r="S122" s="5">
        <f t="shared" ca="1" si="18"/>
        <v>1.3383576388888889E-2</v>
      </c>
      <c r="T122">
        <f t="shared" ca="1" si="19"/>
        <v>-5.9000000000086761E-2</v>
      </c>
      <c r="U122" s="2">
        <f t="shared" ca="1" si="11"/>
        <v>1.7129629629630827E-5</v>
      </c>
      <c r="V122" s="2">
        <f t="shared" si="12"/>
        <v>9.3750000000000083E-5</v>
      </c>
      <c r="W122" s="2">
        <f t="shared" ca="1" si="13"/>
        <v>6.1111111111110741E-5</v>
      </c>
      <c r="X122" s="2">
        <f t="shared" ca="1" si="20"/>
        <v>6.0960648148148527E-5</v>
      </c>
      <c r="Y122" s="7">
        <f t="shared" ca="1" si="14"/>
        <v>-2.8329999999999744</v>
      </c>
      <c r="Z122" s="4" t="s">
        <v>388</v>
      </c>
    </row>
    <row r="123" spans="1:26" s="8" customFormat="1" x14ac:dyDescent="0.3">
      <c r="A123" s="8" t="s">
        <v>1023</v>
      </c>
      <c r="B123" s="5" t="str">
        <f t="shared" si="15"/>
        <v>00:21:03.267</v>
      </c>
      <c r="C123" s="8" t="str">
        <f t="shared" si="16"/>
        <v>最后，剩下的p(x)为两个多项式的最大公因子，记为g(x)，同时，剩下的e(x)为p(x)的逆，也就是q(x)。</v>
      </c>
      <c r="D123" s="8">
        <f t="shared" ca="1" si="21"/>
        <v>354</v>
      </c>
      <c r="E123" s="8">
        <f t="shared" ca="1" si="17"/>
        <v>2</v>
      </c>
      <c r="F123" s="8" t="str">
        <f ca="1">OFFSET(srt!$C$1,D124-1,0)</f>
        <v>最后剩下的PX为两个多项式的最大公因子，</v>
      </c>
      <c r="G123" s="8">
        <f ca="1">PrefixLenNorm($C123,OFFSET(srt!$C$1,$D123+COLUMN()-7,0))</f>
        <v>0</v>
      </c>
      <c r="H123" s="8">
        <f ca="1">PrefixLenNorm($C123,OFFSET(srt!$C$1,$D123+COLUMN()-7,0))</f>
        <v>19</v>
      </c>
      <c r="I123" s="8">
        <f ca="1">PrefixLenNorm($C123,OFFSET(srt!$C$1,$D123+COLUMN()-7,0))</f>
        <v>0</v>
      </c>
      <c r="J123" s="8">
        <f ca="1">PrefixLenNorm($C123,OFFSET(srt!$C$1,$D123+COLUMN()-7,0))</f>
        <v>0</v>
      </c>
      <c r="K123" s="8">
        <f ca="1">PrefixLenNorm($C123,OFFSET(srt!$C$1,$D123+COLUMN()-7,0))</f>
        <v>0</v>
      </c>
      <c r="L123" s="8">
        <f ca="1">PrefixLenNorm($C123,OFFSET(srt!$C$1,$D123+COLUMN()-7,0))</f>
        <v>0</v>
      </c>
      <c r="M123" s="8">
        <f ca="1">PrefixLenNorm($C123,OFFSET(srt!$C$1,$D123+COLUMN()-7,0))</f>
        <v>0</v>
      </c>
      <c r="N123" s="8">
        <f ca="1">PrefixLenNorm($C123,OFFSET(srt!$C$1,$D123+COLUMN()-7,0))</f>
        <v>0</v>
      </c>
      <c r="O123" s="5" t="str">
        <f ca="1">OFFSET(srt!$F$1,D124-1,0)</f>
        <v>00:19:21.680</v>
      </c>
      <c r="P123" s="5" t="str">
        <f ca="1">OFFSET(srt!$G$1,D125-2,0)</f>
        <v>00:19:31.360</v>
      </c>
      <c r="Q123" s="8">
        <v>204</v>
      </c>
      <c r="R123" s="5">
        <f ca="1">OFFSET(sil!$D$1,sub!Q123-1,0)</f>
        <v>1.3446851851851852E-2</v>
      </c>
      <c r="S123" s="5">
        <f t="shared" ca="1" si="18"/>
        <v>1.3444537037037038E-2</v>
      </c>
      <c r="T123" s="8">
        <f t="shared" ca="1" si="19"/>
        <v>-7.2000000000022046E-2</v>
      </c>
      <c r="U123" s="15">
        <f t="shared" ca="1" si="11"/>
        <v>1.6666666666666566E-5</v>
      </c>
      <c r="V123" s="15">
        <f t="shared" si="12"/>
        <v>1.35023148148148E-4</v>
      </c>
      <c r="W123" s="15">
        <f t="shared" ca="1" si="13"/>
        <v>1.2870370370370206E-4</v>
      </c>
      <c r="X123" s="15">
        <f t="shared" ca="1" si="20"/>
        <v>1.2907407407407485E-4</v>
      </c>
      <c r="Y123" s="7">
        <f t="shared" ca="1" si="14"/>
        <v>-0.51399999999992008</v>
      </c>
      <c r="Z123" s="8" t="s">
        <v>389</v>
      </c>
    </row>
    <row r="124" spans="1:26" x14ac:dyDescent="0.3">
      <c r="A124" t="s">
        <v>1024</v>
      </c>
      <c r="B124" s="5" t="str">
        <f t="shared" si="15"/>
        <v>00:21:14.933</v>
      </c>
      <c r="C124" t="str">
        <f t="shared" si="16"/>
        <v>我们将q(x)写成矩阵Q。注意，这里的矩阵Q不是前面的完整逆矩阵Q'，而是把多个q(x)拼接起来的结果。</v>
      </c>
      <c r="D124">
        <f t="shared" ca="1" si="21"/>
        <v>356</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00:19:32.800</v>
      </c>
      <c r="P124" s="1" t="str">
        <f ca="1">OFFSET(srt!$G$1,D126-2,0)</f>
        <v>00:19:43.800</v>
      </c>
      <c r="Q124">
        <v>205</v>
      </c>
      <c r="R124" s="1">
        <f ca="1">OFFSET(sil!$D$1,sub!Q124-1,0)</f>
        <v>1.3575925925925927E-2</v>
      </c>
      <c r="S124" s="5">
        <f t="shared" ca="1" si="18"/>
        <v>1.3573611111111113E-2</v>
      </c>
      <c r="T124">
        <f t="shared" ca="1" si="19"/>
        <v>-3.9999999999812408E-2</v>
      </c>
      <c r="U124" s="2">
        <f t="shared" ca="1" si="11"/>
        <v>0</v>
      </c>
      <c r="V124" s="2">
        <f t="shared" si="12"/>
        <v>1.3387731481481584E-4</v>
      </c>
      <c r="W124" s="2">
        <f t="shared" ca="1" si="13"/>
        <v>1.2731481481481448E-4</v>
      </c>
      <c r="X124" s="2">
        <f t="shared" ca="1" si="20"/>
        <v>1.2652777777777749E-4</v>
      </c>
      <c r="Y124" s="7">
        <f t="shared" ca="1" si="14"/>
        <v>-0.63500000000011325</v>
      </c>
      <c r="Z124" s="4" t="s">
        <v>886</v>
      </c>
    </row>
    <row r="125" spans="1:26" s="4" customFormat="1" x14ac:dyDescent="0.3">
      <c r="A125" s="4" t="s">
        <v>1025</v>
      </c>
      <c r="B125" s="5" t="str">
        <f t="shared" si="15"/>
        <v>00:21:26.500</v>
      </c>
      <c r="C125" s="4" t="str">
        <f t="shared" si="16"/>
        <v>现在，我们已求得q(x)，接着，我们可以根据q(H)y的定义，用这个式子来求x。</v>
      </c>
      <c r="D125" s="4">
        <f t="shared" ca="1" si="21"/>
        <v>360</v>
      </c>
      <c r="E125" s="4">
        <f t="shared" ca="1" si="17"/>
        <v>3</v>
      </c>
      <c r="F125" s="4" t="str">
        <f ca="1">OFFSET(srt!$C$1,D126-1,0)</f>
        <v>现在我们已求得QX，</v>
      </c>
      <c r="G125" s="4">
        <f ca="1">PrefixLenNorm($C125,OFFSET(srt!$C$1,$D125+COLUMN()-7,0))</f>
        <v>0</v>
      </c>
      <c r="H125" s="4">
        <f ca="1">PrefixLenNorm($C125,OFFSET(srt!$C$1,$D125+COLUMN()-7,0))</f>
        <v>0</v>
      </c>
      <c r="I125" s="4">
        <f ca="1">PrefixLenNorm($C125,OFFSET(srt!$C$1,$D125+COLUMN()-7,0))</f>
        <v>9</v>
      </c>
      <c r="J125" s="4">
        <f ca="1">PrefixLenNorm($C125,OFFSET(srt!$C$1,$D125+COLUMN()-7,0))</f>
        <v>0</v>
      </c>
      <c r="K125" s="4">
        <f ca="1">PrefixLenNorm($C125,OFFSET(srt!$C$1,$D125+COLUMN()-7,0))</f>
        <v>0</v>
      </c>
      <c r="L125" s="4">
        <f ca="1">PrefixLenNorm($C125,OFFSET(srt!$C$1,$D125+COLUMN()-7,0))</f>
        <v>0</v>
      </c>
      <c r="M125" s="4">
        <f ca="1">PrefixLenNorm($C125,OFFSET(srt!$C$1,$D125+COLUMN()-7,0))</f>
        <v>0</v>
      </c>
      <c r="N125" s="4">
        <f ca="1">PrefixLenNorm($C125,OFFSET(srt!$C$1,$D125+COLUMN()-7,0))</f>
        <v>0</v>
      </c>
      <c r="O125" s="5" t="str">
        <f ca="1">OFFSET(srt!$F$1,D126-1,0)</f>
        <v>00:19:43.800</v>
      </c>
      <c r="P125" s="13" t="str">
        <f ca="1">OFFSET(srt!$G$1,D127-2,0)</f>
        <v>00:19:50.480</v>
      </c>
      <c r="Q125" s="4">
        <v>207</v>
      </c>
      <c r="R125" s="13">
        <f ca="1">OFFSET(sil!$D$1,sub!Q125-1,0)</f>
        <v>1.3702453703703705E-2</v>
      </c>
      <c r="S125" s="5">
        <f t="shared" ca="1" si="18"/>
        <v>1.370013888888889E-2</v>
      </c>
      <c r="T125" s="4">
        <f t="shared" ca="1" si="19"/>
        <v>-0.10799999999980825</v>
      </c>
      <c r="U125" s="14">
        <f t="shared" ca="1" si="11"/>
        <v>1.7592592592591619E-5</v>
      </c>
      <c r="V125" s="14">
        <f t="shared" si="12"/>
        <v>1.0300925925925929E-4</v>
      </c>
      <c r="W125" s="14">
        <f t="shared" ca="1" si="13"/>
        <v>9.4907407407408134E-5</v>
      </c>
      <c r="X125" s="14">
        <f t="shared" ca="1" si="20"/>
        <v>9.4502314814814622E-5</v>
      </c>
      <c r="Y125" s="7">
        <f t="shared" ca="1" si="14"/>
        <v>-0.73500000000001897</v>
      </c>
      <c r="Z125" s="4" t="s">
        <v>390</v>
      </c>
    </row>
    <row r="126" spans="1:26" x14ac:dyDescent="0.3">
      <c r="A126" t="s">
        <v>1265</v>
      </c>
      <c r="B126" s="5" t="str">
        <f t="shared" si="15"/>
        <v>00:21:35.400</v>
      </c>
      <c r="C126" t="str">
        <f t="shared" si="16"/>
        <v>这里，我们将y不断乘以矩阵H进行左右扩散，再根据q(x)的值进行叠加，从而得到x。</v>
      </c>
      <c r="D126">
        <f t="shared" ca="1" si="21"/>
        <v>363</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00:19:52.000</v>
      </c>
      <c r="P126" s="1" t="str">
        <f ca="1">OFFSET(srt!$G$1,D128-2,0)</f>
        <v>00:19:59.920</v>
      </c>
      <c r="Q126">
        <v>208</v>
      </c>
      <c r="R126" s="1">
        <f ca="1">OFFSET(sil!$D$1,sub!Q126-1,0)</f>
        <v>1.3796956018518519E-2</v>
      </c>
      <c r="S126" s="5">
        <f t="shared" ca="1" si="18"/>
        <v>1.3794641203703705E-2</v>
      </c>
      <c r="T126">
        <f t="shared" ca="1" si="19"/>
        <v>-0.14299999999988766</v>
      </c>
      <c r="U126" s="2">
        <f t="shared" ca="1" si="11"/>
        <v>1.8518518518518406E-5</v>
      </c>
      <c r="V126" s="2">
        <f t="shared" si="12"/>
        <v>1.2769675925925796E-4</v>
      </c>
      <c r="W126" s="2">
        <f t="shared" ca="1" si="13"/>
        <v>1.1018518518518539E-4</v>
      </c>
      <c r="X126" s="2">
        <f t="shared" ca="1" si="20"/>
        <v>1.0976851851851772E-4</v>
      </c>
      <c r="Y126" s="7">
        <f t="shared" ca="1" si="14"/>
        <v>-1.548999999999956</v>
      </c>
      <c r="Z126" s="4" t="s">
        <v>391</v>
      </c>
    </row>
    <row r="127" spans="1:26" x14ac:dyDescent="0.3">
      <c r="A127" t="s">
        <v>1266</v>
      </c>
      <c r="B127" s="5" t="str">
        <f t="shared" si="15"/>
        <v>00:21:46.433</v>
      </c>
      <c r="C127" t="str">
        <f t="shared" si="16"/>
        <v>另一方面，由于q(H)就是B的逆矩阵Q'，并且可以证明Q'也满足十字偶校验约束。</v>
      </c>
      <c r="D127">
        <f t="shared" ca="1" si="21"/>
        <v>366</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00:20:01.520</v>
      </c>
      <c r="P127" s="1" t="str">
        <f ca="1">OFFSET(srt!$G$1,D129-2,0)</f>
        <v>00:20:10.120</v>
      </c>
      <c r="Q127">
        <v>209</v>
      </c>
      <c r="R127" s="1">
        <f ca="1">OFFSET(sil!$D$1,sub!Q127-1,0)</f>
        <v>1.3906724537037037E-2</v>
      </c>
      <c r="S127" s="5">
        <f t="shared" ca="1" si="18"/>
        <v>1.3904409722222223E-2</v>
      </c>
      <c r="T127">
        <f t="shared" ca="1" si="19"/>
        <v>-0.17899999999997362</v>
      </c>
      <c r="U127" s="2">
        <f t="shared" ca="1" si="11"/>
        <v>0</v>
      </c>
      <c r="V127" s="2">
        <f t="shared" si="12"/>
        <v>1.045601851851867E-4</v>
      </c>
      <c r="W127" s="2">
        <f t="shared" ca="1" si="13"/>
        <v>9.9537037037035134E-5</v>
      </c>
      <c r="X127" s="2">
        <f t="shared" ca="1" si="20"/>
        <v>1.0015046296296334E-4</v>
      </c>
      <c r="Y127" s="7">
        <f t="shared" ca="1" si="14"/>
        <v>-0.38100000000009793</v>
      </c>
      <c r="Z127" s="4" t="s">
        <v>392</v>
      </c>
    </row>
    <row r="128" spans="1:26" x14ac:dyDescent="0.3">
      <c r="A128" t="s">
        <v>1267</v>
      </c>
      <c r="B128" s="5" t="str">
        <f t="shared" si="15"/>
        <v>00:21:55.467</v>
      </c>
      <c r="C128" t="str">
        <f t="shared" si="16"/>
        <v>因此，我们也可以通过Kq求出逆矩阵Q'的第一行Q'(0)，再通过递推公式求得完整的Q'，最后再和y相乘求得x。</v>
      </c>
      <c r="D128">
        <f t="shared" ca="1" si="21"/>
        <v>369</v>
      </c>
      <c r="E128">
        <f t="shared" ca="1" si="17"/>
        <v>3</v>
      </c>
      <c r="F128" t="str">
        <f ca="1">OFFSET(srt!$C$1,D129-1,0)</f>
        <v>因此我们也可以通过KQ求出逆矩阵Q撇的第一行Q撇0，</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00:20:10.120</v>
      </c>
      <c r="P128" s="1" t="str">
        <f ca="1">OFFSET(srt!$G$1,D130-2,0)</f>
        <v>00:20:20.720</v>
      </c>
      <c r="Q128">
        <v>210</v>
      </c>
      <c r="R128" s="1">
        <f ca="1">OFFSET(sil!$D$1,sub!Q128-1,0)</f>
        <v>1.4006875E-2</v>
      </c>
      <c r="S128" s="5">
        <f t="shared" ca="1" si="18"/>
        <v>1.4004560185185186E-2</v>
      </c>
      <c r="T128">
        <f t="shared" ca="1" si="19"/>
        <v>-0.12599999999977629</v>
      </c>
      <c r="U128" s="2">
        <f t="shared" ca="1" si="11"/>
        <v>1.7592592592591619E-5</v>
      </c>
      <c r="V128" s="2">
        <f t="shared" si="12"/>
        <v>1.4274305555555394E-4</v>
      </c>
      <c r="W128" s="2">
        <f t="shared" ca="1" si="13"/>
        <v>1.402777777777791E-4</v>
      </c>
      <c r="X128" s="2">
        <f t="shared" ca="1" si="20"/>
        <v>1.401620370370376E-4</v>
      </c>
      <c r="Y128" s="7">
        <f t="shared" ca="1" si="14"/>
        <v>-0.22299999999981224</v>
      </c>
      <c r="Z128" s="4" t="s">
        <v>1260</v>
      </c>
    </row>
    <row r="129" spans="1:26" x14ac:dyDescent="0.3">
      <c r="A129" t="s">
        <v>1268</v>
      </c>
      <c r="B129" s="5" t="str">
        <f t="shared" si="15"/>
        <v>00:22:07.800</v>
      </c>
      <c r="C129" t="str">
        <f t="shared" si="16"/>
        <v>两种方法求得的x是相同的，有兴趣的小伙伴可以自行证明。</v>
      </c>
      <c r="D129">
        <f t="shared" ca="1" si="21"/>
        <v>372</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00:20:22.240</v>
      </c>
      <c r="P129" s="1" t="str">
        <f ca="1">OFFSET(srt!$G$1,D131-2,0)</f>
        <v>00:20:28.600</v>
      </c>
      <c r="Q129">
        <v>212</v>
      </c>
      <c r="R129" s="1">
        <f ca="1">OFFSET(sil!$D$1,sub!Q129-1,0)</f>
        <v>1.4147037037037038E-2</v>
      </c>
      <c r="S129" s="5">
        <f t="shared" ca="1" si="18"/>
        <v>1.4144722222222223E-2</v>
      </c>
      <c r="T129">
        <f t="shared" ca="1" si="19"/>
        <v>-0.1359999999998418</v>
      </c>
      <c r="U129" s="2">
        <f t="shared" ref="U129:U192" ca="1" si="22">O130-P129</f>
        <v>0</v>
      </c>
      <c r="V129" s="2">
        <f t="shared" ref="V129:V192" si="23">B130-B129</f>
        <v>7.6388888888889728E-5</v>
      </c>
      <c r="W129" s="2">
        <f t="shared" ref="W129:W192" ca="1" si="24">O130-O129</f>
        <v>7.3611111111111099E-5</v>
      </c>
      <c r="X129" s="2">
        <f t="shared" ca="1" si="20"/>
        <v>7.417824074073924E-5</v>
      </c>
      <c r="Y129" s="7">
        <f t="shared" ref="Y129:Y192" ca="1" si="25">(X129-V129)*86400</f>
        <v>-0.19100000000020212</v>
      </c>
      <c r="Z129" s="4" t="s">
        <v>393</v>
      </c>
    </row>
    <row r="130" spans="1:26" x14ac:dyDescent="0.3">
      <c r="A130" t="s">
        <v>1269</v>
      </c>
      <c r="B130" s="5" t="str">
        <f t="shared" ref="B130:B193" si="26">LEFT(A130,12)</f>
        <v>00:22:14.400</v>
      </c>
      <c r="C130" t="str">
        <f t="shared" ref="C130:C193" si="27">RIGHT(A130,LEN(A130)-13)</f>
        <v>不过，整个求解的过程中有一个问题，那就是我们假设满足q(x)p(x)=1 mod f(x)的多项式q(x)存在。</v>
      </c>
      <c r="D130">
        <f t="shared" ca="1" si="21"/>
        <v>375</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1</v>
      </c>
      <c r="O130" s="5" t="str">
        <f ca="1">OFFSET(srt!$F$1,D131-1,0)</f>
        <v>00:20:28.600</v>
      </c>
      <c r="P130" s="1" t="str">
        <f ca="1">OFFSET(srt!$G$1,D132-2,0)</f>
        <v>00:20:37.880</v>
      </c>
      <c r="Q130">
        <v>213</v>
      </c>
      <c r="R130" s="1">
        <f ca="1">OFFSET(sil!$D$1,sub!Q130-1,0)</f>
        <v>1.4221215277777777E-2</v>
      </c>
      <c r="S130" s="5">
        <f t="shared" ref="S130:S193" ca="1" si="29">R130-0.2/86400</f>
        <v>1.4218900462962963E-2</v>
      </c>
      <c r="T130">
        <f t="shared" ref="T130:T193" ca="1" si="30">(S130-O130)*86400</f>
        <v>-8.6999999999970434E-2</v>
      </c>
      <c r="U130" s="2">
        <f t="shared" ca="1" si="22"/>
        <v>1.7129629629627358E-5</v>
      </c>
      <c r="V130" s="2">
        <f t="shared" si="23"/>
        <v>1.2847222222222253E-4</v>
      </c>
      <c r="W130" s="2">
        <f t="shared" ca="1" si="24"/>
        <v>1.2453703703703585E-4</v>
      </c>
      <c r="X130" s="2">
        <f t="shared" ref="X130:X193" ca="1" si="31">S131-S130</f>
        <v>1.2445601851851854E-4</v>
      </c>
      <c r="Y130" s="7">
        <f t="shared" ca="1" si="25"/>
        <v>-0.34700000000002507</v>
      </c>
      <c r="Z130" s="4" t="s">
        <v>394</v>
      </c>
    </row>
    <row r="131" spans="1:26" x14ac:dyDescent="0.3">
      <c r="A131" t="s">
        <v>1270</v>
      </c>
      <c r="B131" s="5" t="str">
        <f t="shared" si="26"/>
        <v>00:22:25.500</v>
      </c>
      <c r="C131" t="str">
        <f t="shared" si="27"/>
        <v>如果这样的多项式q(x)不存在，我们又当如何呢？</v>
      </c>
      <c r="D131">
        <f t="shared" ref="D131:D194" ca="1" si="32">D130+IFERROR(E130,1)</f>
        <v>377</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00:20:39.360</v>
      </c>
      <c r="P131" s="1" t="str">
        <f ca="1">OFFSET(srt!$G$1,D133-2,0)</f>
        <v>00:20:43.200</v>
      </c>
      <c r="Q131">
        <v>214</v>
      </c>
      <c r="R131" s="1">
        <f ca="1">OFFSET(sil!$D$1,sub!Q131-1,0)</f>
        <v>1.4345671296296296E-2</v>
      </c>
      <c r="S131" s="5">
        <f t="shared" ca="1" si="29"/>
        <v>1.4343356481481481E-2</v>
      </c>
      <c r="T131">
        <f t="shared" ca="1" si="30"/>
        <v>-9.3999999999866413E-2</v>
      </c>
      <c r="U131" s="2">
        <f t="shared" ca="1" si="22"/>
        <v>1.6666666666668301E-5</v>
      </c>
      <c r="V131" s="2">
        <f t="shared" si="23"/>
        <v>1.1072916666666523E-4</v>
      </c>
      <c r="W131" s="2">
        <f t="shared" ca="1" si="24"/>
        <v>6.1111111111114211E-5</v>
      </c>
      <c r="X131" s="2">
        <f t="shared" ca="1" si="31"/>
        <v>6.1076388888888292E-5</v>
      </c>
      <c r="Y131" s="7">
        <f t="shared" ca="1" si="25"/>
        <v>-4.2899999999999272</v>
      </c>
      <c r="Z131" s="4" t="s">
        <v>395</v>
      </c>
    </row>
    <row r="132" spans="1:26" s="8" customFormat="1" x14ac:dyDescent="0.3">
      <c r="A132" s="8" t="s">
        <v>1271</v>
      </c>
      <c r="B132" s="5" t="str">
        <f t="shared" si="26"/>
        <v>00:22:35.067</v>
      </c>
      <c r="C132" s="8" t="str">
        <f t="shared" si="27"/>
        <v>在上集视频《解的数量》章节中，我们提到了公式r'(n)。</v>
      </c>
      <c r="D132" s="8">
        <f t="shared" ca="1" si="32"/>
        <v>379</v>
      </c>
      <c r="E132" s="8">
        <f t="shared" ca="1" si="28"/>
        <v>2</v>
      </c>
      <c r="F132" s="8" t="str">
        <f ca="1">OFFSET(srt!$C$1,D133-1,0)</f>
        <v>在上集视频解的数量章节中，</v>
      </c>
      <c r="G132" s="8">
        <f ca="1">PrefixLenNorm($C132,OFFSET(srt!$C$1,$D132+COLUMN()-7,0))</f>
        <v>0</v>
      </c>
      <c r="H132" s="8">
        <f ca="1">PrefixLenNorm($C132,OFFSET(srt!$C$1,$D132+COLUMN()-7,0))</f>
        <v>12</v>
      </c>
      <c r="I132" s="8">
        <f ca="1">PrefixLenNorm($C132,OFFSET(srt!$C$1,$D132+COLUMN()-7,0))</f>
        <v>0</v>
      </c>
      <c r="J132" s="8">
        <f ca="1">PrefixLenNorm($C132,OFFSET(srt!$C$1,$D132+COLUMN()-7,0))</f>
        <v>0</v>
      </c>
      <c r="K132" s="8">
        <f ca="1">PrefixLenNorm($C132,OFFSET(srt!$C$1,$D132+COLUMN()-7,0))</f>
        <v>0</v>
      </c>
      <c r="L132" s="8">
        <f ca="1">PrefixLenNorm($C132,OFFSET(srt!$C$1,$D132+COLUMN()-7,0))</f>
        <v>0</v>
      </c>
      <c r="M132" s="8">
        <f ca="1">PrefixLenNorm($C132,OFFSET(srt!$C$1,$D132+COLUMN()-7,0))</f>
        <v>0</v>
      </c>
      <c r="N132" s="8">
        <f ca="1">PrefixLenNorm($C132,OFFSET(srt!$C$1,$D132+COLUMN()-7,0))</f>
        <v>0</v>
      </c>
      <c r="O132" s="5" t="str">
        <f ca="1">OFFSET(srt!$F$1,D133-1,0)</f>
        <v>00:20:44.640</v>
      </c>
      <c r="P132" s="5" t="str">
        <f ca="1">OFFSET(srt!$G$1,D134-2,0)</f>
        <v>00:20:47.000</v>
      </c>
      <c r="Q132" s="8">
        <v>215</v>
      </c>
      <c r="R132" s="5">
        <f ca="1">OFFSET(sil!$D$1,sub!Q132-1,0)</f>
        <v>1.4406747685185184E-2</v>
      </c>
      <c r="S132" s="5">
        <f t="shared" ca="1" si="29"/>
        <v>1.440443287037037E-2</v>
      </c>
      <c r="T132" s="8">
        <f t="shared" ca="1" si="30"/>
        <v>-9.7000000000185826E-2</v>
      </c>
      <c r="U132" s="15">
        <f t="shared" ca="1" si="22"/>
        <v>0</v>
      </c>
      <c r="V132" s="15">
        <f t="shared" si="23"/>
        <v>7.4074074074077095E-5</v>
      </c>
      <c r="W132" s="15">
        <f t="shared" ca="1" si="24"/>
        <v>2.7314814814813348E-5</v>
      </c>
      <c r="X132" s="15">
        <f t="shared" ca="1" si="31"/>
        <v>7.0219907407407731E-5</v>
      </c>
      <c r="Y132" s="7">
        <f t="shared" ca="1" si="25"/>
        <v>-0.33300000000023311</v>
      </c>
      <c r="Z132" s="8" t="s">
        <v>396</v>
      </c>
    </row>
    <row r="133" spans="1:26" x14ac:dyDescent="0.3">
      <c r="A133" t="s">
        <v>1272</v>
      </c>
      <c r="B133" s="5" t="str">
        <f t="shared" si="26"/>
        <v>00:22:41.467</v>
      </c>
      <c r="C133" t="str">
        <f t="shared" si="27"/>
        <v>这里，gcd表示最大公因子。不难发现，这里的gcd(f,c)就是前面扩展欧几里得算法中的g。</v>
      </c>
      <c r="D133">
        <f t="shared" ca="1" si="32"/>
        <v>381</v>
      </c>
      <c r="E133">
        <v>1</v>
      </c>
      <c r="F133" t="str">
        <f ca="1">OFFSET(srt!$C$1,D134-1,0)</f>
        <v>我们提到了公式R撇N这里GCD表示最大公因子，</v>
      </c>
      <c r="G133">
        <f ca="1">PrefixLenNorm($C133,OFFSET(srt!$C$1,$D133+COLUMN()-7,0))</f>
        <v>0</v>
      </c>
      <c r="H133">
        <f ca="1">PrefixLenNorm($C133,OFFSET(srt!$C$1,$D133+COLUMN()-7,0))</f>
        <v>0</v>
      </c>
      <c r="I133">
        <f ca="1">PrefixLenNorm($C133,OFFSET(srt!$C$1,$D133+COLUMN()-7,0))</f>
        <v>0</v>
      </c>
      <c r="J133">
        <f ca="1">PrefixLenNorm($C133,OFFSET(srt!$C$1,$D133+COLUMN()-7,0))</f>
        <v>0</v>
      </c>
      <c r="K133">
        <f ca="1">PrefixLenNorm($C133,OFFSET(srt!$C$1,$D133+COLUMN()-7,0))</f>
        <v>0</v>
      </c>
      <c r="L133">
        <f ca="1">PrefixLenNorm($C133,OFFSET(srt!$C$1,$D133+COLUMN()-7,0))</f>
        <v>2</v>
      </c>
      <c r="M133">
        <f ca="1">PrefixLenNorm($C133,OFFSET(srt!$C$1,$D133+COLUMN()-7,0))</f>
        <v>0</v>
      </c>
      <c r="N133">
        <f ca="1">PrefixLenNorm($C133,OFFSET(srt!$C$1,$D133+COLUMN()-7,0))</f>
        <v>0</v>
      </c>
      <c r="O133" s="5" t="str">
        <f ca="1">OFFSET(srt!$F$1,D134-1,0)</f>
        <v>00:20:47.000</v>
      </c>
      <c r="P133" s="1" t="str">
        <f ca="1">OFFSET(srt!$G$1,D135-2,0)</f>
        <v>00:20:58.880</v>
      </c>
      <c r="Q133">
        <v>216</v>
      </c>
      <c r="R133" s="1">
        <f ca="1">OFFSET(sil!$D$1,sub!Q133-1,0)</f>
        <v>1.4476967592592592E-2</v>
      </c>
      <c r="S133" s="5">
        <f t="shared" ca="1" si="29"/>
        <v>1.4474652777777777E-2</v>
      </c>
      <c r="T133">
        <f t="shared" ca="1" si="30"/>
        <v>3.6099999999999688</v>
      </c>
      <c r="U133" s="2">
        <f t="shared" ca="1" si="22"/>
        <v>1.8518518518516672E-5</v>
      </c>
      <c r="V133" s="2">
        <f t="shared" si="23"/>
        <v>1.1226851851851502E-4</v>
      </c>
      <c r="W133" s="2">
        <f t="shared" ca="1" si="24"/>
        <v>1.5601851851851888E-4</v>
      </c>
      <c r="X133" s="2">
        <f t="shared" ca="1" si="31"/>
        <v>1.1203703703703896E-4</v>
      </c>
      <c r="Y133" s="7">
        <f t="shared" ca="1" si="25"/>
        <v>-1.9999999999531504E-2</v>
      </c>
      <c r="Z133" s="4" t="s">
        <v>397</v>
      </c>
    </row>
    <row r="134" spans="1:26" x14ac:dyDescent="0.3">
      <c r="A134" t="s">
        <v>1273</v>
      </c>
      <c r="B134" s="5" t="str">
        <f t="shared" si="26"/>
        <v>00:22:51.167</v>
      </c>
      <c r="C134" t="str">
        <f t="shared" si="27"/>
        <v>同时，由于F=C⊕P，因此gcd(f,c)和gcd(f,p)是相等的。</v>
      </c>
      <c r="D134">
        <f t="shared" ca="1" si="32"/>
        <v>382</v>
      </c>
      <c r="E134">
        <f t="shared" ca="1" si="2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00:21:00.480</v>
      </c>
      <c r="P134" s="1" t="str">
        <f ca="1">OFFSET(srt!$G$1,D136-2,0)</f>
        <v>00:21:06.720</v>
      </c>
      <c r="Q134">
        <v>218</v>
      </c>
      <c r="R134" s="1">
        <f ca="1">OFFSET(sil!$D$1,sub!Q134-1,0)</f>
        <v>1.4589004629629631E-2</v>
      </c>
      <c r="S134" s="5">
        <f t="shared" ca="1" si="29"/>
        <v>1.4586689814814816E-2</v>
      </c>
      <c r="T134">
        <f t="shared" ca="1" si="30"/>
        <v>-0.18999999999989581</v>
      </c>
      <c r="U134" s="2">
        <f t="shared" ca="1" si="22"/>
        <v>1.6666666666668301E-5</v>
      </c>
      <c r="V134" s="2">
        <f t="shared" si="23"/>
        <v>9.2592592592592032E-5</v>
      </c>
      <c r="W134" s="2">
        <f t="shared" ca="1" si="24"/>
        <v>8.8888888888890086E-5</v>
      </c>
      <c r="X134" s="2">
        <f t="shared" ca="1" si="31"/>
        <v>8.9583333333332141E-5</v>
      </c>
      <c r="Y134" s="7">
        <f t="shared" ca="1" si="25"/>
        <v>-0.26000000000005463</v>
      </c>
      <c r="Z134" s="4" t="s">
        <v>398</v>
      </c>
    </row>
    <row r="135" spans="1:26" x14ac:dyDescent="0.3">
      <c r="A135" t="s">
        <v>1274</v>
      </c>
      <c r="B135" s="5" t="str">
        <f t="shared" si="26"/>
        <v>00:22:59.167</v>
      </c>
      <c r="C135" t="str">
        <f t="shared" si="27"/>
        <v>这里，deg表示最高次数，r'是静默操作数，也就是n-r。r'的值决定了解的数量，即2ʳ'。</v>
      </c>
      <c r="D135">
        <f t="shared" ca="1" si="32"/>
        <v>384</v>
      </c>
      <c r="E135">
        <f t="shared" ca="1" si="28"/>
        <v>3</v>
      </c>
      <c r="F135" t="str">
        <f ca="1">OFFSET(srt!$C$1,D136-1,0)</f>
        <v>这里DEG表示最高次数R撇是静默操作数，</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00:21:08.160</v>
      </c>
      <c r="P135" s="1" t="str">
        <f ca="1">OFFSET(srt!$G$1,D137-2,0)</f>
        <v>00:21:19.600</v>
      </c>
      <c r="Q135">
        <v>219</v>
      </c>
      <c r="R135" s="1">
        <f ca="1">OFFSET(sil!$D$1,sub!Q135-1,0)</f>
        <v>1.4678587962962963E-2</v>
      </c>
      <c r="S135" s="5">
        <f t="shared" ca="1" si="29"/>
        <v>1.4676273148148148E-2</v>
      </c>
      <c r="T135">
        <f t="shared" ca="1" si="30"/>
        <v>-0.13000000000010226</v>
      </c>
      <c r="U135" s="2">
        <f t="shared" ca="1" si="22"/>
        <v>0</v>
      </c>
      <c r="V135" s="2">
        <f t="shared" si="23"/>
        <v>1.3888888888888978E-4</v>
      </c>
      <c r="W135" s="2">
        <f t="shared" ca="1" si="24"/>
        <v>1.3240740740740574E-4</v>
      </c>
      <c r="X135" s="2">
        <f t="shared" ca="1" si="31"/>
        <v>1.3209490740740716E-4</v>
      </c>
      <c r="Y135" s="7">
        <f t="shared" ca="1" si="25"/>
        <v>-0.58700000000009855</v>
      </c>
      <c r="Z135" s="4" t="s">
        <v>1341</v>
      </c>
    </row>
    <row r="136" spans="1:26" x14ac:dyDescent="0.3">
      <c r="A136" t="s">
        <v>1275</v>
      </c>
      <c r="B136" s="5" t="str">
        <f t="shared" si="26"/>
        <v>00:23:11.167</v>
      </c>
      <c r="C136" t="str">
        <f t="shared" si="27"/>
        <v>将g(x)写成矩阵的形式，记为G。</v>
      </c>
      <c r="D136">
        <f t="shared" ca="1" si="32"/>
        <v>387</v>
      </c>
      <c r="E136">
        <f t="shared" ca="1" si="28"/>
        <v>3</v>
      </c>
      <c r="F136" t="str">
        <f ca="1">OFFSET(srt!$C$1,D137-1,0)</f>
        <v>将GX写成矩阵的形式记为G。</v>
      </c>
      <c r="G136">
        <f ca="1">PrefixLenNorm($C136,OFFSET(srt!$C$1,$D136+COLUMN()-7,0))</f>
        <v>0</v>
      </c>
      <c r="H136">
        <f ca="1">PrefixLenNorm($C136,OFFSET(srt!$C$1,$D136+COLUMN()-7,0))</f>
        <v>0</v>
      </c>
      <c r="I136">
        <f ca="1">PrefixLenNorm($C136,OFFSET(srt!$C$1,$D136+COLUMN()-7,0))</f>
        <v>13</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00:21:19.600</v>
      </c>
      <c r="P136" s="1" t="str">
        <f ca="1">OFFSET(srt!$G$1,D138-2,0)</f>
        <v>00:21:22.640</v>
      </c>
      <c r="Q136">
        <v>221</v>
      </c>
      <c r="R136" s="1">
        <f ca="1">OFFSET(sil!$D$1,sub!Q136-1,0)</f>
        <v>1.481068287037037E-2</v>
      </c>
      <c r="S136" s="5">
        <f t="shared" ca="1" si="29"/>
        <v>1.4808368055555556E-2</v>
      </c>
      <c r="T136">
        <f t="shared" ca="1" si="30"/>
        <v>-0.15699999999997938</v>
      </c>
      <c r="U136" s="2">
        <f t="shared" ca="1" si="22"/>
        <v>1.6666666666664831E-5</v>
      </c>
      <c r="V136" s="2">
        <f t="shared" si="23"/>
        <v>6.4039351851855053E-5</v>
      </c>
      <c r="W136" s="2">
        <f t="shared" ca="1" si="24"/>
        <v>5.1851851851851538E-5</v>
      </c>
      <c r="X136" s="2">
        <f t="shared" ca="1" si="31"/>
        <v>5.2812499999999041E-5</v>
      </c>
      <c r="Y136" s="7">
        <f t="shared" ca="1" si="25"/>
        <v>-0.97000000000035946</v>
      </c>
      <c r="Z136" s="4" t="s">
        <v>399</v>
      </c>
    </row>
    <row r="137" spans="1:26" x14ac:dyDescent="0.3">
      <c r="A137" t="s">
        <v>1276</v>
      </c>
      <c r="B137" s="5" t="str">
        <f t="shared" si="26"/>
        <v>00:23:16.700</v>
      </c>
      <c r="C137" t="str">
        <f t="shared" si="27"/>
        <v>不难注意到，只有当矩阵B为可逆矩阵时，g(x)=1，并且g(x)的最高次数为r'=n-r=0。</v>
      </c>
      <c r="D137">
        <f t="shared" ca="1" si="32"/>
        <v>390</v>
      </c>
      <c r="E137">
        <f t="shared" ca="1" si="28"/>
        <v>1</v>
      </c>
      <c r="F137" t="str">
        <f ca="1">OFFSET(srt!$C$1,D138-1,0)</f>
        <v>不难注意到，</v>
      </c>
      <c r="G137">
        <f ca="1">PrefixLenNorm($C137,OFFSET(srt!$C$1,$D137+COLUMN()-7,0))</f>
        <v>5</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00:21:24.080</v>
      </c>
      <c r="P137" s="1" t="str">
        <f ca="1">OFFSET(srt!$G$1,D139-2,0)</f>
        <v>00:21:33.440</v>
      </c>
      <c r="Q137">
        <v>222</v>
      </c>
      <c r="R137" s="1">
        <f ca="1">OFFSET(sil!$D$1,sub!Q137-1,0)</f>
        <v>1.4863495370370369E-2</v>
      </c>
      <c r="S137" s="5">
        <f t="shared" ca="1" si="29"/>
        <v>1.4861180555555555E-2</v>
      </c>
      <c r="T137">
        <f t="shared" ca="1" si="30"/>
        <v>-7.4000000000035149E-2</v>
      </c>
      <c r="U137" s="2">
        <f t="shared" ca="1" si="22"/>
        <v>1.9444444444441725E-5</v>
      </c>
      <c r="V137" s="2">
        <f t="shared" si="23"/>
        <v>1.311689814814769E-4</v>
      </c>
      <c r="W137" s="2">
        <f t="shared" ca="1" si="24"/>
        <v>1.27777777777777E-4</v>
      </c>
      <c r="X137" s="2">
        <f t="shared" ca="1" si="31"/>
        <v>1.271180555555574E-4</v>
      </c>
      <c r="Y137" s="7">
        <f t="shared" ca="1" si="25"/>
        <v>-0.3499999999994452</v>
      </c>
      <c r="Z137" s="4" t="s">
        <v>400</v>
      </c>
    </row>
    <row r="138" spans="1:26" x14ac:dyDescent="0.3">
      <c r="A138" t="s">
        <v>1277</v>
      </c>
      <c r="B138" s="5" t="str">
        <f t="shared" si="26"/>
        <v>00:23:28.033</v>
      </c>
      <c r="C138" t="str">
        <f t="shared" si="27"/>
        <v>例如，当n=5时，高斯消元后的B的伪逆矩阵Q'和单位矩阵E'是这样的。</v>
      </c>
      <c r="D138">
        <f t="shared" ca="1" si="32"/>
        <v>391</v>
      </c>
      <c r="E138">
        <f t="shared" ca="1" si="28"/>
        <v>4</v>
      </c>
      <c r="F138" t="str">
        <f ca="1">OFFSET(srt!$C$1,D139-1,0)</f>
        <v>例如当n等于5时，</v>
      </c>
      <c r="G138">
        <f ca="1">PrefixLenNorm($C138,OFFSET(srt!$C$1,$D138+COLUMN()-7,0))</f>
        <v>0</v>
      </c>
      <c r="H138">
        <f ca="1">PrefixLenNorm($C138,OFFSET(srt!$C$1,$D138+COLUMN()-7,0))</f>
        <v>0</v>
      </c>
      <c r="I138">
        <f ca="1">PrefixLenNorm($C138,OFFSET(srt!$C$1,$D138+COLUMN()-7,0))</f>
        <v>0</v>
      </c>
      <c r="J138">
        <f ca="1">PrefixLenNorm($C138,OFFSET(srt!$C$1,$D138+COLUMN()-7,0))</f>
        <v>8</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00:21:35.120</v>
      </c>
      <c r="P138" s="1" t="str">
        <f ca="1">OFFSET(srt!$G$1,D140-2,0)</f>
        <v>00:21:43.480</v>
      </c>
      <c r="Q138">
        <v>223</v>
      </c>
      <c r="R138" s="1">
        <f ca="1">OFFSET(sil!$D$1,sub!Q138-1,0)</f>
        <v>1.4990613425925926E-2</v>
      </c>
      <c r="S138" s="5">
        <f t="shared" ca="1" si="29"/>
        <v>1.4988298611111112E-2</v>
      </c>
      <c r="T138">
        <f t="shared" ca="1" si="30"/>
        <v>-0.13099999999980905</v>
      </c>
      <c r="U138" s="2">
        <f t="shared" ca="1" si="22"/>
        <v>0</v>
      </c>
      <c r="V138" s="2">
        <f t="shared" si="23"/>
        <v>1.0763888888889322E-4</v>
      </c>
      <c r="W138" s="2">
        <f t="shared" ca="1" si="24"/>
        <v>9.6759259259259975E-5</v>
      </c>
      <c r="X138" s="2">
        <f t="shared" ca="1" si="31"/>
        <v>9.6689814814813341E-5</v>
      </c>
      <c r="Y138" s="7">
        <f t="shared" ca="1" si="25"/>
        <v>-0.94600000000050199</v>
      </c>
      <c r="Z138" s="4" t="s">
        <v>1261</v>
      </c>
    </row>
    <row r="139" spans="1:26" x14ac:dyDescent="0.3">
      <c r="A139" t="s">
        <v>1278</v>
      </c>
      <c r="B139" s="5" t="str">
        <f t="shared" si="26"/>
        <v>00:23:37.333</v>
      </c>
      <c r="C139" t="str">
        <f t="shared" si="27"/>
        <v>这里，矩阵B不可逆，其秩为r=3。现在，我们以r×r为界，将矩阵分为四个部分。</v>
      </c>
      <c r="D139">
        <f t="shared" ca="1" si="32"/>
        <v>395</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00:21:43.480</v>
      </c>
      <c r="P139" s="1" t="str">
        <f ca="1">OFFSET(srt!$G$1,D141-2,0)</f>
        <v>00:21:53.320</v>
      </c>
      <c r="Q139">
        <v>224</v>
      </c>
      <c r="R139" s="1">
        <f ca="1">OFFSET(sil!$D$1,sub!Q139-1,0)</f>
        <v>1.508730324074074E-2</v>
      </c>
      <c r="S139" s="5">
        <f t="shared" ca="1" si="29"/>
        <v>1.5084988425925925E-2</v>
      </c>
      <c r="T139">
        <f t="shared" ca="1" si="30"/>
        <v>-0.13699999999999823</v>
      </c>
      <c r="U139" s="2">
        <f t="shared" ca="1" si="22"/>
        <v>0</v>
      </c>
      <c r="V139" s="2">
        <f t="shared" si="23"/>
        <v>1.2268518518518401E-4</v>
      </c>
      <c r="W139" s="2">
        <f t="shared" ca="1" si="24"/>
        <v>1.1388888888888907E-4</v>
      </c>
      <c r="X139" s="2">
        <f t="shared" ca="1" si="31"/>
        <v>1.1118055555555534E-4</v>
      </c>
      <c r="Y139" s="7">
        <f t="shared" ca="1" si="25"/>
        <v>-0.99399999999991717</v>
      </c>
      <c r="Z139" s="4" t="s">
        <v>1342</v>
      </c>
    </row>
    <row r="140" spans="1:26" x14ac:dyDescent="0.3">
      <c r="A140" t="s">
        <v>1279</v>
      </c>
      <c r="B140" s="5" t="str">
        <f t="shared" si="26"/>
        <v>00:23:47.933</v>
      </c>
      <c r="C140" t="str">
        <f t="shared" si="27"/>
        <v>1. 矩阵B左上角r×r的子矩阵可逆，并且和Q'左上角r×r的子矩阵互为逆矩阵。</v>
      </c>
      <c r="D140">
        <f t="shared" ca="1" si="32"/>
        <v>397</v>
      </c>
      <c r="E140">
        <f t="shared" ca="1" si="28"/>
        <v>4</v>
      </c>
      <c r="F140" t="str">
        <f ca="1">OFFSET(srt!$C$1,D141-1,0)</f>
        <v>1矩阵B左上角R乘2的子矩阵可逆。</v>
      </c>
      <c r="G140">
        <f ca="1">PrefixLenNorm($C140,OFFSET(srt!$C$1,$D140+COLUMN()-7,0))</f>
        <v>0</v>
      </c>
      <c r="H140">
        <f ca="1">PrefixLenNorm($C140,OFFSET(srt!$C$1,$D140+COLUMN()-7,0))</f>
        <v>0</v>
      </c>
      <c r="I140">
        <f ca="1">PrefixLenNorm($C140,OFFSET(srt!$C$1,$D140+COLUMN()-7,0))</f>
        <v>0</v>
      </c>
      <c r="J140">
        <f ca="1">PrefixLenNorm($C140,OFFSET(srt!$C$1,$D140+COLUMN()-7,0))</f>
        <v>9</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00:21:53.320</v>
      </c>
      <c r="P140" s="1" t="str">
        <f ca="1">OFFSET(srt!$G$1,D142-2,0)</f>
        <v>00:22:03.000</v>
      </c>
      <c r="Q140">
        <v>226</v>
      </c>
      <c r="R140" s="1">
        <f ca="1">OFFSET(sil!$D$1,sub!Q140-1,0)</f>
        <v>1.5198483796296295E-2</v>
      </c>
      <c r="S140" s="5">
        <f t="shared" ca="1" si="29"/>
        <v>1.5196168981481481E-2</v>
      </c>
      <c r="T140">
        <f t="shared" ca="1" si="30"/>
        <v>-0.37100000000003241</v>
      </c>
      <c r="U140" s="2">
        <f t="shared" ca="1" si="22"/>
        <v>0</v>
      </c>
      <c r="V140" s="2">
        <f t="shared" si="23"/>
        <v>1.1921296296296333E-4</v>
      </c>
      <c r="W140" s="2">
        <f t="shared" ca="1" si="24"/>
        <v>1.1203703703703723E-4</v>
      </c>
      <c r="X140" s="2">
        <f t="shared" ca="1" si="31"/>
        <v>1.1482638888889E-4</v>
      </c>
      <c r="Y140" s="7">
        <f t="shared" ca="1" si="25"/>
        <v>-0.37899999999993494</v>
      </c>
      <c r="Z140" s="4" t="s">
        <v>1262</v>
      </c>
    </row>
    <row r="141" spans="1:26" x14ac:dyDescent="0.3">
      <c r="A141" t="s">
        <v>1280</v>
      </c>
      <c r="B141" s="5" t="str">
        <f t="shared" si="26"/>
        <v>00:23:58.233</v>
      </c>
      <c r="C141" t="str">
        <f t="shared" si="27"/>
        <v>2. Q'右下角和E'左上角为单位矩阵，Q'右上角和E'下方为零矩阵。</v>
      </c>
      <c r="D141">
        <f t="shared" ca="1" si="32"/>
        <v>401</v>
      </c>
      <c r="E141">
        <f t="shared" ca="1" si="2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5" t="str">
        <f ca="1">OFFSET(srt!$F$1,D142-1,0)</f>
        <v>00:22:03.000</v>
      </c>
      <c r="P141" s="1" t="str">
        <f ca="1">OFFSET(srt!$G$1,D143-2,0)</f>
        <v>00:22:12.040</v>
      </c>
      <c r="Q141">
        <v>227</v>
      </c>
      <c r="R141" s="1">
        <f ca="1">OFFSET(sil!$D$1,sub!Q141-1,0)</f>
        <v>1.5313310185185185E-2</v>
      </c>
      <c r="S141" s="5">
        <f t="shared" ca="1" si="29"/>
        <v>1.5310995370370371E-2</v>
      </c>
      <c r="T141">
        <f t="shared" ca="1" si="30"/>
        <v>-0.12999999999995238</v>
      </c>
      <c r="U141" s="2">
        <f t="shared" ca="1" si="22"/>
        <v>0</v>
      </c>
      <c r="V141" s="2">
        <f t="shared" si="23"/>
        <v>1.0918981481481196E-4</v>
      </c>
      <c r="W141" s="2">
        <f t="shared" ca="1" si="24"/>
        <v>1.0462962962962986E-4</v>
      </c>
      <c r="X141" s="2">
        <f t="shared" ca="1" si="31"/>
        <v>1.0460648148148156E-4</v>
      </c>
      <c r="Y141" s="7">
        <f t="shared" ca="1" si="25"/>
        <v>-0.39599999999974655</v>
      </c>
      <c r="Z141" s="4" t="s">
        <v>401</v>
      </c>
    </row>
    <row r="142" spans="1:26" x14ac:dyDescent="0.3">
      <c r="A142" t="s">
        <v>1281</v>
      </c>
      <c r="B142" s="5" t="str">
        <f t="shared" si="26"/>
        <v>00:24:07.667</v>
      </c>
      <c r="C142" t="str">
        <f t="shared" si="27"/>
        <v>3. Q'左下角Wr和E'右上角的静默操作相同，并且其值等于Q'左上角乘以B右上角，或者B左下角乘以Q'左上角。</v>
      </c>
      <c r="D142">
        <f t="shared" ca="1" si="32"/>
        <v>403</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00:22:12.040</v>
      </c>
      <c r="P142" s="1" t="str">
        <f ca="1">OFFSET(srt!$G$1,D144-2,0)</f>
        <v>00:22:24.000</v>
      </c>
      <c r="Q142">
        <v>228</v>
      </c>
      <c r="R142" s="1">
        <f ca="1">OFFSET(sil!$D$1,sub!Q142-1,0)</f>
        <v>1.5417916666666667E-2</v>
      </c>
      <c r="S142" s="5">
        <f t="shared" ca="1" si="29"/>
        <v>1.5415601851851852E-2</v>
      </c>
      <c r="T142">
        <f t="shared" ca="1" si="30"/>
        <v>-0.13199999999996548</v>
      </c>
      <c r="U142" s="2">
        <f t="shared" ca="1" si="22"/>
        <v>1.8518518518518406E-5</v>
      </c>
      <c r="V142" s="2">
        <f t="shared" si="23"/>
        <v>1.6280092592592735E-4</v>
      </c>
      <c r="W142" s="2">
        <f t="shared" ca="1" si="24"/>
        <v>1.5694444444444393E-4</v>
      </c>
      <c r="X142" s="2">
        <f t="shared" ca="1" si="31"/>
        <v>1.5640046296296409E-4</v>
      </c>
      <c r="Y142" s="7">
        <f t="shared" ca="1" si="25"/>
        <v>-0.55300000000002569</v>
      </c>
      <c r="Z142" s="4" t="s">
        <v>402</v>
      </c>
    </row>
    <row r="143" spans="1:26" x14ac:dyDescent="0.3">
      <c r="A143" t="s">
        <v>1282</v>
      </c>
      <c r="B143" s="5" t="str">
        <f t="shared" si="26"/>
        <v>00:24:21.733</v>
      </c>
      <c r="C143" t="str">
        <f t="shared" si="27"/>
        <v>这些性质可以通过分块矩阵乘法，结合高斯消元法和矩阵B的对称性得出，有兴趣的小伙伴可以自行证明。</v>
      </c>
      <c r="D143">
        <f t="shared" ca="1" si="32"/>
        <v>405</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00:22:25.600</v>
      </c>
      <c r="P143" s="1" t="str">
        <f ca="1">OFFSET(srt!$G$1,D145-2,0)</f>
        <v>00:22:34.520</v>
      </c>
      <c r="Q143">
        <v>231</v>
      </c>
      <c r="R143" s="1">
        <f ca="1">OFFSET(sil!$D$1,sub!Q143-1,0)</f>
        <v>1.5574317129629631E-2</v>
      </c>
      <c r="S143" s="5">
        <f t="shared" ca="1" si="29"/>
        <v>1.5572002314814816E-2</v>
      </c>
      <c r="T143">
        <f t="shared" ca="1" si="30"/>
        <v>-0.17899999999982374</v>
      </c>
      <c r="U143" s="2">
        <f t="shared" ca="1" si="22"/>
        <v>1.7129629629630827E-5</v>
      </c>
      <c r="V143" s="2">
        <f t="shared" si="23"/>
        <v>1.2346064814814858E-4</v>
      </c>
      <c r="W143" s="2">
        <f t="shared" ca="1" si="24"/>
        <v>1.2037037037037138E-4</v>
      </c>
      <c r="X143" s="2">
        <f t="shared" ca="1" si="31"/>
        <v>1.2130787037036884E-4</v>
      </c>
      <c r="Y143" s="7">
        <f t="shared" ca="1" si="25"/>
        <v>-0.18600000000016936</v>
      </c>
      <c r="Z143" s="4" t="s">
        <v>403</v>
      </c>
    </row>
    <row r="144" spans="1:26" s="8" customFormat="1" x14ac:dyDescent="0.3">
      <c r="A144" s="8" t="s">
        <v>1283</v>
      </c>
      <c r="B144" s="5" t="str">
        <f t="shared" si="26"/>
        <v>00:24:32.400</v>
      </c>
      <c r="C144" s="8" t="str">
        <f t="shared" si="27"/>
        <v>可以发现，Q'不满足十字偶校验约束，因而无法通过公式递推求得。并且使用Q'第一行求得的x也不是原方程的解。</v>
      </c>
      <c r="D144" s="8">
        <f t="shared" ca="1" si="32"/>
        <v>408</v>
      </c>
      <c r="E144" s="8">
        <f t="shared" ca="1" si="28"/>
        <v>3</v>
      </c>
      <c r="F144" s="8" t="str">
        <f ca="1">OFFSET(srt!$C$1,D145-1,0)</f>
        <v>可以发现Q撇不满足十四偶校验约束，</v>
      </c>
      <c r="G144" s="8">
        <f ca="1">PrefixLenNorm($C144,OFFSET(srt!$C$1,$D144+COLUMN()-7,0))</f>
        <v>0</v>
      </c>
      <c r="H144" s="8">
        <f ca="1">PrefixLenNorm($C144,OFFSET(srt!$C$1,$D144+COLUMN()-7,0))</f>
        <v>0</v>
      </c>
      <c r="I144" s="8">
        <f ca="1">PrefixLenNorm($C144,OFFSET(srt!$C$1,$D144+COLUMN()-7,0))</f>
        <v>5</v>
      </c>
      <c r="J144" s="8">
        <f ca="1">PrefixLenNorm($C144,OFFSET(srt!$C$1,$D144+COLUMN()-7,0))</f>
        <v>0</v>
      </c>
      <c r="K144" s="8">
        <f ca="1">PrefixLenNorm($C144,OFFSET(srt!$C$1,$D144+COLUMN()-7,0))</f>
        <v>0</v>
      </c>
      <c r="L144" s="8">
        <f ca="1">PrefixLenNorm($C144,OFFSET(srt!$C$1,$D144+COLUMN()-7,0))</f>
        <v>0</v>
      </c>
      <c r="M144" s="8">
        <f ca="1">PrefixLenNorm($C144,OFFSET(srt!$C$1,$D144+COLUMN()-7,0))</f>
        <v>0</v>
      </c>
      <c r="N144" s="8">
        <f ca="1">PrefixLenNorm($C144,OFFSET(srt!$C$1,$D144+COLUMN()-7,0))</f>
        <v>0</v>
      </c>
      <c r="O144" s="5" t="str">
        <f ca="1">OFFSET(srt!$F$1,D145-1,0)</f>
        <v>00:22:36.000</v>
      </c>
      <c r="P144" s="5" t="str">
        <f ca="1">OFFSET(srt!$G$1,D146-2,0)</f>
        <v>00:22:45.880</v>
      </c>
      <c r="Q144" s="8">
        <v>233</v>
      </c>
      <c r="R144" s="5">
        <f ca="1">OFFSET(sil!$D$1,sub!Q144-1,0)</f>
        <v>1.5695625000000001E-2</v>
      </c>
      <c r="S144" s="5">
        <f t="shared" ca="1" si="29"/>
        <v>1.5693310185185185E-2</v>
      </c>
      <c r="T144" s="8">
        <f t="shared" ca="1" si="30"/>
        <v>-9.8000000000042498E-2</v>
      </c>
      <c r="U144" s="15">
        <f t="shared" ca="1" si="22"/>
        <v>1.7129629629627358E-5</v>
      </c>
      <c r="V144" s="15">
        <f t="shared" si="23"/>
        <v>1.3464120370370106E-4</v>
      </c>
      <c r="W144" s="15">
        <f t="shared" ca="1" si="24"/>
        <v>1.3148148148147895E-4</v>
      </c>
      <c r="X144" s="15">
        <f t="shared" ca="1" si="31"/>
        <v>1.3128472222222187E-4</v>
      </c>
      <c r="Y144" s="7">
        <f t="shared" ca="1" si="25"/>
        <v>-0.28999999999980153</v>
      </c>
      <c r="Z144" s="8" t="s">
        <v>404</v>
      </c>
    </row>
    <row r="145" spans="1:26" x14ac:dyDescent="0.3">
      <c r="A145" t="s">
        <v>1284</v>
      </c>
      <c r="B145" s="5" t="str">
        <f t="shared" si="26"/>
        <v>00:24:44.033</v>
      </c>
      <c r="C145" t="str">
        <f t="shared" si="27"/>
        <v>如果我们令Q'第一行为q(x)，并且和p(x)相乘，由此得到的g(x)不为1，且最高次数为4。</v>
      </c>
      <c r="D145">
        <f t="shared" ca="1" si="32"/>
        <v>411</v>
      </c>
      <c r="E145">
        <f t="shared" ca="1" si="28"/>
        <v>3</v>
      </c>
      <c r="F145" t="str">
        <f ca="1">OFFSET(srt!$C$1,D146-1,0)</f>
        <v>如果我们令Q撇第一行为QX并且和PX相乘。</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0</v>
      </c>
      <c r="M145">
        <f ca="1">PrefixLenNorm($C145,OFFSET(srt!$C$1,$D145+COLUMN()-7,0))</f>
        <v>4</v>
      </c>
      <c r="N145">
        <f ca="1">PrefixLenNorm($C145,OFFSET(srt!$C$1,$D145+COLUMN()-7,0))</f>
        <v>0</v>
      </c>
      <c r="O145" s="5" t="str">
        <f ca="1">OFFSET(srt!$F$1,D146-1,0)</f>
        <v>00:22:47.360</v>
      </c>
      <c r="P145" s="1" t="str">
        <f ca="1">OFFSET(srt!$G$1,D147-2,0)</f>
        <v>00:22:57.160</v>
      </c>
      <c r="Q145">
        <v>235</v>
      </c>
      <c r="R145" s="1">
        <f ca="1">OFFSET(sil!$D$1,sub!Q145-1,0)</f>
        <v>1.5826909722222223E-2</v>
      </c>
      <c r="S145" s="5">
        <f t="shared" ca="1" si="29"/>
        <v>1.5824594907407407E-2</v>
      </c>
      <c r="T145">
        <f t="shared" ca="1" si="30"/>
        <v>-0.11499999999985411</v>
      </c>
      <c r="U145" s="2">
        <f t="shared" ca="1" si="22"/>
        <v>0</v>
      </c>
      <c r="V145" s="2">
        <f t="shared" si="23"/>
        <v>1.3078703703704037E-4</v>
      </c>
      <c r="W145" s="2">
        <f t="shared" ca="1" si="24"/>
        <v>1.1342592592593001E-4</v>
      </c>
      <c r="X145" s="2">
        <f t="shared" ca="1" si="31"/>
        <v>1.1366898148148022E-4</v>
      </c>
      <c r="Y145" s="7">
        <f t="shared" ca="1" si="25"/>
        <v>-1.4790000000003967</v>
      </c>
      <c r="Z145" s="4" t="s">
        <v>887</v>
      </c>
    </row>
    <row r="146" spans="1:26" x14ac:dyDescent="0.3">
      <c r="A146" t="s">
        <v>1285</v>
      </c>
      <c r="B146" s="5" t="str">
        <f t="shared" si="26"/>
        <v>00:24:55.333</v>
      </c>
      <c r="C146" t="str">
        <f t="shared" si="27"/>
        <v>另一方面，如果我们直接使用扩展欧几里得法，通过p(x)和f(x)进行求解，得到的g(x)也不为1。</v>
      </c>
      <c r="D146">
        <f t="shared" ca="1" si="32"/>
        <v>414</v>
      </c>
      <c r="E146">
        <f t="shared" ca="1" si="28"/>
        <v>3</v>
      </c>
      <c r="F146" t="str">
        <f ca="1">OFFSET(srt!$C$1,D147-1,0)</f>
        <v>另一方面，</v>
      </c>
      <c r="G146">
        <f ca="1">PrefixLenNorm($C146,OFFSET(srt!$C$1,$D146+COLUMN()-7,0))</f>
        <v>0</v>
      </c>
      <c r="H146">
        <f ca="1">PrefixLenNorm($C146,OFFSET(srt!$C$1,$D146+COLUMN()-7,0))</f>
        <v>0</v>
      </c>
      <c r="I146">
        <f ca="1">PrefixLenNorm($C146,OFFSET(srt!$C$1,$D146+COLUMN()-7,0))</f>
        <v>4</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00:22:57.160</v>
      </c>
      <c r="P146" s="1" t="str">
        <f ca="1">OFFSET(srt!$G$1,D148-2,0)</f>
        <v>00:23:05.400</v>
      </c>
      <c r="Q146">
        <v>236</v>
      </c>
      <c r="R146" s="1">
        <f ca="1">OFFSET(sil!$D$1,sub!Q146-1,0)</f>
        <v>1.5940578703703703E-2</v>
      </c>
      <c r="S146" s="5">
        <f t="shared" ca="1" si="29"/>
        <v>1.5938263888888887E-2</v>
      </c>
      <c r="T146">
        <f t="shared" ca="1" si="30"/>
        <v>-9.4000000000316053E-2</v>
      </c>
      <c r="U146" s="2">
        <f t="shared" ca="1" si="22"/>
        <v>1.7129629629627358E-5</v>
      </c>
      <c r="V146" s="2">
        <f t="shared" si="23"/>
        <v>1.161342592592568E-4</v>
      </c>
      <c r="W146" s="2">
        <f t="shared" ca="1" si="24"/>
        <v>1.1249999999999802E-4</v>
      </c>
      <c r="X146" s="2">
        <f t="shared" ca="1" si="31"/>
        <v>1.1266203703703612E-4</v>
      </c>
      <c r="Y146" s="7">
        <f t="shared" ca="1" si="25"/>
        <v>-0.29999999999986704</v>
      </c>
      <c r="Z146" s="4" t="s">
        <v>405</v>
      </c>
    </row>
    <row r="147" spans="1:26" x14ac:dyDescent="0.3">
      <c r="A147" t="s">
        <v>1286</v>
      </c>
      <c r="B147" s="5" t="str">
        <f t="shared" si="26"/>
        <v>00:25:05.367</v>
      </c>
      <c r="C147" t="str">
        <f t="shared" si="27"/>
        <v>将求得的q(x)和p(x)相乘，得到刚才求得的g(x)，其最高次数为2。</v>
      </c>
      <c r="D147">
        <f t="shared" ca="1" si="32"/>
        <v>417</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00:23:06.880</v>
      </c>
      <c r="P147" s="1" t="str">
        <f ca="1">OFFSET(srt!$G$1,D149-2,0)</f>
        <v>00:23:13.280</v>
      </c>
      <c r="Q147">
        <v>237</v>
      </c>
      <c r="R147" s="1">
        <f ca="1">OFFSET(sil!$D$1,sub!Q147-1,0)</f>
        <v>1.6053240740740739E-2</v>
      </c>
      <c r="S147" s="5">
        <f t="shared" ca="1" si="29"/>
        <v>1.6050925925925923E-2</v>
      </c>
      <c r="T147">
        <f t="shared" ca="1" si="30"/>
        <v>-8.0000000000224336E-2</v>
      </c>
      <c r="U147" s="2">
        <f t="shared" ca="1" si="22"/>
        <v>1.7592592592593354E-5</v>
      </c>
      <c r="V147" s="2">
        <f t="shared" si="23"/>
        <v>1.0879629629629781E-4</v>
      </c>
      <c r="W147" s="2">
        <f t="shared" ca="1" si="24"/>
        <v>9.1666666666666979E-5</v>
      </c>
      <c r="X147" s="2">
        <f t="shared" ca="1" si="31"/>
        <v>9.15393518518548E-5</v>
      </c>
      <c r="Y147" s="7">
        <f t="shared" ca="1" si="25"/>
        <v>-1.4909999999998758</v>
      </c>
      <c r="Z147" s="4" t="s">
        <v>406</v>
      </c>
    </row>
    <row r="148" spans="1:26" x14ac:dyDescent="0.3">
      <c r="A148" t="s">
        <v>1287</v>
      </c>
      <c r="B148" s="5" t="str">
        <f t="shared" si="26"/>
        <v>00:25:14.767</v>
      </c>
      <c r="C148" t="str">
        <f t="shared" si="27"/>
        <v>这里，我们计算q(H)y，发现求得的x也不是正确的解。</v>
      </c>
      <c r="D148">
        <f t="shared" ca="1" si="32"/>
        <v>421</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00:23:14.800</v>
      </c>
      <c r="P148" s="1" t="str">
        <f ca="1">OFFSET(srt!$G$1,D150-2,0)</f>
        <v>00:23:19.560</v>
      </c>
      <c r="Q148">
        <v>238</v>
      </c>
      <c r="R148" s="1">
        <f ca="1">OFFSET(sil!$D$1,sub!Q148-1,0)</f>
        <v>1.6144780092592594E-2</v>
      </c>
      <c r="S148" s="5">
        <f t="shared" ca="1" si="29"/>
        <v>1.6142465277777778E-2</v>
      </c>
      <c r="T148">
        <f t="shared" ca="1" si="30"/>
        <v>-9.0999999999996639E-2</v>
      </c>
      <c r="U148" s="2">
        <f t="shared" ca="1" si="22"/>
        <v>1.8055555555552411E-5</v>
      </c>
      <c r="V148" s="2">
        <f t="shared" si="23"/>
        <v>8.6030092592594143E-5</v>
      </c>
      <c r="W148" s="2">
        <f t="shared" ca="1" si="24"/>
        <v>7.3148148148145103E-5</v>
      </c>
      <c r="X148" s="2">
        <f t="shared" ca="1" si="31"/>
        <v>7.2141203703701001E-5</v>
      </c>
      <c r="Y148" s="7">
        <f t="shared" ca="1" si="25"/>
        <v>-1.2000000000003674</v>
      </c>
      <c r="Z148" s="4" t="s">
        <v>888</v>
      </c>
    </row>
    <row r="149" spans="1:26" x14ac:dyDescent="0.3">
      <c r="A149" t="s">
        <v>1288</v>
      </c>
      <c r="B149" s="5" t="str">
        <f t="shared" si="26"/>
        <v>00:25:22.200</v>
      </c>
      <c r="C149" t="str">
        <f t="shared" si="27"/>
        <v>两种方法求得的q(x)和g(x)都不相同，g(x)都不为1，并且q(H)y也都不是正确的解。</v>
      </c>
      <c r="D149">
        <f t="shared" ca="1" si="32"/>
        <v>424</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00:23:21.120</v>
      </c>
      <c r="P149" s="1" t="str">
        <f ca="1">OFFSET(srt!$G$1,D151-2,0)</f>
        <v>00:23:29.240</v>
      </c>
      <c r="Q149">
        <v>239</v>
      </c>
      <c r="R149" s="1">
        <f ca="1">OFFSET(sil!$D$1,sub!Q149-1,0)</f>
        <v>1.6216921296296295E-2</v>
      </c>
      <c r="S149" s="5">
        <f t="shared" ca="1" si="29"/>
        <v>1.6214606481481479E-2</v>
      </c>
      <c r="T149">
        <f t="shared" ca="1" si="30"/>
        <v>-0.17799999999996707</v>
      </c>
      <c r="U149" s="2">
        <f t="shared" ca="1" si="22"/>
        <v>1.7129629629630827E-5</v>
      </c>
      <c r="V149" s="2">
        <f t="shared" si="23"/>
        <v>1.2615740740740469E-4</v>
      </c>
      <c r="W149" s="2">
        <f t="shared" ca="1" si="24"/>
        <v>1.1111111111111391E-4</v>
      </c>
      <c r="X149" s="2">
        <f t="shared" ca="1" si="31"/>
        <v>1.1224537037037019E-4</v>
      </c>
      <c r="Y149" s="7">
        <f t="shared" ca="1" si="25"/>
        <v>-1.201999999999781</v>
      </c>
      <c r="Z149" s="4" t="s">
        <v>889</v>
      </c>
    </row>
    <row r="150" spans="1:26" x14ac:dyDescent="0.3">
      <c r="A150" t="s">
        <v>1289</v>
      </c>
      <c r="B150" s="5" t="str">
        <f t="shared" si="26"/>
        <v>00:25:33.100</v>
      </c>
      <c r="C150" t="str">
        <f t="shared" si="27"/>
        <v>因此，如果g(x)不为1，则q(x)不满足q(x)p(x)=1 mod f(x)。或者说，满足q(x)p(x)=1的q(x)不存在。</v>
      </c>
      <c r="D150">
        <f t="shared" ca="1" si="32"/>
        <v>426</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00:23:30.720</v>
      </c>
      <c r="P150" s="1" t="str">
        <f ca="1">OFFSET(srt!$G$1,D152-2,0)</f>
        <v>00:23:42.040</v>
      </c>
      <c r="Q150">
        <v>240</v>
      </c>
      <c r="R150" s="1">
        <f ca="1">OFFSET(sil!$D$1,sub!Q150-1,0)</f>
        <v>1.6329166666666665E-2</v>
      </c>
      <c r="S150" s="5">
        <f t="shared" ca="1" si="29"/>
        <v>1.6326851851851849E-2</v>
      </c>
      <c r="T150">
        <f t="shared" ca="1" si="30"/>
        <v>-8.0000000000224336E-2</v>
      </c>
      <c r="U150" s="2">
        <f t="shared" ca="1" si="22"/>
        <v>1.7129629629630827E-5</v>
      </c>
      <c r="V150" s="2">
        <f t="shared" si="23"/>
        <v>1.5123842592592793E-4</v>
      </c>
      <c r="W150" s="2">
        <f t="shared" ca="1" si="24"/>
        <v>1.4814814814814725E-4</v>
      </c>
      <c r="X150" s="2">
        <f t="shared" ca="1" si="31"/>
        <v>1.483217592592595E-4</v>
      </c>
      <c r="Y150" s="7">
        <f t="shared" ca="1" si="25"/>
        <v>-0.2520000000001521</v>
      </c>
      <c r="Z150" s="4" t="s">
        <v>589</v>
      </c>
    </row>
    <row r="151" spans="1:26" x14ac:dyDescent="0.3">
      <c r="A151" t="s">
        <v>1290</v>
      </c>
      <c r="B151" s="5" t="str">
        <f t="shared" si="26"/>
        <v>00:25:46.167</v>
      </c>
      <c r="C151" t="str">
        <f t="shared" si="27"/>
        <v>那么对于不可逆的矩阵B，我们又有什么方法可以求出正确的解呢？</v>
      </c>
      <c r="D151">
        <f t="shared" ca="1" si="32"/>
        <v>429</v>
      </c>
      <c r="E151">
        <f t="shared" ca="1" si="28"/>
        <v>4</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2</v>
      </c>
      <c r="K151">
        <f ca="1">PrefixLenNorm($C151,OFFSET(srt!$C$1,$D151+COLUMN()-7,0))</f>
        <v>0</v>
      </c>
      <c r="L151">
        <f ca="1">PrefixLenNorm($C151,OFFSET(srt!$C$1,$D151+COLUMN()-7,0))</f>
        <v>0</v>
      </c>
      <c r="M151">
        <f ca="1">PrefixLenNorm($C151,OFFSET(srt!$C$1,$D151+COLUMN()-7,0))</f>
        <v>0</v>
      </c>
      <c r="N151">
        <f ca="1">PrefixLenNorm($C151,OFFSET(srt!$C$1,$D151+COLUMN()-7,0))</f>
        <v>0</v>
      </c>
      <c r="O151" s="5" t="str">
        <f ca="1">OFFSET(srt!$F$1,D152-1,0)</f>
        <v>00:23:43.520</v>
      </c>
      <c r="P151" s="1" t="str">
        <f ca="1">OFFSET(srt!$G$1,D153-2,0)</f>
        <v>00:23:48.240</v>
      </c>
      <c r="Q151">
        <v>242</v>
      </c>
      <c r="R151" s="1">
        <f ca="1">OFFSET(sil!$D$1,sub!Q151-1,0)</f>
        <v>1.6477488425925925E-2</v>
      </c>
      <c r="S151" s="5">
        <f t="shared" ca="1" si="29"/>
        <v>1.6475173611111109E-2</v>
      </c>
      <c r="T151">
        <f t="shared" ca="1" si="30"/>
        <v>-6.5000000000126068E-2</v>
      </c>
      <c r="U151" s="2">
        <f t="shared" ca="1" si="22"/>
        <v>1.7592592592593354E-5</v>
      </c>
      <c r="V151" s="2">
        <f t="shared" si="23"/>
        <v>1.1303240740740544E-4</v>
      </c>
      <c r="W151" s="2">
        <f t="shared" ca="1" si="24"/>
        <v>7.222222222222352E-5</v>
      </c>
      <c r="X151" s="2">
        <f t="shared" ca="1" si="31"/>
        <v>7.1215277777779418E-5</v>
      </c>
      <c r="Y151" s="7">
        <f t="shared" ca="1" si="25"/>
        <v>-3.6129999999996887</v>
      </c>
      <c r="Z151" s="4" t="s">
        <v>407</v>
      </c>
    </row>
    <row r="152" spans="1:26" s="8" customFormat="1" x14ac:dyDescent="0.3">
      <c r="A152" s="8" t="s">
        <v>1291</v>
      </c>
      <c r="B152" s="5" t="str">
        <f t="shared" si="26"/>
        <v>00:25:55.933</v>
      </c>
      <c r="C152" s="8" t="str">
        <f t="shared" si="27"/>
        <v>在刚才的《首行求逆法》中，我们有这些公式。</v>
      </c>
      <c r="D152" s="8">
        <f t="shared" ca="1" si="32"/>
        <v>433</v>
      </c>
      <c r="E152" s="8">
        <f t="shared" ca="1" si="28"/>
        <v>3</v>
      </c>
      <c r="F152" s="8" t="str">
        <f ca="1">OFFSET(srt!$C$1,D153-1,0)</f>
        <v>在刚才的首行求逆法中，</v>
      </c>
      <c r="G152" s="8">
        <f ca="1">PrefixLenNorm($C152,OFFSET(srt!$C$1,$D152+COLUMN()-7,0))</f>
        <v>0</v>
      </c>
      <c r="H152" s="8">
        <f ca="1">PrefixLenNorm($C152,OFFSET(srt!$C$1,$D152+COLUMN()-7,0))</f>
        <v>0</v>
      </c>
      <c r="I152" s="8">
        <f ca="1">PrefixLenNorm($C152,OFFSET(srt!$C$1,$D152+COLUMN()-7,0))</f>
        <v>10</v>
      </c>
      <c r="J152" s="8">
        <f ca="1">PrefixLenNorm($C152,OFFSET(srt!$C$1,$D152+COLUMN()-7,0))</f>
        <v>0</v>
      </c>
      <c r="K152" s="8">
        <f ca="1">PrefixLenNorm($C152,OFFSET(srt!$C$1,$D152+COLUMN()-7,0))</f>
        <v>0</v>
      </c>
      <c r="L152" s="8">
        <f ca="1">PrefixLenNorm($C152,OFFSET(srt!$C$1,$D152+COLUMN()-7,0))</f>
        <v>0</v>
      </c>
      <c r="M152" s="8">
        <f ca="1">PrefixLenNorm($C152,OFFSET(srt!$C$1,$D152+COLUMN()-7,0))</f>
        <v>0</v>
      </c>
      <c r="N152" s="8">
        <f ca="1">PrefixLenNorm($C152,OFFSET(srt!$C$1,$D152+COLUMN()-7,0))</f>
        <v>0</v>
      </c>
      <c r="O152" s="5" t="str">
        <f ca="1">OFFSET(srt!$F$1,D153-1,0)</f>
        <v>00:23:49.760</v>
      </c>
      <c r="P152" s="5" t="str">
        <f ca="1">OFFSET(srt!$G$1,D154-2,0)</f>
        <v>00:23:52.680</v>
      </c>
      <c r="Q152" s="8">
        <v>243</v>
      </c>
      <c r="R152" s="5">
        <f ca="1">OFFSET(sil!$D$1,sub!Q152-1,0)</f>
        <v>1.6548703703703704E-2</v>
      </c>
      <c r="S152" s="5">
        <f t="shared" ca="1" si="29"/>
        <v>1.6546388888888888E-2</v>
      </c>
      <c r="T152" s="8">
        <f t="shared" ca="1" si="30"/>
        <v>-0.1520000000000965</v>
      </c>
      <c r="U152" s="15">
        <f t="shared" ca="1" si="22"/>
        <v>1.7129629629630827E-5</v>
      </c>
      <c r="V152" s="15">
        <f t="shared" si="23"/>
        <v>5.2083333333334536E-5</v>
      </c>
      <c r="W152" s="15">
        <f t="shared" ca="1" si="24"/>
        <v>5.0925925925926485E-5</v>
      </c>
      <c r="X152" s="15">
        <f t="shared" ca="1" si="31"/>
        <v>5.1956018518518887E-5</v>
      </c>
      <c r="Y152" s="7">
        <f t="shared" ca="1" si="25"/>
        <v>-1.1000000000072063E-2</v>
      </c>
      <c r="Z152" s="8" t="s">
        <v>408</v>
      </c>
    </row>
    <row r="153" spans="1:26" x14ac:dyDescent="0.3">
      <c r="A153" t="s">
        <v>1292</v>
      </c>
      <c r="B153" s="5" t="str">
        <f t="shared" si="26"/>
        <v>00:26:00.433</v>
      </c>
      <c r="C153" s="4" t="str">
        <f t="shared" si="27"/>
        <v>现在，我们定义多项式q'(x)，满足q'(x)p(x)=g(x) mod f(x)。</v>
      </c>
      <c r="D153">
        <f t="shared" ca="1" si="32"/>
        <v>436</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00:23:54.160</v>
      </c>
      <c r="P153" s="1" t="str">
        <f ca="1">OFFSET(srt!$G$1,D155-2,0)</f>
        <v>00:24:00.520</v>
      </c>
      <c r="Q153">
        <v>244</v>
      </c>
      <c r="R153" s="1">
        <f ca="1">OFFSET(sil!$D$1,sub!Q153-1,0)</f>
        <v>1.6600659722222223E-2</v>
      </c>
      <c r="S153" s="5">
        <f t="shared" ca="1" si="29"/>
        <v>1.6598344907407407E-2</v>
      </c>
      <c r="T153">
        <f t="shared" ca="1" si="30"/>
        <v>-6.3000000000112966E-2</v>
      </c>
      <c r="U153" s="2">
        <f t="shared" ca="1" si="22"/>
        <v>2.1759259259259561E-5</v>
      </c>
      <c r="V153" s="2">
        <f t="shared" si="23"/>
        <v>9.7222222222224236E-5</v>
      </c>
      <c r="W153" s="2">
        <f t="shared" ca="1" si="24"/>
        <v>9.5370370370370661E-5</v>
      </c>
      <c r="X153" s="2">
        <f t="shared" ca="1" si="31"/>
        <v>9.4918981481482284E-5</v>
      </c>
      <c r="Y153" s="7">
        <f t="shared" ca="1" si="25"/>
        <v>-0.19900000000010465</v>
      </c>
      <c r="Z153" s="4" t="s">
        <v>409</v>
      </c>
    </row>
    <row r="154" spans="1:26" x14ac:dyDescent="0.3">
      <c r="A154" t="s">
        <v>1293</v>
      </c>
      <c r="B154" s="5" t="str">
        <f t="shared" si="26"/>
        <v>00:26:08.833</v>
      </c>
      <c r="C154" s="4" t="str">
        <f t="shared" si="27"/>
        <v>其中，g(x)也就是刚才提到的最大公因子，q'(x)就是刚才求得的q(x)。</v>
      </c>
      <c r="D154">
        <f t="shared" ca="1" si="32"/>
        <v>438</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00:24:02.400</v>
      </c>
      <c r="P154" s="1" t="str">
        <f ca="1">OFFSET(srt!$G$1,D156-2,0)</f>
        <v>00:24:08.880</v>
      </c>
      <c r="Q154">
        <v>245</v>
      </c>
      <c r="R154" s="1">
        <f ca="1">OFFSET(sil!$D$1,sub!Q154-1,0)</f>
        <v>1.6695578703703706E-2</v>
      </c>
      <c r="S154" s="5">
        <f t="shared" ca="1" si="29"/>
        <v>1.6693263888888889E-2</v>
      </c>
      <c r="T154">
        <f t="shared" ca="1" si="30"/>
        <v>-0.1020000000000687</v>
      </c>
      <c r="U154" s="2">
        <f t="shared" ca="1" si="22"/>
        <v>2.1296296296297035E-5</v>
      </c>
      <c r="V154" s="2">
        <f t="shared" si="23"/>
        <v>1.0300925925925755E-4</v>
      </c>
      <c r="W154" s="2">
        <f t="shared" ca="1" si="24"/>
        <v>9.6296296296295714E-5</v>
      </c>
      <c r="X154" s="2">
        <f t="shared" ca="1" si="31"/>
        <v>9.6597222222220142E-5</v>
      </c>
      <c r="Y154" s="7">
        <f t="shared" ca="1" si="25"/>
        <v>-0.55400000000003224</v>
      </c>
      <c r="Z154" s="4" t="s">
        <v>410</v>
      </c>
    </row>
    <row r="155" spans="1:26" x14ac:dyDescent="0.3">
      <c r="A155" t="s">
        <v>1294</v>
      </c>
      <c r="B155" s="5" t="str">
        <f t="shared" si="26"/>
        <v>00:26:17.733</v>
      </c>
      <c r="C155" s="4" t="str">
        <f t="shared" si="27"/>
        <v>由于原本求得的x并不是正确的解，我们将其重命名为z，即z=q'(H)y。</v>
      </c>
      <c r="D155">
        <f t="shared" ca="1" si="32"/>
        <v>439</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00:24:10.720</v>
      </c>
      <c r="P155" s="1" t="str">
        <f ca="1">OFFSET(srt!$G$1,D157-2,0)</f>
        <v>00:24:17.680</v>
      </c>
      <c r="Q155">
        <v>246</v>
      </c>
      <c r="R155" s="1">
        <f ca="1">OFFSET(sil!$D$1,sub!Q155-1,0)</f>
        <v>1.6792175925925926E-2</v>
      </c>
      <c r="S155" s="5">
        <f t="shared" ca="1" si="29"/>
        <v>1.678986111111111E-2</v>
      </c>
      <c r="T155">
        <f t="shared" ca="1" si="30"/>
        <v>-7.6000000000198131E-2</v>
      </c>
      <c r="U155" s="2">
        <f t="shared" ca="1" si="22"/>
        <v>2.4074074074072194E-5</v>
      </c>
      <c r="V155" s="2">
        <f t="shared" si="23"/>
        <v>1.064814814814817E-4</v>
      </c>
      <c r="W155" s="2">
        <f t="shared" ca="1" si="24"/>
        <v>1.0462962962962813E-4</v>
      </c>
      <c r="X155" s="2">
        <f t="shared" ca="1" si="31"/>
        <v>1.0366898148148063E-4</v>
      </c>
      <c r="Y155" s="7">
        <f t="shared" ca="1" si="25"/>
        <v>-0.24300000000009314</v>
      </c>
      <c r="Z155" s="4" t="s">
        <v>890</v>
      </c>
    </row>
    <row r="156" spans="1:26" x14ac:dyDescent="0.3">
      <c r="A156" t="s">
        <v>1295</v>
      </c>
      <c r="B156" s="5" t="str">
        <f t="shared" si="26"/>
        <v>00:26:26.933</v>
      </c>
      <c r="C156" s="4" t="str">
        <f t="shared" si="27"/>
        <v>同时，我们定义q'(x)的逆多项式p'(x)，即q'(x)p'(x)=1 mod f(x)。</v>
      </c>
      <c r="D156">
        <f t="shared" ca="1" si="32"/>
        <v>440</v>
      </c>
      <c r="E156">
        <f t="shared" ca="1" si="28"/>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00:24:19.760</v>
      </c>
      <c r="P156" s="1" t="str">
        <f ca="1">OFFSET(srt!$G$1,D158-2,0)</f>
        <v>00:24:26.920</v>
      </c>
      <c r="Q156">
        <v>247</v>
      </c>
      <c r="R156" s="1">
        <f ca="1">OFFSET(sil!$D$1,sub!Q156-1,0)</f>
        <v>1.6895844907407406E-2</v>
      </c>
      <c r="S156" s="5">
        <f t="shared" ca="1" si="29"/>
        <v>1.689353009259259E-2</v>
      </c>
      <c r="T156">
        <f t="shared" ca="1" si="30"/>
        <v>-0.15900000000014236</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411</v>
      </c>
    </row>
    <row r="157" spans="1:26" x14ac:dyDescent="0.3">
      <c r="A157" t="s">
        <v>1296</v>
      </c>
      <c r="B157" s="5" t="str">
        <f t="shared" si="26"/>
        <v>00:26:36.833</v>
      </c>
      <c r="C157" t="str">
        <f t="shared" si="27"/>
        <v>我们不难推出这些式子。为了方便表示，这里将mod f(x)的部分省去了。</v>
      </c>
      <c r="D157">
        <f t="shared" ca="1" si="32"/>
        <v>442</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2</v>
      </c>
      <c r="N157">
        <f ca="1">PrefixLenNorm($C157,OFFSET(srt!$C$1,$D157+COLUMN()-7,0))</f>
        <v>0</v>
      </c>
      <c r="O157" s="5" t="str">
        <f ca="1">OFFSET(srt!$F$1,D158-1,0)</f>
        <v>00:24:28.480</v>
      </c>
      <c r="P157" s="1" t="str">
        <f ca="1">OFFSET(srt!$G$1,D159-2,0)</f>
        <v>00:24:36.000</v>
      </c>
      <c r="Q157">
        <v>249</v>
      </c>
      <c r="R157" s="1">
        <f ca="1">OFFSET(sil!$D$1,sub!Q157-1,0)</f>
        <v>1.6997453703703702E-2</v>
      </c>
      <c r="S157" s="5">
        <f t="shared" ca="1" si="29"/>
        <v>1.6995138888888886E-2</v>
      </c>
      <c r="T157">
        <f t="shared" ca="1" si="30"/>
        <v>-0.10000000000035536</v>
      </c>
      <c r="U157" s="2">
        <f t="shared" ca="1" si="22"/>
        <v>0</v>
      </c>
      <c r="V157" s="2">
        <f t="shared" si="23"/>
        <v>8.912037037036788E-5</v>
      </c>
      <c r="W157" s="2">
        <f t="shared" ca="1" si="24"/>
        <v>8.7037037037034776E-5</v>
      </c>
      <c r="X157" s="2">
        <f t="shared" ca="1" si="31"/>
        <v>8.6909722222222596E-5</v>
      </c>
      <c r="Y157" s="7">
        <f t="shared" ca="1" si="25"/>
        <v>-0.19099999999975248</v>
      </c>
      <c r="Z157" s="4" t="s">
        <v>891</v>
      </c>
    </row>
    <row r="158" spans="1:26" x14ac:dyDescent="0.3">
      <c r="A158" t="s">
        <v>1297</v>
      </c>
      <c r="B158" s="5" t="str">
        <f t="shared" si="26"/>
        <v>00:26:44.533</v>
      </c>
      <c r="C158" s="4" t="str">
        <f t="shared" si="27"/>
        <v>整理后，我们可以得到这些式子。</v>
      </c>
      <c r="D158">
        <f t="shared" ca="1" si="32"/>
        <v>446</v>
      </c>
      <c r="E158">
        <f t="shared" ca="1" si="28"/>
        <v>2</v>
      </c>
      <c r="F158" t="str">
        <f ca="1">OFFSET(srt!$C$1,D159-1,0)</f>
        <v>整理后，</v>
      </c>
      <c r="G158">
        <f ca="1">PrefixLenNorm($C158,OFFSET(srt!$C$1,$D158+COLUMN()-7,0))</f>
        <v>0</v>
      </c>
      <c r="H158">
        <f ca="1">PrefixLenNorm($C158,OFFSET(srt!$C$1,$D158+COLUMN()-7,0))</f>
        <v>3</v>
      </c>
      <c r="I158">
        <f ca="1">PrefixLenNorm($C158,OFFSET(srt!$C$1,$D158+COLUMN()-7,0))</f>
        <v>0</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00:24:36.000</v>
      </c>
      <c r="P158" s="1" t="str">
        <f ca="1">OFFSET(srt!$G$1,D160-2,0)</f>
        <v>00:24:38.200</v>
      </c>
      <c r="Q158">
        <v>251</v>
      </c>
      <c r="R158" s="1">
        <f ca="1">OFFSET(sil!$D$1,sub!Q158-1,0)</f>
        <v>1.7084363425925925E-2</v>
      </c>
      <c r="S158" s="5">
        <f t="shared" ca="1" si="29"/>
        <v>1.7082048611111109E-2</v>
      </c>
      <c r="T158">
        <f t="shared" ca="1" si="30"/>
        <v>-0.11100000000012766</v>
      </c>
      <c r="U158" s="2">
        <f t="shared" ca="1" si="22"/>
        <v>1.7129629629630827E-5</v>
      </c>
      <c r="V158" s="2">
        <f t="shared" si="23"/>
        <v>7.870370370370583E-5</v>
      </c>
      <c r="W158" s="2">
        <f t="shared" ca="1" si="24"/>
        <v>4.259259259259407E-5</v>
      </c>
      <c r="X158" s="2">
        <f t="shared" ca="1" si="31"/>
        <v>4.3101851851853196E-5</v>
      </c>
      <c r="Y158" s="7">
        <f t="shared" ca="1" si="25"/>
        <v>-3.0760000000000676</v>
      </c>
      <c r="Z158" s="4" t="s">
        <v>412</v>
      </c>
    </row>
    <row r="159" spans="1:26" x14ac:dyDescent="0.3">
      <c r="A159" t="s">
        <v>1298</v>
      </c>
      <c r="B159" s="5" t="str">
        <f t="shared" si="26"/>
        <v>00:26:51.333</v>
      </c>
      <c r="C159" t="str">
        <f t="shared" si="27"/>
        <v>最终，我们得到了z=g(H)x。这里，如果g(x)=1，则会有右边这些式子。</v>
      </c>
      <c r="D159">
        <f t="shared" ca="1" si="32"/>
        <v>448</v>
      </c>
      <c r="E159">
        <f t="shared" ca="1" si="28"/>
        <v>2</v>
      </c>
      <c r="F159" t="str">
        <f ca="1">OFFSET(srt!$C$1,D160-1,0)</f>
        <v>最终，</v>
      </c>
      <c r="G159">
        <f ca="1">PrefixLenNorm($C159,OFFSET(srt!$C$1,$D159+COLUMN()-7,0))</f>
        <v>0</v>
      </c>
      <c r="H159">
        <f ca="1">PrefixLenNorm($C159,OFFSET(srt!$C$1,$D159+COLUMN()-7,0))</f>
        <v>2</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00:24:39.680</v>
      </c>
      <c r="P159" s="1" t="str">
        <f ca="1">OFFSET(srt!$G$1,D161-2,0)</f>
        <v>00:24:47.160</v>
      </c>
      <c r="Q159">
        <v>252</v>
      </c>
      <c r="R159" s="1">
        <f ca="1">OFFSET(sil!$D$1,sub!Q159-1,0)</f>
        <v>1.7127465277777778E-2</v>
      </c>
      <c r="S159" s="5">
        <f t="shared" ca="1" si="29"/>
        <v>1.7125150462962962E-2</v>
      </c>
      <c r="T159">
        <f t="shared" ca="1" si="30"/>
        <v>-6.700000000013917E-2</v>
      </c>
      <c r="U159" s="2">
        <f t="shared" ca="1" si="22"/>
        <v>1.8055555555552411E-5</v>
      </c>
      <c r="V159" s="2">
        <f t="shared" si="23"/>
        <v>1.4004629629629436E-4</v>
      </c>
      <c r="W159" s="2">
        <f t="shared" ca="1" si="24"/>
        <v>1.0462962962962813E-4</v>
      </c>
      <c r="X159" s="2">
        <f t="shared" ca="1" si="31"/>
        <v>1.0312499999999905E-4</v>
      </c>
      <c r="Y159" s="7">
        <f t="shared" ca="1" si="25"/>
        <v>-3.1899999999999151</v>
      </c>
      <c r="Z159" s="4" t="s">
        <v>413</v>
      </c>
    </row>
    <row r="160" spans="1:26" x14ac:dyDescent="0.3">
      <c r="A160" t="s">
        <v>1299</v>
      </c>
      <c r="B160" s="5" t="str">
        <f t="shared" si="26"/>
        <v>00:27:03.433</v>
      </c>
      <c r="C160" t="str">
        <f t="shared" si="27"/>
        <v>前面使用的扩展欧几里得法中，我们已求得q'(x)和g(x)。因此，接下来只需要使用g(x)和z即可求得x。</v>
      </c>
      <c r="D160">
        <f t="shared" ca="1" si="32"/>
        <v>450</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00:24:48.720</v>
      </c>
      <c r="P160" s="1" t="str">
        <f ca="1">OFFSET(srt!$G$1,D162-2,0)</f>
        <v>00:24:58.480</v>
      </c>
      <c r="Q160">
        <v>254</v>
      </c>
      <c r="R160" s="1">
        <f ca="1">OFFSET(sil!$D$1,sub!Q160-1,0)</f>
        <v>1.7230590277777777E-2</v>
      </c>
      <c r="S160" s="5">
        <f t="shared" ca="1" si="29"/>
        <v>1.7228275462962961E-2</v>
      </c>
      <c r="T160">
        <f t="shared" ca="1" si="30"/>
        <v>-0.19700000000009155</v>
      </c>
      <c r="U160" s="2">
        <f t="shared" ca="1" si="22"/>
        <v>1.7592592592593354E-5</v>
      </c>
      <c r="V160" s="2">
        <f t="shared" si="23"/>
        <v>1.3773148148148173E-4</v>
      </c>
      <c r="W160" s="2">
        <f t="shared" ca="1" si="24"/>
        <v>1.3055555555555737E-4</v>
      </c>
      <c r="X160" s="2">
        <f t="shared" ca="1" si="31"/>
        <v>1.3091435185185255E-4</v>
      </c>
      <c r="Y160" s="7">
        <f t="shared" ca="1" si="25"/>
        <v>-0.58899999999996178</v>
      </c>
      <c r="Z160" s="4" t="s">
        <v>414</v>
      </c>
    </row>
    <row r="161" spans="1:26" x14ac:dyDescent="0.3">
      <c r="A161" t="s">
        <v>1300</v>
      </c>
      <c r="B161" s="5" t="str">
        <f t="shared" si="26"/>
        <v>00:27:15.333</v>
      </c>
      <c r="C161" t="str">
        <f t="shared" si="27"/>
        <v>前者，我们有公式z=q'(H)y。我们不断让y乘以H，然后使用向量乘以矩阵的方法求得z。</v>
      </c>
      <c r="D161">
        <f t="shared" ca="1" si="32"/>
        <v>454</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00:25:00.000</v>
      </c>
      <c r="P161" s="1" t="str">
        <f ca="1">OFFSET(srt!$G$1,D163-2,0)</f>
        <v>00:25:08.960</v>
      </c>
      <c r="Q161">
        <v>256</v>
      </c>
      <c r="R161" s="1">
        <f ca="1">OFFSET(sil!$D$1,sub!Q161-1,0)</f>
        <v>1.736150462962963E-2</v>
      </c>
      <c r="S161" s="5">
        <f t="shared" ca="1" si="29"/>
        <v>1.7359189814814813E-2</v>
      </c>
      <c r="T161">
        <f t="shared" ca="1" si="30"/>
        <v>-0.16600000000018822</v>
      </c>
      <c r="U161" s="2">
        <f t="shared" ca="1" si="22"/>
        <v>1.7592592592593354E-5</v>
      </c>
      <c r="V161" s="2">
        <f t="shared" si="23"/>
        <v>1.2615740740740816E-4</v>
      </c>
      <c r="W161" s="2">
        <f t="shared" ca="1" si="24"/>
        <v>1.2129629629629643E-4</v>
      </c>
      <c r="X161" s="2">
        <f t="shared" ca="1" si="31"/>
        <v>1.2173611111111066E-4</v>
      </c>
      <c r="Y161" s="7">
        <f t="shared" ca="1" si="25"/>
        <v>-0.38200000000010448</v>
      </c>
      <c r="Z161" s="4" t="s">
        <v>415</v>
      </c>
    </row>
    <row r="162" spans="1:26" x14ac:dyDescent="0.3">
      <c r="A162" t="s">
        <v>1301</v>
      </c>
      <c r="B162" s="5" t="str">
        <f t="shared" si="26"/>
        <v>00:27:26.233</v>
      </c>
      <c r="C162" t="str">
        <f t="shared" si="27"/>
        <v>现在，我们有公式z=g(H)x。由于需要求得的是x，因此不能再使用这个方法来求解。</v>
      </c>
      <c r="D162">
        <f t="shared" ca="1" si="32"/>
        <v>457</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00:25:10.480</v>
      </c>
      <c r="P162" s="1" t="str">
        <f ca="1">OFFSET(srt!$G$1,D164-2,0)</f>
        <v>00:25:18.560</v>
      </c>
      <c r="Q162">
        <v>258</v>
      </c>
      <c r="R162" s="1">
        <f ca="1">OFFSET(sil!$D$1,sub!Q162-1,0)</f>
        <v>1.748324074074074E-2</v>
      </c>
      <c r="S162" s="5">
        <f t="shared" ca="1" si="29"/>
        <v>1.7480925925925924E-2</v>
      </c>
      <c r="T162">
        <f t="shared" ca="1" si="30"/>
        <v>-0.12800000000023903</v>
      </c>
      <c r="U162" s="2">
        <f t="shared" ca="1" si="22"/>
        <v>1.7592592592593354E-5</v>
      </c>
      <c r="V162" s="2">
        <f t="shared" si="23"/>
        <v>1.4004629629629783E-4</v>
      </c>
      <c r="W162" s="2">
        <f t="shared" ca="1" si="24"/>
        <v>1.1111111111111044E-4</v>
      </c>
      <c r="X162" s="2">
        <f t="shared" ca="1" si="31"/>
        <v>1.1083333333333431E-4</v>
      </c>
      <c r="Y162" s="7">
        <f t="shared" ca="1" si="25"/>
        <v>-2.5240000000000484</v>
      </c>
      <c r="Z162" s="4" t="s">
        <v>416</v>
      </c>
    </row>
    <row r="163" spans="1:26" s="8" customFormat="1" x14ac:dyDescent="0.3">
      <c r="A163" s="8" t="s">
        <v>1302</v>
      </c>
      <c r="B163" s="5" t="str">
        <f t="shared" si="26"/>
        <v>00:27:38.333</v>
      </c>
      <c r="C163" s="8" t="str">
        <f t="shared" si="27"/>
        <v>这次，我们需要用反向叠加法来求x。我们以n=5为例。</v>
      </c>
      <c r="D163" s="8">
        <f t="shared" ca="1" si="32"/>
        <v>460</v>
      </c>
      <c r="E163" s="8">
        <f t="shared" ca="1" si="28"/>
        <v>3</v>
      </c>
      <c r="F163" s="8" t="str">
        <f ca="1">OFFSET(srt!$C$1,D164-1,0)</f>
        <v>这次我们需要用反向叠加法来求X，</v>
      </c>
      <c r="G163" s="8">
        <f ca="1">PrefixLenNorm($C163,OFFSET(srt!$C$1,$D163+COLUMN()-7,0))</f>
        <v>0</v>
      </c>
      <c r="H163" s="8">
        <f ca="1">PrefixLenNorm($C163,OFFSET(srt!$C$1,$D163+COLUMN()-7,0))</f>
        <v>0</v>
      </c>
      <c r="I163" s="8">
        <f ca="1">PrefixLenNorm($C163,OFFSET(srt!$C$1,$D163+COLUMN()-7,0))</f>
        <v>15</v>
      </c>
      <c r="J163" s="8">
        <f ca="1">PrefixLenNorm($C163,OFFSET(srt!$C$1,$D163+COLUMN()-7,0))</f>
        <v>0</v>
      </c>
      <c r="K163" s="8">
        <f ca="1">PrefixLenNorm($C163,OFFSET(srt!$C$1,$D163+COLUMN()-7,0))</f>
        <v>0</v>
      </c>
      <c r="L163" s="8">
        <f ca="1">PrefixLenNorm($C163,OFFSET(srt!$C$1,$D163+COLUMN()-7,0))</f>
        <v>1</v>
      </c>
      <c r="M163" s="8">
        <f ca="1">PrefixLenNorm($C163,OFFSET(srt!$C$1,$D163+COLUMN()-7,0))</f>
        <v>0</v>
      </c>
      <c r="N163" s="8">
        <f ca="1">PrefixLenNorm($C163,OFFSET(srt!$C$1,$D163+COLUMN()-7,0))</f>
        <v>0</v>
      </c>
      <c r="O163" s="5" t="str">
        <f ca="1">OFFSET(srt!$F$1,D164-1,0)</f>
        <v>00:25:20.080</v>
      </c>
      <c r="P163" s="5" t="str">
        <f ca="1">OFFSET(srt!$G$1,D165-2,0)</f>
        <v>00:25:26.960</v>
      </c>
      <c r="Q163" s="8">
        <v>260</v>
      </c>
      <c r="R163" s="5">
        <f ca="1">OFFSET(sil!$D$1,sub!Q163-1,0)</f>
        <v>1.7594074074074074E-2</v>
      </c>
      <c r="S163" s="5">
        <f t="shared" ca="1" si="29"/>
        <v>1.7591759259259258E-2</v>
      </c>
      <c r="T163" s="8">
        <f t="shared" ca="1" si="30"/>
        <v>-0.1520000000000965</v>
      </c>
      <c r="U163" s="15">
        <f t="shared" ca="1" si="22"/>
        <v>0</v>
      </c>
      <c r="V163" s="15">
        <f t="shared" si="23"/>
        <v>8.7581018518516351E-5</v>
      </c>
      <c r="W163" s="15">
        <f t="shared" ca="1" si="24"/>
        <v>7.9629629629630883E-5</v>
      </c>
      <c r="X163" s="15">
        <f t="shared" ca="1" si="31"/>
        <v>7.9733796296298232E-5</v>
      </c>
      <c r="Y163" s="7">
        <f t="shared" ca="1" si="25"/>
        <v>-0.67799999999964555</v>
      </c>
      <c r="Z163" s="8" t="s">
        <v>590</v>
      </c>
    </row>
    <row r="164" spans="1:26" x14ac:dyDescent="0.3">
      <c r="A164" t="s">
        <v>1303</v>
      </c>
      <c r="B164" s="5" t="str">
        <f t="shared" si="26"/>
        <v>00:27:45.900</v>
      </c>
      <c r="C164" t="str">
        <f t="shared" si="27"/>
        <v>首先，我们需要使用类似生成矩阵B的方法生成g(H)，这里记为矩阵D，其秩与矩阵B相同。</v>
      </c>
      <c r="D164">
        <f t="shared" ca="1" si="32"/>
        <v>463</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00:25:26.960</v>
      </c>
      <c r="P164" s="1" t="str">
        <f ca="1">OFFSET(srt!$G$1,D166-2,0)</f>
        <v>00:25:36.720</v>
      </c>
      <c r="Q164">
        <v>262</v>
      </c>
      <c r="R164" s="1">
        <f ca="1">OFFSET(sil!$D$1,sub!Q164-1,0)</f>
        <v>1.7673807870370373E-2</v>
      </c>
      <c r="S164" s="5">
        <f t="shared" ca="1" si="29"/>
        <v>1.7671493055555557E-2</v>
      </c>
      <c r="T164">
        <f t="shared" ca="1" si="30"/>
        <v>-0.14300000000003754</v>
      </c>
      <c r="U164" s="2">
        <f t="shared" ca="1" si="22"/>
        <v>0</v>
      </c>
      <c r="V164" s="2">
        <f t="shared" si="23"/>
        <v>1.3888888888888978E-4</v>
      </c>
      <c r="W164" s="2">
        <f t="shared" ca="1" si="24"/>
        <v>1.1296296296296054E-4</v>
      </c>
      <c r="X164" s="2">
        <f t="shared" ca="1" si="31"/>
        <v>1.1241898148147897E-4</v>
      </c>
      <c r="Y164" s="7">
        <f t="shared" ca="1" si="25"/>
        <v>-2.2870000000002944</v>
      </c>
      <c r="Z164" s="4" t="s">
        <v>417</v>
      </c>
    </row>
    <row r="165" spans="1:26" x14ac:dyDescent="0.3">
      <c r="A165" t="s">
        <v>1304</v>
      </c>
      <c r="B165" s="5" t="str">
        <f t="shared" si="26"/>
        <v>00:27:57.900</v>
      </c>
      <c r="C165" t="str">
        <f t="shared" si="27"/>
        <v>1. 创建n个单位向量，也就是矩阵D的第一行。这里和矩阵B相同，一共有n个向量。</v>
      </c>
      <c r="D165">
        <f t="shared" ca="1" si="32"/>
        <v>465</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00:25:36.720</v>
      </c>
      <c r="P165" s="1" t="str">
        <f ca="1">OFFSET(srt!$G$1,D167-2,0)</f>
        <v>00:25:44.160</v>
      </c>
      <c r="Q165">
        <v>264</v>
      </c>
      <c r="R165" s="1">
        <f ca="1">OFFSET(sil!$D$1,sub!Q165-1,0)</f>
        <v>1.7786226851851852E-2</v>
      </c>
      <c r="S165" s="5">
        <f t="shared" ca="1" si="29"/>
        <v>1.7783912037037036E-2</v>
      </c>
      <c r="T165">
        <f t="shared" ca="1" si="30"/>
        <v>-0.19000000000004569</v>
      </c>
      <c r="U165" s="2">
        <f t="shared" ca="1" si="22"/>
        <v>2.2222222222218618E-5</v>
      </c>
      <c r="V165" s="2">
        <f t="shared" si="23"/>
        <v>1.1111111111111044E-4</v>
      </c>
      <c r="W165" s="2">
        <f t="shared" ca="1" si="24"/>
        <v>1.0833333333333181E-4</v>
      </c>
      <c r="X165" s="2">
        <f t="shared" ca="1" si="31"/>
        <v>1.0792824074074003E-4</v>
      </c>
      <c r="Y165" s="7">
        <f t="shared" ca="1" si="25"/>
        <v>-0.27500000000000302</v>
      </c>
      <c r="Z165" s="4" t="s">
        <v>418</v>
      </c>
    </row>
    <row r="166" spans="1:26" x14ac:dyDescent="0.3">
      <c r="A166" t="s">
        <v>1305</v>
      </c>
      <c r="B166" s="5" t="str">
        <f t="shared" si="26"/>
        <v>00:28:07.500</v>
      </c>
      <c r="C166" t="str">
        <f t="shared" si="27"/>
        <v>2. 使用矩阵H，将每个矩阵D的第一行扩散到后续的行。</v>
      </c>
      <c r="D166">
        <f t="shared" ca="1" si="32"/>
        <v>468</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00:25:46.080</v>
      </c>
      <c r="P166" s="1" t="str">
        <f ca="1">OFFSET(srt!$G$1,D168-2,0)</f>
        <v>00:25:50.640</v>
      </c>
      <c r="Q166">
        <v>266</v>
      </c>
      <c r="R166" s="1">
        <f ca="1">OFFSET(sil!$D$1,sub!Q166-1,0)</f>
        <v>1.7894155092592592E-2</v>
      </c>
      <c r="S166" s="5">
        <f t="shared" ca="1" si="29"/>
        <v>1.7891840277777776E-2</v>
      </c>
      <c r="T166">
        <f t="shared" ca="1" si="30"/>
        <v>-0.22499999999997522</v>
      </c>
      <c r="U166" s="2">
        <f t="shared" ca="1" si="22"/>
        <v>2.2222222222222088E-5</v>
      </c>
      <c r="V166" s="2">
        <f t="shared" si="23"/>
        <v>7.6388888888886258E-5</v>
      </c>
      <c r="W166" s="2">
        <f t="shared" ca="1" si="24"/>
        <v>7.5000000000002148E-5</v>
      </c>
      <c r="X166" s="2">
        <f t="shared" ca="1" si="31"/>
        <v>7.5370370370371476E-5</v>
      </c>
      <c r="Y166" s="7">
        <f t="shared" ca="1" si="25"/>
        <v>-8.7999999999677225E-2</v>
      </c>
      <c r="Z166" s="4" t="s">
        <v>419</v>
      </c>
    </row>
    <row r="167" spans="1:26" x14ac:dyDescent="0.3">
      <c r="A167" t="s">
        <v>1306</v>
      </c>
      <c r="B167" s="5" t="str">
        <f t="shared" si="26"/>
        <v>00:28:14.100</v>
      </c>
      <c r="C167" t="str">
        <f t="shared" si="27"/>
        <v>3. 根据多项式g(x)，将每个矩阵D的对应行叠加起来，叠加完的行共同构成一个新的矩阵D。</v>
      </c>
      <c r="D167">
        <f t="shared" ca="1" si="32"/>
        <v>472</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00:25:52.560</v>
      </c>
      <c r="P167" s="1" t="str">
        <f ca="1">OFFSET(srt!$G$1,D169-2,0)</f>
        <v>00:26:00.320</v>
      </c>
      <c r="Q167">
        <v>267</v>
      </c>
      <c r="R167" s="1">
        <f ca="1">OFFSET(sil!$D$1,sub!Q167-1,0)</f>
        <v>1.7969525462962963E-2</v>
      </c>
      <c r="S167" s="5">
        <f t="shared" ca="1" si="29"/>
        <v>1.7967210648148147E-2</v>
      </c>
      <c r="T167">
        <f t="shared" ca="1" si="30"/>
        <v>-0.19300000000006534</v>
      </c>
      <c r="U167" s="2">
        <f t="shared" ca="1" si="22"/>
        <v>1.7592592592593354E-5</v>
      </c>
      <c r="V167" s="2">
        <f t="shared" si="23"/>
        <v>1.2769675925926316E-4</v>
      </c>
      <c r="W167" s="2">
        <f t="shared" ca="1" si="24"/>
        <v>1.0740740740740676E-4</v>
      </c>
      <c r="X167" s="2">
        <f t="shared" ca="1" si="31"/>
        <v>1.0873842592592706E-4</v>
      </c>
      <c r="Y167" s="7">
        <f t="shared" ca="1" si="25"/>
        <v>-1.6380000000002393</v>
      </c>
      <c r="Z167" s="4" t="s">
        <v>420</v>
      </c>
    </row>
    <row r="168" spans="1:26" x14ac:dyDescent="0.3">
      <c r="A168" t="s">
        <v>1307</v>
      </c>
      <c r="B168" s="5" t="str">
        <f t="shared" si="26"/>
        <v>00:28:25.133</v>
      </c>
      <c r="C168" t="str">
        <f t="shared" si="27"/>
        <v>可以发现，这里的步骤和《首行叠加法》类似，共有n个矩阵要生成，时间复杂度是O(n³)。</v>
      </c>
      <c r="D168">
        <f t="shared" ca="1" si="32"/>
        <v>473</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00:26:01.840</v>
      </c>
      <c r="P168" s="1" t="str">
        <f ca="1">OFFSET(srt!$G$1,D170-2,0)</f>
        <v>00:26:11.160</v>
      </c>
      <c r="Q168">
        <v>268</v>
      </c>
      <c r="R168" s="1">
        <f ca="1">OFFSET(sil!$D$1,sub!Q168-1,0)</f>
        <v>1.807826388888889E-2</v>
      </c>
      <c r="S168" s="5">
        <f t="shared" ca="1" si="29"/>
        <v>1.8075949074074074E-2</v>
      </c>
      <c r="T168">
        <f t="shared" ca="1" si="30"/>
        <v>-7.7999999999911473E-2</v>
      </c>
      <c r="U168" s="2">
        <f t="shared" ca="1" si="22"/>
        <v>0</v>
      </c>
      <c r="V168" s="2">
        <f t="shared" si="23"/>
        <v>1.1458333333333112E-4</v>
      </c>
      <c r="W168" s="2">
        <f t="shared" ca="1" si="24"/>
        <v>1.0787037037037275E-4</v>
      </c>
      <c r="X168" s="2">
        <f t="shared" ca="1" si="31"/>
        <v>1.0753472222221894E-4</v>
      </c>
      <c r="Y168" s="7">
        <f t="shared" ca="1" si="25"/>
        <v>-0.6090000000000928</v>
      </c>
      <c r="Z168" s="4" t="s">
        <v>421</v>
      </c>
    </row>
    <row r="169" spans="1:26" x14ac:dyDescent="0.3">
      <c r="A169" t="s">
        <v>1308</v>
      </c>
      <c r="B169" s="5" t="str">
        <f t="shared" si="26"/>
        <v>00:28:35.033</v>
      </c>
      <c r="C169" t="str">
        <f t="shared" si="27"/>
        <v>不过，聪明的你一定能想到，通过《生成矩阵法》调换矩阵的行以后，这些矩阵也都满足十字偶校验约束。</v>
      </c>
      <c r="D169">
        <f t="shared" ca="1" si="32"/>
        <v>475</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00:26:11.160</v>
      </c>
      <c r="P169" s="1" t="str">
        <f ca="1">OFFSET(srt!$G$1,D171-2,0)</f>
        <v>00:26:20.640</v>
      </c>
      <c r="Q169">
        <v>269</v>
      </c>
      <c r="R169" s="1">
        <f ca="1">OFFSET(sil!$D$1,sub!Q169-1,0)</f>
        <v>1.8185798611111109E-2</v>
      </c>
      <c r="S169" s="5">
        <f t="shared" ca="1" si="29"/>
        <v>1.8183483796296293E-2</v>
      </c>
      <c r="T169">
        <f t="shared" ca="1" si="30"/>
        <v>-0.10700000000040122</v>
      </c>
      <c r="U169" s="2">
        <f t="shared" ca="1" si="22"/>
        <v>0</v>
      </c>
      <c r="V169" s="2">
        <f t="shared" si="23"/>
        <v>1.1458333333333459E-4</v>
      </c>
      <c r="W169" s="2">
        <f t="shared" ca="1" si="24"/>
        <v>1.0972222222222286E-4</v>
      </c>
      <c r="X169" s="2">
        <f t="shared" ca="1" si="31"/>
        <v>1.0949074074074333E-4</v>
      </c>
      <c r="Y169" s="7">
        <f t="shared" ca="1" si="25"/>
        <v>-0.43999999999988493</v>
      </c>
      <c r="Z169" s="4" t="s">
        <v>422</v>
      </c>
    </row>
    <row r="170" spans="1:26" x14ac:dyDescent="0.3">
      <c r="A170" t="s">
        <v>1309</v>
      </c>
      <c r="B170" s="5" t="str">
        <f t="shared" si="26"/>
        <v>00:28:44.933</v>
      </c>
      <c r="C170" t="str">
        <f t="shared" si="27"/>
        <v>因此，我们同样只需要生成第一个矩阵，然后递推即可得到矩阵D，时间复杂度降为了O(n²)。</v>
      </c>
      <c r="D170">
        <f t="shared" ca="1" si="32"/>
        <v>478</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00:26:20.640</v>
      </c>
      <c r="P170" s="1" t="str">
        <f ca="1">OFFSET(srt!$G$1,D172-2,0)</f>
        <v>00:26:30.640</v>
      </c>
      <c r="Q170">
        <v>270</v>
      </c>
      <c r="R170" s="1">
        <f ca="1">OFFSET(sil!$D$1,sub!Q170-1,0)</f>
        <v>1.8295289351851853E-2</v>
      </c>
      <c r="S170" s="5">
        <f t="shared" ca="1" si="29"/>
        <v>1.8292974537037036E-2</v>
      </c>
      <c r="T170">
        <f t="shared" ca="1" si="30"/>
        <v>-0.12700000000023248</v>
      </c>
      <c r="U170" s="2">
        <f t="shared" ca="1" si="22"/>
        <v>0</v>
      </c>
      <c r="V170" s="2">
        <f t="shared" si="23"/>
        <v>1.1805555555555527E-4</v>
      </c>
      <c r="W170" s="2">
        <f t="shared" ca="1" si="24"/>
        <v>1.1574074074073917E-4</v>
      </c>
      <c r="X170" s="2">
        <f t="shared" ca="1" si="31"/>
        <v>1.1549768518518549E-4</v>
      </c>
      <c r="Y170" s="7">
        <f t="shared" ca="1" si="25"/>
        <v>-0.22099999999994902</v>
      </c>
      <c r="Z170" s="4" t="s">
        <v>423</v>
      </c>
    </row>
    <row r="171" spans="1:26" x14ac:dyDescent="0.3">
      <c r="A171" t="s">
        <v>1310</v>
      </c>
      <c r="B171" s="5" t="str">
        <f t="shared" si="26"/>
        <v>00:28:55.133</v>
      </c>
      <c r="C171" t="str">
        <f t="shared" si="27"/>
        <v>在生成第一个矩阵的过程中，每行乘以矩阵H的结果，就是刚才的矩阵K。</v>
      </c>
      <c r="D171">
        <f t="shared" ca="1" si="32"/>
        <v>481</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00:26:30.640</v>
      </c>
      <c r="P171" s="1" t="str">
        <f ca="1">OFFSET(srt!$G$1,D173-2,0)</f>
        <v>00:26:36.400</v>
      </c>
      <c r="Q171">
        <v>271</v>
      </c>
      <c r="R171" s="1">
        <f ca="1">OFFSET(sil!$D$1,sub!Q171-1,0)</f>
        <v>1.8410787037037038E-2</v>
      </c>
      <c r="S171" s="5">
        <f t="shared" ca="1" si="29"/>
        <v>1.8408472222222222E-2</v>
      </c>
      <c r="T171">
        <f t="shared" ca="1" si="30"/>
        <v>-0.1480000000000703</v>
      </c>
      <c r="U171" s="2">
        <f t="shared" ca="1" si="22"/>
        <v>1.7592592592593354E-5</v>
      </c>
      <c r="V171" s="2">
        <f t="shared" si="23"/>
        <v>8.7199074074072874E-5</v>
      </c>
      <c r="W171" s="2">
        <f t="shared" ca="1" si="24"/>
        <v>8.4259259259259617E-5</v>
      </c>
      <c r="X171" s="2">
        <f t="shared" ca="1" si="31"/>
        <v>8.4756944444444593E-5</v>
      </c>
      <c r="Y171" s="7">
        <f t="shared" ca="1" si="25"/>
        <v>-0.2109999999998835</v>
      </c>
      <c r="Z171" s="4" t="s">
        <v>424</v>
      </c>
    </row>
    <row r="172" spans="1:26" x14ac:dyDescent="0.3">
      <c r="A172" t="s">
        <v>1311</v>
      </c>
      <c r="B172" s="5" t="str">
        <f t="shared" si="26"/>
        <v>00:29:02.667</v>
      </c>
      <c r="C172" t="str">
        <f t="shared" si="27"/>
        <v>因此，类似Q'(0)=Kq，只需要将g(x)和K直接相乘，即可得到第一个矩阵的最后一行，即矩阵D的第一行d。</v>
      </c>
      <c r="D172">
        <f t="shared" ca="1" si="32"/>
        <v>484</v>
      </c>
      <c r="E172">
        <f t="shared" ca="1" si="28"/>
        <v>2</v>
      </c>
      <c r="F172" t="str">
        <f ca="1">OFFSET(srt!$C$1,D173-1,0)</f>
        <v>因此类似Q撇0等于KQ。</v>
      </c>
      <c r="G172">
        <f ca="1">PrefixLenNorm($C172,OFFSET(srt!$C$1,$D172+COLUMN()-7,0))</f>
        <v>0</v>
      </c>
      <c r="H172">
        <f ca="1">PrefixLenNorm($C172,OFFSET(srt!$C$1,$D172+COLUMN()-7,0))</f>
        <v>5</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5" t="str">
        <f ca="1">OFFSET(srt!$F$1,D173-1,0)</f>
        <v>00:26:37.920</v>
      </c>
      <c r="P172" s="1" t="str">
        <f ca="1">OFFSET(srt!$G$1,D174-2,0)</f>
        <v>00:26:48.000</v>
      </c>
      <c r="Q172">
        <v>272</v>
      </c>
      <c r="R172" s="1">
        <f ca="1">OFFSET(sil!$D$1,sub!Q172-1,0)</f>
        <v>1.8495543981481483E-2</v>
      </c>
      <c r="S172" s="5">
        <f t="shared" ca="1" si="29"/>
        <v>1.8493229166666666E-2</v>
      </c>
      <c r="T172">
        <f t="shared" ca="1" si="30"/>
        <v>-0.10500000000008836</v>
      </c>
      <c r="U172" s="2">
        <f t="shared" ca="1" si="22"/>
        <v>1.7592592592593354E-5</v>
      </c>
      <c r="V172" s="2">
        <f t="shared" si="23"/>
        <v>1.3888888888888978E-4</v>
      </c>
      <c r="W172" s="2">
        <f t="shared" ca="1" si="24"/>
        <v>1.3425925925925758E-4</v>
      </c>
      <c r="X172" s="2">
        <f t="shared" ca="1" si="31"/>
        <v>1.3434027777777663E-4</v>
      </c>
      <c r="Y172" s="7">
        <f t="shared" ca="1" si="25"/>
        <v>-0.39300000000017654</v>
      </c>
      <c r="Z172" s="4" t="s">
        <v>1263</v>
      </c>
    </row>
    <row r="173" spans="1:26" x14ac:dyDescent="0.3">
      <c r="A173" t="s">
        <v>1312</v>
      </c>
      <c r="B173" s="5" t="str">
        <f t="shared" si="26"/>
        <v>00:29:14.667</v>
      </c>
      <c r="C173" t="str">
        <f t="shared" si="27"/>
        <v>然后，我们就可以使用十字偶校验约束的递推关系，求得之后的行。</v>
      </c>
      <c r="D173">
        <f t="shared" ca="1" si="32"/>
        <v>486</v>
      </c>
      <c r="E173">
        <f t="shared" ca="1" si="28"/>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00:26:49.520</v>
      </c>
      <c r="P173" s="1" t="str">
        <f ca="1">OFFSET(srt!$G$1,D175-2,0)</f>
        <v>00:26:54.320</v>
      </c>
      <c r="Q173">
        <v>275</v>
      </c>
      <c r="R173" s="1">
        <f ca="1">OFFSET(sil!$D$1,sub!Q173-1,0)</f>
        <v>1.8629884259259259E-2</v>
      </c>
      <c r="S173" s="5">
        <f t="shared" ca="1" si="29"/>
        <v>1.8627569444444443E-2</v>
      </c>
      <c r="T173">
        <f t="shared" ca="1" si="30"/>
        <v>-9.8000000000042498E-2</v>
      </c>
      <c r="U173" s="2">
        <f t="shared" ca="1" si="22"/>
        <v>1.7592592592593354E-5</v>
      </c>
      <c r="V173" s="2">
        <f t="shared" si="23"/>
        <v>8.9120370370371349E-5</v>
      </c>
      <c r="W173" s="2">
        <f t="shared" ca="1" si="24"/>
        <v>7.3148148148148573E-5</v>
      </c>
      <c r="X173" s="2">
        <f t="shared" ca="1" si="31"/>
        <v>7.3055555555555374E-5</v>
      </c>
      <c r="Y173" s="7">
        <f t="shared" ca="1" si="25"/>
        <v>-1.3880000000001003</v>
      </c>
      <c r="Z173" s="4" t="s">
        <v>425</v>
      </c>
    </row>
    <row r="174" spans="1:26" x14ac:dyDescent="0.3">
      <c r="A174" t="s">
        <v>1313</v>
      </c>
      <c r="B174" s="5" t="str">
        <f t="shared" si="26"/>
        <v>00:29:22.367</v>
      </c>
      <c r="C174" t="str">
        <f t="shared" si="27"/>
        <v>由于矩阵D是由矩阵H生成的，因此具有以下这些性质。这里，n=5，r=3，r'=2。</v>
      </c>
      <c r="D174">
        <f t="shared" ca="1" si="32"/>
        <v>489</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00:26:55.840</v>
      </c>
      <c r="P174" s="1" t="str">
        <f ca="1">OFFSET(srt!$G$1,D176-2,0)</f>
        <v>00:27:04.560</v>
      </c>
      <c r="Q174">
        <v>276</v>
      </c>
      <c r="R174" s="1">
        <f ca="1">OFFSET(sil!$D$1,sub!Q174-1,0)</f>
        <v>1.8702939814814815E-2</v>
      </c>
      <c r="S174" s="5">
        <f t="shared" ca="1" si="29"/>
        <v>1.8700624999999998E-2</v>
      </c>
      <c r="T174">
        <f t="shared" ca="1" si="30"/>
        <v>-0.10600000000009491</v>
      </c>
      <c r="U174" s="2">
        <f t="shared" ca="1" si="22"/>
        <v>2.4074074074075663E-5</v>
      </c>
      <c r="V174" s="2">
        <f t="shared" si="23"/>
        <v>1.2962962962962885E-4</v>
      </c>
      <c r="W174" s="2">
        <f t="shared" ca="1" si="24"/>
        <v>1.2500000000000011E-4</v>
      </c>
      <c r="X174" s="2">
        <f t="shared" ca="1" si="31"/>
        <v>1.2231481481481468E-4</v>
      </c>
      <c r="Y174" s="7">
        <f t="shared" ca="1" si="25"/>
        <v>-0.63199999999994372</v>
      </c>
      <c r="Z174" s="4" t="s">
        <v>426</v>
      </c>
    </row>
    <row r="175" spans="1:26" x14ac:dyDescent="0.3">
      <c r="A175" t="s">
        <v>1314</v>
      </c>
      <c r="B175" s="5" t="str">
        <f t="shared" si="26"/>
        <v>00:29:33.567</v>
      </c>
      <c r="C175" t="str">
        <f t="shared" si="27"/>
        <v>1. 后r=3行，第n行最左边的n-r'-1=n-3个元素为0。</v>
      </c>
      <c r="D175">
        <f t="shared" ca="1" si="32"/>
        <v>490</v>
      </c>
      <c r="E175">
        <f t="shared" ca="1" si="2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00:27:06.640</v>
      </c>
      <c r="P175" s="1" t="str">
        <f ca="1">OFFSET(srt!$G$1,D177-2,0)</f>
        <v>00:27:12.920</v>
      </c>
      <c r="Q175">
        <v>278</v>
      </c>
      <c r="R175" s="1">
        <f ca="1">OFFSET(sil!$D$1,sub!Q175-1,0)</f>
        <v>1.8825254629629629E-2</v>
      </c>
      <c r="S175" s="5">
        <f t="shared" ca="1" si="29"/>
        <v>1.8822939814814813E-2</v>
      </c>
      <c r="T175">
        <f t="shared" ca="1" si="30"/>
        <v>-0.33800000000011599</v>
      </c>
      <c r="U175" s="2">
        <f t="shared" ca="1" si="22"/>
        <v>2.0833333333334508E-5</v>
      </c>
      <c r="V175" s="2">
        <f t="shared" si="23"/>
        <v>9.4907407407408134E-5</v>
      </c>
      <c r="W175" s="2">
        <f t="shared" ca="1" si="24"/>
        <v>9.3518518518520555E-5</v>
      </c>
      <c r="X175" s="2">
        <f t="shared" ca="1" si="31"/>
        <v>9.5590277777776039E-5</v>
      </c>
      <c r="Y175" s="7">
        <f t="shared" ca="1" si="25"/>
        <v>5.8999999999787001E-2</v>
      </c>
      <c r="Z175" s="4" t="s">
        <v>427</v>
      </c>
    </row>
    <row r="176" spans="1:26" x14ac:dyDescent="0.3">
      <c r="A176" t="s">
        <v>1315</v>
      </c>
      <c r="B176" s="5" t="str">
        <f t="shared" si="26"/>
        <v>00:29:41.767</v>
      </c>
      <c r="C176" t="str">
        <f t="shared" si="27"/>
        <v>2. 后r=3行，第n行第n-r'=n-2个元素为1。</v>
      </c>
      <c r="D176">
        <f t="shared" ca="1" si="32"/>
        <v>495</v>
      </c>
      <c r="E176">
        <f t="shared" ca="1" si="2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00:27:14.720</v>
      </c>
      <c r="P176" s="1" t="str">
        <f ca="1">OFFSET(srt!$G$1,D178-2,0)</f>
        <v>00:27:22.120</v>
      </c>
      <c r="Q176">
        <v>279</v>
      </c>
      <c r="R176" s="1">
        <f ca="1">OFFSET(sil!$D$1,sub!Q176-1,0)</f>
        <v>1.8920844907407405E-2</v>
      </c>
      <c r="S176" s="5">
        <f t="shared" ca="1" si="29"/>
        <v>1.8918530092592589E-2</v>
      </c>
      <c r="T176">
        <f t="shared" ca="1" si="30"/>
        <v>-0.15900000000044212</v>
      </c>
      <c r="U176" s="2">
        <f t="shared" ca="1" si="22"/>
        <v>0</v>
      </c>
      <c r="V176" s="2">
        <f t="shared" si="23"/>
        <v>9.4907407407408134E-5</v>
      </c>
      <c r="W176" s="2">
        <f t="shared" ca="1" si="24"/>
        <v>8.5648148148143727E-5</v>
      </c>
      <c r="X176" s="2">
        <f t="shared" ca="1" si="31"/>
        <v>8.6157407407409792E-5</v>
      </c>
      <c r="Y176" s="7">
        <f t="shared" ca="1" si="25"/>
        <v>-0.75599999999985679</v>
      </c>
      <c r="Z176" s="4" t="s">
        <v>428</v>
      </c>
    </row>
    <row r="177" spans="1:26" x14ac:dyDescent="0.3">
      <c r="A177" t="s">
        <v>1316</v>
      </c>
      <c r="B177" s="5" t="str">
        <f t="shared" si="26"/>
        <v>00:29:49.967</v>
      </c>
      <c r="C177" t="str">
        <f t="shared" si="27"/>
        <v>3. 后r=3行，任意一行都不能由别的行叠加，即线性无关。</v>
      </c>
      <c r="D177">
        <f t="shared" ca="1" si="32"/>
        <v>497</v>
      </c>
      <c r="E177">
        <f t="shared" ca="1" si="2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00:27:22.120</v>
      </c>
      <c r="P177" s="1" t="str">
        <f ca="1">OFFSET(srt!$G$1,D179-2,0)</f>
        <v>00:27:29.720</v>
      </c>
      <c r="Q177">
        <v>280</v>
      </c>
      <c r="R177" s="1">
        <f ca="1">OFFSET(sil!$D$1,sub!Q177-1,0)</f>
        <v>1.9007002314814815E-2</v>
      </c>
      <c r="S177" s="5">
        <f t="shared" ca="1" si="29"/>
        <v>1.9004687499999999E-2</v>
      </c>
      <c r="T177">
        <f t="shared" ca="1" si="30"/>
        <v>-0.11499999999985411</v>
      </c>
      <c r="U177" s="2">
        <f t="shared" ca="1" si="22"/>
        <v>0</v>
      </c>
      <c r="V177" s="2">
        <f t="shared" si="23"/>
        <v>8.6805555555555247E-5</v>
      </c>
      <c r="W177" s="2">
        <f t="shared" ca="1" si="24"/>
        <v>8.7962962962966768E-5</v>
      </c>
      <c r="X177" s="2">
        <f t="shared" ca="1" si="31"/>
        <v>8.7662037037035401E-5</v>
      </c>
      <c r="Y177" s="7">
        <f t="shared" ca="1" si="25"/>
        <v>7.3999999999885269E-2</v>
      </c>
      <c r="Z177" s="4" t="s">
        <v>429</v>
      </c>
    </row>
    <row r="178" spans="1:26" x14ac:dyDescent="0.3">
      <c r="A178" t="s">
        <v>1317</v>
      </c>
      <c r="B178" s="5" t="str">
        <f t="shared" si="26"/>
        <v>00:29:57.467</v>
      </c>
      <c r="C178" t="str">
        <f t="shared" si="27"/>
        <v>4. 前r'=2行，任意一行都可以由后r=3行叠加。</v>
      </c>
      <c r="D178">
        <f t="shared" ca="1" si="32"/>
        <v>499</v>
      </c>
      <c r="E178">
        <f t="shared" ca="1" si="2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00:27:29.720</v>
      </c>
      <c r="P178" s="1" t="str">
        <f ca="1">OFFSET(srt!$G$1,D180-2,0)</f>
        <v>00:27:36.320</v>
      </c>
      <c r="Q178">
        <v>281</v>
      </c>
      <c r="R178" s="1">
        <f ca="1">OFFSET(sil!$D$1,sub!Q178-1,0)</f>
        <v>1.9094664351851851E-2</v>
      </c>
      <c r="S178" s="5">
        <f t="shared" ca="1" si="29"/>
        <v>1.9092349537037034E-2</v>
      </c>
      <c r="T178">
        <f t="shared" ca="1" si="30"/>
        <v>-0.1410000000003242</v>
      </c>
      <c r="U178" s="2">
        <f t="shared" ca="1" si="22"/>
        <v>0</v>
      </c>
      <c r="V178" s="2">
        <f t="shared" si="23"/>
        <v>8.1018518518518462E-5</v>
      </c>
      <c r="W178" s="2">
        <f t="shared" ca="1" si="24"/>
        <v>7.6388888888886258E-5</v>
      </c>
      <c r="X178" s="2">
        <f t="shared" ca="1" si="31"/>
        <v>7.6458333333334627E-5</v>
      </c>
      <c r="Y178" s="7">
        <f t="shared" ca="1" si="25"/>
        <v>-0.39399999999988333</v>
      </c>
      <c r="Z178" s="4" t="s">
        <v>430</v>
      </c>
    </row>
    <row r="179" spans="1:26" x14ac:dyDescent="0.3">
      <c r="A179" t="s">
        <v>1318</v>
      </c>
      <c r="B179" s="5" t="str">
        <f t="shared" si="26"/>
        <v>00:30:04.467</v>
      </c>
      <c r="C179" t="str">
        <f t="shared" si="27"/>
        <v>这些性质都不难证明，有兴趣的小伙伴可以自行证明。</v>
      </c>
      <c r="D179">
        <f t="shared" ca="1" si="32"/>
        <v>501</v>
      </c>
      <c r="E179">
        <f t="shared" ca="1" si="2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00:27:36.320</v>
      </c>
      <c r="P179" s="1" t="str">
        <f ca="1">OFFSET(srt!$G$1,D181-2,0)</f>
        <v>00:27:40.400</v>
      </c>
      <c r="Q179">
        <v>282</v>
      </c>
      <c r="R179" s="1">
        <f ca="1">OFFSET(sil!$D$1,sub!Q179-1,0)</f>
        <v>1.9171122685185185E-2</v>
      </c>
      <c r="S179" s="5">
        <f t="shared" ca="1" si="29"/>
        <v>1.9168807870370369E-2</v>
      </c>
      <c r="T179">
        <f t="shared" ca="1" si="30"/>
        <v>-0.13499999999998513</v>
      </c>
      <c r="U179" s="2">
        <f t="shared" ca="1" si="22"/>
        <v>1.6666666666664831E-5</v>
      </c>
      <c r="V179" s="2">
        <f t="shared" si="23"/>
        <v>9.8379629629628818E-5</v>
      </c>
      <c r="W179" s="2">
        <f t="shared" ca="1" si="24"/>
        <v>6.3888888888891104E-5</v>
      </c>
      <c r="X179" s="2">
        <f t="shared" ca="1" si="31"/>
        <v>6.4097222222222333E-5</v>
      </c>
      <c r="Y179" s="7">
        <f t="shared" ca="1" si="25"/>
        <v>-2.9619999999999203</v>
      </c>
      <c r="Z179" s="4" t="s">
        <v>431</v>
      </c>
    </row>
    <row r="180" spans="1:26" s="8" customFormat="1" x14ac:dyDescent="0.3">
      <c r="A180" s="8" t="s">
        <v>1319</v>
      </c>
      <c r="B180" s="5" t="str">
        <f t="shared" si="26"/>
        <v>00:30:12.967</v>
      </c>
      <c r="C180" s="8" t="str">
        <f t="shared" si="27"/>
        <v>现在，我们有z=g(H)x=Dx。我们可以利用D的性质进行求解。接下来，我们需要将z拆解成矩阵D的若干行的叠加，从而表示出x。</v>
      </c>
      <c r="D180" s="8">
        <f t="shared" ca="1" si="32"/>
        <v>503</v>
      </c>
      <c r="E180" s="8">
        <f t="shared" ca="1" si="28"/>
        <v>2</v>
      </c>
      <c r="F180" s="8" t="str">
        <f ca="1">OFFSET(srt!$C$1,D181-1,0)</f>
        <v>现在我们有Z等于GHX等于DX，</v>
      </c>
      <c r="G180" s="8">
        <f ca="1">PrefixLenNorm($C180,OFFSET(srt!$C$1,$D180+COLUMN()-7,0))</f>
        <v>0</v>
      </c>
      <c r="H180" s="8">
        <f ca="1">PrefixLenNorm($C180,OFFSET(srt!$C$1,$D180+COLUMN()-7,0))</f>
        <v>15</v>
      </c>
      <c r="I180" s="8">
        <f ca="1">PrefixLenNorm($C180,OFFSET(srt!$C$1,$D180+COLUMN()-7,0))</f>
        <v>0</v>
      </c>
      <c r="J180" s="8">
        <f ca="1">PrefixLenNorm($C180,OFFSET(srt!$C$1,$D180+COLUMN()-7,0))</f>
        <v>0</v>
      </c>
      <c r="K180" s="8">
        <f ca="1">PrefixLenNorm($C180,OFFSET(srt!$C$1,$D180+COLUMN()-7,0))</f>
        <v>0</v>
      </c>
      <c r="L180" s="8">
        <f ca="1">PrefixLenNorm($C180,OFFSET(srt!$C$1,$D180+COLUMN()-7,0))</f>
        <v>0</v>
      </c>
      <c r="M180" s="8">
        <f ca="1">PrefixLenNorm($C180,OFFSET(srt!$C$1,$D180+COLUMN()-7,0))</f>
        <v>0</v>
      </c>
      <c r="N180" s="8">
        <f ca="1">PrefixLenNorm($C180,OFFSET(srt!$C$1,$D180+COLUMN()-7,0))</f>
        <v>0</v>
      </c>
      <c r="O180" s="5" t="str">
        <f ca="1">OFFSET(srt!$F$1,D181-1,0)</f>
        <v>00:27:41.840</v>
      </c>
      <c r="P180" s="5" t="str">
        <f ca="1">OFFSET(srt!$G$1,D182-2,0)</f>
        <v>00:27:55.960</v>
      </c>
      <c r="Q180" s="8">
        <v>283</v>
      </c>
      <c r="R180" s="5">
        <f ca="1">OFFSET(sil!$D$1,sub!Q180-1,0)</f>
        <v>1.9235219907407407E-2</v>
      </c>
      <c r="S180" s="5">
        <f t="shared" ca="1" si="29"/>
        <v>1.9232905092592591E-2</v>
      </c>
      <c r="T180" s="8">
        <f t="shared" ca="1" si="30"/>
        <v>-0.11700000000016697</v>
      </c>
      <c r="U180" s="15">
        <f t="shared" ca="1" si="22"/>
        <v>0</v>
      </c>
      <c r="V180" s="15">
        <f t="shared" si="23"/>
        <v>1.6743055555555608E-4</v>
      </c>
      <c r="W180" s="15">
        <f t="shared" ca="1" si="24"/>
        <v>1.634259259259245E-4</v>
      </c>
      <c r="X180" s="15">
        <f t="shared" ca="1" si="31"/>
        <v>1.63310185185183E-4</v>
      </c>
      <c r="Y180" s="7">
        <f t="shared" ca="1" si="25"/>
        <v>-0.35600000000023391</v>
      </c>
      <c r="Z180" s="8" t="s">
        <v>432</v>
      </c>
    </row>
    <row r="181" spans="1:26" x14ac:dyDescent="0.3">
      <c r="A181" t="s">
        <v>1320</v>
      </c>
      <c r="B181" s="5" t="str">
        <f t="shared" si="26"/>
        <v>00:30:27.433</v>
      </c>
      <c r="C181" t="str">
        <f t="shared" si="27"/>
        <v>由于矩阵D后三行线性无关，因此我们只考虑把后三行叠加起来，不考虑前二行。</v>
      </c>
      <c r="D181">
        <f t="shared" ca="1" si="32"/>
        <v>505</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00:27:55.960</v>
      </c>
      <c r="P181" s="1" t="str">
        <f ca="1">OFFSET(srt!$G$1,D183-2,0)</f>
        <v>00:28:02.640</v>
      </c>
      <c r="Q181">
        <v>286</v>
      </c>
      <c r="R181" s="1">
        <f ca="1">OFFSET(sil!$D$1,sub!Q181-1,0)</f>
        <v>1.939853009259259E-2</v>
      </c>
      <c r="S181" s="5">
        <f t="shared" ca="1" si="29"/>
        <v>1.9396215277777774E-2</v>
      </c>
      <c r="T181">
        <f t="shared" ca="1" si="30"/>
        <v>-0.12700000000023248</v>
      </c>
      <c r="U181" s="2">
        <f t="shared" ca="1" si="22"/>
        <v>1.944444444443999E-5</v>
      </c>
      <c r="V181" s="2">
        <f t="shared" si="23"/>
        <v>1.0300925925926102E-4</v>
      </c>
      <c r="W181" s="2">
        <f t="shared" ca="1" si="24"/>
        <v>9.675925925925824E-5</v>
      </c>
      <c r="X181" s="2">
        <f t="shared" ca="1" si="31"/>
        <v>9.5567129629631209E-5</v>
      </c>
      <c r="Y181" s="7">
        <f t="shared" ca="1" si="25"/>
        <v>-0.64300000000001578</v>
      </c>
      <c r="Z181" s="4" t="s">
        <v>892</v>
      </c>
    </row>
    <row r="182" spans="1:26" x14ac:dyDescent="0.3">
      <c r="A182" t="s">
        <v>1321</v>
      </c>
      <c r="B182" s="5" t="str">
        <f t="shared" si="26"/>
        <v>00:30:36.333</v>
      </c>
      <c r="C182" t="str">
        <f t="shared" si="27"/>
        <v>这里，我们尝试将后三行的若干行叠加到现有的z上，使其被消去。</v>
      </c>
      <c r="D182">
        <f t="shared" ca="1" si="32"/>
        <v>509</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00:28:04.320</v>
      </c>
      <c r="P182" s="1" t="str">
        <f ca="1">OFFSET(srt!$G$1,D184-2,0)</f>
        <v>00:28:11.080</v>
      </c>
      <c r="Q182">
        <v>287</v>
      </c>
      <c r="R182" s="1">
        <f ca="1">OFFSET(sil!$D$1,sub!Q182-1,0)</f>
        <v>1.9494097222222222E-2</v>
      </c>
      <c r="S182" s="5">
        <f t="shared" ca="1" si="29"/>
        <v>1.9491782407407406E-2</v>
      </c>
      <c r="T182">
        <f t="shared" ca="1" si="30"/>
        <v>-0.23000000000000798</v>
      </c>
      <c r="U182" s="2">
        <f t="shared" ca="1" si="22"/>
        <v>0</v>
      </c>
      <c r="V182" s="2">
        <f t="shared" si="23"/>
        <v>7.9861111111106942E-5</v>
      </c>
      <c r="W182" s="2">
        <f t="shared" ca="1" si="24"/>
        <v>7.8240740740743303E-5</v>
      </c>
      <c r="X182" s="2">
        <f t="shared" ca="1" si="31"/>
        <v>7.9340277777777135E-5</v>
      </c>
      <c r="Y182" s="7">
        <f t="shared" ca="1" si="25"/>
        <v>-4.4999999999695284E-2</v>
      </c>
      <c r="Z182" s="4" t="s">
        <v>433</v>
      </c>
    </row>
    <row r="183" spans="1:26" x14ac:dyDescent="0.3">
      <c r="A183" t="s">
        <v>1322</v>
      </c>
      <c r="B183" s="5" t="str">
        <f t="shared" si="26"/>
        <v>00:30:43.233</v>
      </c>
      <c r="C183" t="str">
        <f t="shared" si="27"/>
        <v>让我们观察z的第一个元素和D的后三行。在D的后三行中，第三行的第一个元素为1。</v>
      </c>
      <c r="D183">
        <f t="shared" ca="1" si="32"/>
        <v>512</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00:28:11.080</v>
      </c>
      <c r="P183" s="1" t="str">
        <f ca="1">OFFSET(srt!$G$1,D185-2,0)</f>
        <v>00:28:19.760</v>
      </c>
      <c r="Q183">
        <v>288</v>
      </c>
      <c r="R183" s="1">
        <f ca="1">OFFSET(sil!$D$1,sub!Q183-1,0)</f>
        <v>1.9573437499999999E-2</v>
      </c>
      <c r="S183" s="5">
        <f t="shared" ca="1" si="29"/>
        <v>1.9571122685185183E-2</v>
      </c>
      <c r="T183">
        <f t="shared" ca="1" si="30"/>
        <v>-0.13500000000028489</v>
      </c>
      <c r="U183" s="2">
        <f t="shared" ca="1" si="22"/>
        <v>0</v>
      </c>
      <c r="V183" s="2">
        <f t="shared" si="23"/>
        <v>1.1805555555555874E-4</v>
      </c>
      <c r="W183" s="2">
        <f t="shared" ca="1" si="24"/>
        <v>1.0046296296296192E-4</v>
      </c>
      <c r="X183" s="2">
        <f t="shared" ca="1" si="31"/>
        <v>1.0024305555555654E-4</v>
      </c>
      <c r="Y183" s="7">
        <f t="shared" ca="1" si="25"/>
        <v>-1.5390000000001902</v>
      </c>
      <c r="Z183" s="4" t="s">
        <v>434</v>
      </c>
    </row>
    <row r="184" spans="1:26" x14ac:dyDescent="0.3">
      <c r="A184" t="s">
        <v>1323</v>
      </c>
      <c r="B184" s="5" t="str">
        <f t="shared" si="26"/>
        <v>00:30:53.433</v>
      </c>
      <c r="C184" t="str">
        <f t="shared" si="27"/>
        <v>由于z的第一个元素已经为0。如果我们叠加第三行，则z的第一个元素会变为1。因此不能叠加第三行。</v>
      </c>
      <c r="D184">
        <f t="shared" ca="1" si="32"/>
        <v>514</v>
      </c>
      <c r="E184">
        <f t="shared" ca="1" si="28"/>
        <v>3</v>
      </c>
      <c r="F184" t="str">
        <f ca="1">OFFSET(srt!$C$1,D185-1,0)</f>
        <v>由于Z的第一个元素已经为零，</v>
      </c>
      <c r="G184">
        <f ca="1">PrefixLenNorm($C184,OFFSET(srt!$C$1,$D184+COLUMN()-7,0))</f>
        <v>0</v>
      </c>
      <c r="H184">
        <f ca="1">PrefixLenNorm($C184,OFFSET(srt!$C$1,$D184+COLUMN()-7,0))</f>
        <v>0</v>
      </c>
      <c r="I184">
        <f ca="1">PrefixLenNorm($C184,OFFSET(srt!$C$1,$D184+COLUMN()-7,0))</f>
        <v>12</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00:28:19.760</v>
      </c>
      <c r="P184" s="1" t="str">
        <f ca="1">OFFSET(srt!$G$1,D186-2,0)</f>
        <v>00:28:29.040</v>
      </c>
      <c r="Q184">
        <v>290</v>
      </c>
      <c r="R184" s="1">
        <f ca="1">OFFSET(sil!$D$1,sub!Q184-1,0)</f>
        <v>1.9673680555555555E-2</v>
      </c>
      <c r="S184" s="5">
        <f t="shared" ca="1" si="29"/>
        <v>1.9671365740740739E-2</v>
      </c>
      <c r="T184">
        <f t="shared" ca="1" si="30"/>
        <v>-0.1540000000001096</v>
      </c>
      <c r="U184" s="2">
        <f t="shared" ca="1" si="22"/>
        <v>1.7592592592593354E-5</v>
      </c>
      <c r="V184" s="2">
        <f t="shared" si="23"/>
        <v>1.2962962962962885E-4</v>
      </c>
      <c r="W184" s="2">
        <f t="shared" ca="1" si="24"/>
        <v>1.2500000000000011E-4</v>
      </c>
      <c r="X184" s="2">
        <f t="shared" ca="1" si="31"/>
        <v>1.2547453703703679E-4</v>
      </c>
      <c r="Y184" s="7">
        <f t="shared" ca="1" si="25"/>
        <v>-0.3589999999999538</v>
      </c>
      <c r="Z184" s="4" t="s">
        <v>893</v>
      </c>
    </row>
    <row r="185" spans="1:26" x14ac:dyDescent="0.3">
      <c r="A185" t="s">
        <v>1324</v>
      </c>
      <c r="B185" s="5" t="str">
        <f t="shared" si="26"/>
        <v>00:31:04.633</v>
      </c>
      <c r="C185" t="str">
        <f t="shared" si="27"/>
        <v>我们再看z的第二个元素，该元素为1，因此，我们需要将第四行叠加到z上。</v>
      </c>
      <c r="D185">
        <f t="shared" ca="1" si="32"/>
        <v>517</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2</v>
      </c>
      <c r="N185">
        <f ca="1">PrefixLenNorm($C185,OFFSET(srt!$C$1,$D185+COLUMN()-7,0))</f>
        <v>0</v>
      </c>
      <c r="O185" s="5" t="str">
        <f ca="1">OFFSET(srt!$F$1,D186-1,0)</f>
        <v>00:28:30.560</v>
      </c>
      <c r="P185" s="1" t="str">
        <f ca="1">OFFSET(srt!$G$1,D187-2,0)</f>
        <v>00:28:38.120</v>
      </c>
      <c r="Q185">
        <v>293</v>
      </c>
      <c r="R185" s="1">
        <f ca="1">OFFSET(sil!$D$1,sub!Q185-1,0)</f>
        <v>1.9799155092592592E-2</v>
      </c>
      <c r="S185" s="5">
        <f t="shared" ca="1" si="29"/>
        <v>1.9796840277777776E-2</v>
      </c>
      <c r="T185">
        <f t="shared" ca="1" si="30"/>
        <v>-0.11300000000014077</v>
      </c>
      <c r="U185" s="2">
        <f t="shared" ca="1" si="22"/>
        <v>0</v>
      </c>
      <c r="V185" s="2">
        <f t="shared" si="23"/>
        <v>9.4907407407408134E-5</v>
      </c>
      <c r="W185" s="2">
        <f t="shared" ca="1" si="24"/>
        <v>8.7499999999997302E-5</v>
      </c>
      <c r="X185" s="2">
        <f t="shared" ca="1" si="31"/>
        <v>8.8125000000001397E-5</v>
      </c>
      <c r="Y185" s="7">
        <f t="shared" ca="1" si="25"/>
        <v>-0.58599999999994212</v>
      </c>
      <c r="Z185" s="4" t="s">
        <v>435</v>
      </c>
    </row>
    <row r="186" spans="1:26" x14ac:dyDescent="0.3">
      <c r="A186" t="s">
        <v>1325</v>
      </c>
      <c r="B186" s="5" t="str">
        <f t="shared" si="26"/>
        <v>00:31:12.833</v>
      </c>
      <c r="C186" t="str">
        <f t="shared" si="27"/>
        <v>现在，z的第二个元素被消去了，同时，x的第四个元素被标记为1。</v>
      </c>
      <c r="D186">
        <f t="shared" ca="1" si="32"/>
        <v>521</v>
      </c>
      <c r="E186">
        <f t="shared" ca="1" si="28"/>
        <v>4</v>
      </c>
      <c r="F186" t="str">
        <f ca="1">OFFSET(srt!$C$1,D187-1,0)</f>
        <v>现在Z的第二个元素被消去了，</v>
      </c>
      <c r="G186">
        <f ca="1">PrefixLenNorm($C186,OFFSET(srt!$C$1,$D186+COLUMN()-7,0))</f>
        <v>0</v>
      </c>
      <c r="H186">
        <f ca="1">PrefixLenNorm($C186,OFFSET(srt!$C$1,$D186+COLUMN()-7,0))</f>
        <v>0</v>
      </c>
      <c r="I186">
        <f ca="1">PrefixLenNorm($C186,OFFSET(srt!$C$1,$D186+COLUMN()-7,0))</f>
        <v>0</v>
      </c>
      <c r="J186">
        <f ca="1">PrefixLenNorm($C186,OFFSET(srt!$C$1,$D186+COLUMN()-7,0))</f>
        <v>13</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00:28:38.120</v>
      </c>
      <c r="P186" s="1" t="str">
        <f ca="1">OFFSET(srt!$G$1,D188-2,0)</f>
        <v>00:28:45.680</v>
      </c>
      <c r="Q186">
        <v>294</v>
      </c>
      <c r="R186" s="1">
        <f ca="1">OFFSET(sil!$D$1,sub!Q186-1,0)</f>
        <v>1.9887280092592594E-2</v>
      </c>
      <c r="S186" s="5">
        <f t="shared" ca="1" si="29"/>
        <v>1.9884965277777777E-2</v>
      </c>
      <c r="T186">
        <f t="shared" ca="1" si="30"/>
        <v>-5.8999999999787001E-2</v>
      </c>
      <c r="U186" s="2">
        <f t="shared" ca="1" si="22"/>
        <v>0</v>
      </c>
      <c r="V186" s="2">
        <f t="shared" si="23"/>
        <v>9.027777777777593E-5</v>
      </c>
      <c r="W186" s="2">
        <f t="shared" ca="1" si="24"/>
        <v>8.7500000000004241E-5</v>
      </c>
      <c r="X186" s="2">
        <f t="shared" ca="1" si="31"/>
        <v>8.7083333333334845E-5</v>
      </c>
      <c r="Y186" s="7">
        <f t="shared" ca="1" si="25"/>
        <v>-0.27599999999970981</v>
      </c>
      <c r="Z186" s="4" t="s">
        <v>436</v>
      </c>
    </row>
    <row r="187" spans="1:26" x14ac:dyDescent="0.3">
      <c r="A187" t="s">
        <v>1326</v>
      </c>
      <c r="B187" s="5" t="str">
        <f t="shared" si="26"/>
        <v>00:31:20.633</v>
      </c>
      <c r="C187" t="str">
        <f t="shared" si="27"/>
        <v>我们接着看z的第三个元素。由于z的第三个元素变为了1，我们需要叠加D的第五行。</v>
      </c>
      <c r="D187">
        <f t="shared" ca="1" si="32"/>
        <v>525</v>
      </c>
      <c r="E187">
        <f t="shared" ca="1" si="28"/>
        <v>2</v>
      </c>
      <c r="F187" t="str">
        <f ca="1">OFFSET(srt!$C$1,D188-1,0)</f>
        <v>我们接着看Z的第三个元素，</v>
      </c>
      <c r="G187">
        <f ca="1">PrefixLenNorm($C187,OFFSET(srt!$C$1,$D187+COLUMN()-7,0))</f>
        <v>0</v>
      </c>
      <c r="H187">
        <f ca="1">PrefixLenNorm($C187,OFFSET(srt!$C$1,$D187+COLUMN()-7,0))</f>
        <v>12</v>
      </c>
      <c r="I187">
        <f ca="1">PrefixLenNorm($C187,OFFSET(srt!$C$1,$D187+COLUMN()-7,0))</f>
        <v>0</v>
      </c>
      <c r="J187">
        <f ca="1">PrefixLenNorm($C187,OFFSET(srt!$C$1,$D187+COLUMN()-7,0))</f>
        <v>2</v>
      </c>
      <c r="K187">
        <f ca="1">PrefixLenNorm($C187,OFFSET(srt!$C$1,$D187+COLUMN()-7,0))</f>
        <v>0</v>
      </c>
      <c r="L187">
        <f ca="1">PrefixLenNorm($C187,OFFSET(srt!$C$1,$D187+COLUMN()-7,0))</f>
        <v>0</v>
      </c>
      <c r="M187">
        <f ca="1">PrefixLenNorm($C187,OFFSET(srt!$C$1,$D187+COLUMN()-7,0))</f>
        <v>0</v>
      </c>
      <c r="N187">
        <f ca="1">PrefixLenNorm($C187,OFFSET(srt!$C$1,$D187+COLUMN()-7,0))</f>
        <v>0</v>
      </c>
      <c r="O187" s="5" t="str">
        <f ca="1">OFFSET(srt!$F$1,D188-1,0)</f>
        <v>00:28:45.680</v>
      </c>
      <c r="P187" s="1" t="str">
        <f ca="1">OFFSET(srt!$G$1,D189-2,0)</f>
        <v>00:28:52.560</v>
      </c>
      <c r="Q187">
        <v>295</v>
      </c>
      <c r="R187" s="1">
        <f ca="1">OFFSET(sil!$D$1,sub!Q187-1,0)</f>
        <v>1.9974363425925928E-2</v>
      </c>
      <c r="S187" s="5">
        <f t="shared" ca="1" si="29"/>
        <v>1.9972048611111112E-2</v>
      </c>
      <c r="T187">
        <f t="shared" ca="1" si="30"/>
        <v>-9.5000000000022844E-2</v>
      </c>
      <c r="U187" s="2">
        <f t="shared" ca="1" si="22"/>
        <v>1.8518518518521876E-5</v>
      </c>
      <c r="V187" s="2">
        <f t="shared" si="23"/>
        <v>1.064814814814817E-4</v>
      </c>
      <c r="W187" s="2">
        <f t="shared" ca="1" si="24"/>
        <v>9.8148148148149289E-5</v>
      </c>
      <c r="X187" s="2">
        <f t="shared" ca="1" si="31"/>
        <v>9.8321759259258068E-5</v>
      </c>
      <c r="Y187" s="7">
        <f t="shared" ca="1" si="25"/>
        <v>-0.7050000000001222</v>
      </c>
      <c r="Z187" s="4" t="s">
        <v>437</v>
      </c>
    </row>
    <row r="188" spans="1:26" x14ac:dyDescent="0.3">
      <c r="A188" t="s">
        <v>1327</v>
      </c>
      <c r="B188" s="5" t="str">
        <f t="shared" si="26"/>
        <v>00:31:29.833</v>
      </c>
      <c r="C188" t="str">
        <f t="shared" si="27"/>
        <v>这次，z被彻底消去了，变为了零，并且，x的第五个元素被标记为1。</v>
      </c>
      <c r="D188">
        <f t="shared" ca="1" si="32"/>
        <v>527</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00:28:54.160</v>
      </c>
      <c r="P188" s="1" t="str">
        <f ca="1">OFFSET(srt!$G$1,D190-2,0)</f>
        <v>00:29:00.320</v>
      </c>
      <c r="Q188">
        <v>297</v>
      </c>
      <c r="R188" s="1">
        <f ca="1">OFFSET(sil!$D$1,sub!Q188-1,0)</f>
        <v>2.0072685185185186E-2</v>
      </c>
      <c r="S188" s="5">
        <f t="shared" ca="1" si="29"/>
        <v>2.007037037037037E-2</v>
      </c>
      <c r="T188">
        <f t="shared" ca="1" si="30"/>
        <v>-8.0000000000224336E-2</v>
      </c>
      <c r="U188" s="2">
        <f t="shared" ca="1" si="22"/>
        <v>1.9444444444446929E-5</v>
      </c>
      <c r="V188" s="2">
        <f t="shared" si="23"/>
        <v>9.6064814814816185E-5</v>
      </c>
      <c r="W188" s="2">
        <f t="shared" ca="1" si="24"/>
        <v>9.0740740740738457E-5</v>
      </c>
      <c r="X188" s="2">
        <f t="shared" ca="1" si="31"/>
        <v>8.9236111111109379E-5</v>
      </c>
      <c r="Y188" s="7">
        <f t="shared" ca="1" si="25"/>
        <v>-0.59000000000026809</v>
      </c>
      <c r="Z188" s="4" t="s">
        <v>438</v>
      </c>
    </row>
    <row r="189" spans="1:26" x14ac:dyDescent="0.3">
      <c r="A189" t="s">
        <v>1328</v>
      </c>
      <c r="B189" s="5" t="str">
        <f t="shared" si="26"/>
        <v>00:31:38.133</v>
      </c>
      <c r="C189" t="str">
        <f t="shared" si="27"/>
        <v>由此，我们通过依次叠加D的后三行，将z的元素依次消去。同时，将叠加的行标记为1，也就求得了最终的x。</v>
      </c>
      <c r="D189">
        <f t="shared" ca="1" si="32"/>
        <v>530</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1</v>
      </c>
      <c r="O189" s="5" t="str">
        <f ca="1">OFFSET(srt!$F$1,D190-1,0)</f>
        <v>00:29:02.000</v>
      </c>
      <c r="P189" s="1" t="str">
        <f ca="1">OFFSET(srt!$G$1,D191-2,0)</f>
        <v>00:29:11.440</v>
      </c>
      <c r="Q189">
        <v>298</v>
      </c>
      <c r="R189" s="1">
        <f ca="1">OFFSET(sil!$D$1,sub!Q189-1,0)</f>
        <v>2.0161921296296296E-2</v>
      </c>
      <c r="S189" s="5">
        <f t="shared" ca="1" si="29"/>
        <v>2.015960648148148E-2</v>
      </c>
      <c r="T189">
        <f t="shared" ca="1" si="30"/>
        <v>-0.21000000000017671</v>
      </c>
      <c r="U189" s="2">
        <f t="shared" ca="1" si="22"/>
        <v>1.7592592592593354E-5</v>
      </c>
      <c r="V189" s="2">
        <f t="shared" si="23"/>
        <v>1.3310185185184953E-4</v>
      </c>
      <c r="W189" s="2">
        <f t="shared" ca="1" si="24"/>
        <v>1.2685185185185369E-4</v>
      </c>
      <c r="X189" s="2">
        <f t="shared" ca="1" si="31"/>
        <v>1.2761574074074064E-4</v>
      </c>
      <c r="Y189" s="7">
        <f t="shared" ca="1" si="25"/>
        <v>-0.47399999999980791</v>
      </c>
      <c r="Z189" s="4" t="s">
        <v>439</v>
      </c>
    </row>
    <row r="190" spans="1:26" x14ac:dyDescent="0.3">
      <c r="A190" t="s">
        <v>1329</v>
      </c>
      <c r="B190" s="5" t="str">
        <f t="shared" si="26"/>
        <v>00:31:49.633</v>
      </c>
      <c r="C190" t="str">
        <f t="shared" si="27"/>
        <v>不难发现这里求得的x是一个特解。</v>
      </c>
      <c r="D190">
        <f t="shared" ca="1" si="32"/>
        <v>533</v>
      </c>
      <c r="E190">
        <f t="shared" ca="1" si="28"/>
        <v>4</v>
      </c>
      <c r="F190" t="str">
        <f ca="1">OFFSET(srt!$C$1,D191-1,0)</f>
        <v>不难发现这里求得的X是一个特解，</v>
      </c>
      <c r="G190">
        <f ca="1">PrefixLenNorm($C190,OFFSET(srt!$C$1,$D190+COLUMN()-7,0))</f>
        <v>0</v>
      </c>
      <c r="H190">
        <f ca="1">PrefixLenNorm($C190,OFFSET(srt!$C$1,$D190+COLUMN()-7,0))</f>
        <v>0</v>
      </c>
      <c r="I190">
        <f ca="1">PrefixLenNorm($C190,OFFSET(srt!$C$1,$D190+COLUMN()-7,0))</f>
        <v>0</v>
      </c>
      <c r="J190">
        <f ca="1">PrefixLenNorm($C190,OFFSET(srt!$C$1,$D190+COLUMN()-7,0))</f>
        <v>15</v>
      </c>
      <c r="K190">
        <f ca="1">PrefixLenNorm($C190,OFFSET(srt!$C$1,$D190+COLUMN()-7,0))</f>
        <v>0</v>
      </c>
      <c r="L190">
        <f ca="1">PrefixLenNorm($C190,OFFSET(srt!$C$1,$D190+COLUMN()-7,0))</f>
        <v>0</v>
      </c>
      <c r="M190">
        <f ca="1">PrefixLenNorm($C190,OFFSET(srt!$C$1,$D190+COLUMN()-7,0))</f>
        <v>0</v>
      </c>
      <c r="N190">
        <f ca="1">PrefixLenNorm($C190,OFFSET(srt!$C$1,$D190+COLUMN()-7,0))</f>
        <v>0</v>
      </c>
      <c r="O190" s="5" t="str">
        <f ca="1">OFFSET(srt!$F$1,D191-1,0)</f>
        <v>00:29:12.960</v>
      </c>
      <c r="P190" s="1" t="str">
        <f ca="1">OFFSET(srt!$G$1,D192-2,0)</f>
        <v>00:29:15.880</v>
      </c>
      <c r="Q190">
        <v>300</v>
      </c>
      <c r="R190" s="1">
        <f ca="1">OFFSET(sil!$D$1,sub!Q190-1,0)</f>
        <v>2.0289537037037036E-2</v>
      </c>
      <c r="S190" s="5">
        <f t="shared" ca="1" si="29"/>
        <v>2.028722222222222E-2</v>
      </c>
      <c r="T190">
        <f t="shared" ca="1" si="30"/>
        <v>-0.14400000000034385</v>
      </c>
      <c r="U190" s="2">
        <f t="shared" ca="1" si="22"/>
        <v>1.7129629629627358E-5</v>
      </c>
      <c r="V190" s="2">
        <f t="shared" si="23"/>
        <v>5.3240740740742587E-5</v>
      </c>
      <c r="W190" s="2">
        <f t="shared" ca="1" si="24"/>
        <v>5.0925925925923016E-5</v>
      </c>
      <c r="X190" s="2">
        <f t="shared" ca="1" si="31"/>
        <v>5.1423611111111461E-5</v>
      </c>
      <c r="Y190" s="7">
        <f t="shared" ca="1" si="25"/>
        <v>-0.15700000000012926</v>
      </c>
      <c r="Z190" s="4" t="s">
        <v>440</v>
      </c>
    </row>
    <row r="191" spans="1:26" x14ac:dyDescent="0.3">
      <c r="A191" t="s">
        <v>1330</v>
      </c>
      <c r="B191" s="5" t="str">
        <f t="shared" si="26"/>
        <v>00:31:54.233</v>
      </c>
      <c r="C191" t="str">
        <f t="shared" si="27"/>
        <v>由于前r'行可以表示为后r行的线性叠加，因此我们可以在消去z之前，先将其和前r'的任意行叠加，然后再求解。</v>
      </c>
      <c r="D191">
        <f t="shared" ca="1" si="32"/>
        <v>537</v>
      </c>
      <c r="E191">
        <f t="shared" ca="1" si="28"/>
        <v>1</v>
      </c>
      <c r="F191" t="str">
        <f ca="1">OFFSET(srt!$C$1,D192-1,0)</f>
        <v>由于前二撇行可以表示为后二行的线性叠加，</v>
      </c>
      <c r="G191">
        <f ca="1">PrefixLenNorm($C191,OFFSET(srt!$C$1,$D191+COLUMN()-7,0))</f>
        <v>3</v>
      </c>
      <c r="H191">
        <f ca="1">PrefixLenNorm($C191,OFFSET(srt!$C$1,$D191+COLUMN()-7,0))</f>
        <v>0</v>
      </c>
      <c r="I191">
        <f ca="1">PrefixLenNorm($C191,OFFSET(srt!$C$1,$D191+COLUMN()-7,0))</f>
        <v>0</v>
      </c>
      <c r="J191">
        <f ca="1">PrefixLenNorm($C191,OFFSET(srt!$C$1,$D191+COLUMN()-7,0))</f>
        <v>3</v>
      </c>
      <c r="K191">
        <f ca="1">PrefixLenNorm($C191,OFFSET(srt!$C$1,$D191+COLUMN()-7,0))</f>
        <v>0</v>
      </c>
      <c r="L191">
        <f ca="1">PrefixLenNorm($C191,OFFSET(srt!$C$1,$D191+COLUMN()-7,0))</f>
        <v>0</v>
      </c>
      <c r="M191">
        <f ca="1">PrefixLenNorm($C191,OFFSET(srt!$C$1,$D191+COLUMN()-7,0))</f>
        <v>0</v>
      </c>
      <c r="N191">
        <f ca="1">PrefixLenNorm($C191,OFFSET(srt!$C$1,$D191+COLUMN()-7,0))</f>
        <v>2</v>
      </c>
      <c r="O191" s="5" t="str">
        <f ca="1">OFFSET(srt!$F$1,D192-1,0)</f>
        <v>00:29:17.360</v>
      </c>
      <c r="P191" s="1" t="str">
        <f ca="1">OFFSET(srt!$G$1,D193-2,0)</f>
        <v>00:29:27.240</v>
      </c>
      <c r="Q191">
        <v>301</v>
      </c>
      <c r="R191" s="1">
        <f ca="1">OFFSET(sil!$D$1,sub!Q191-1,0)</f>
        <v>2.0340960648148148E-2</v>
      </c>
      <c r="S191" s="5">
        <f t="shared" ca="1" si="29"/>
        <v>2.0338645833333332E-2</v>
      </c>
      <c r="T191">
        <f t="shared" ca="1" si="30"/>
        <v>-0.10100000000006215</v>
      </c>
      <c r="U191" s="2">
        <f t="shared" ca="1" si="22"/>
        <v>1.7129629629630827E-5</v>
      </c>
      <c r="V191" s="2">
        <f t="shared" si="23"/>
        <v>1.3773148148148173E-4</v>
      </c>
      <c r="W191" s="2">
        <f t="shared" ca="1" si="24"/>
        <v>1.3148148148148242E-4</v>
      </c>
      <c r="X191" s="2">
        <f t="shared" ca="1" si="31"/>
        <v>1.3094907407407153E-4</v>
      </c>
      <c r="Y191" s="7">
        <f t="shared" ca="1" si="25"/>
        <v>-0.58600000000024188</v>
      </c>
      <c r="Z191" s="4" t="s">
        <v>1343</v>
      </c>
    </row>
    <row r="192" spans="1:26" x14ac:dyDescent="0.3">
      <c r="A192" t="s">
        <v>1331</v>
      </c>
      <c r="B192" s="5" t="str">
        <f t="shared" si="26"/>
        <v>00:32:06.133</v>
      </c>
      <c r="C192" t="str">
        <f t="shared" si="27"/>
        <v>由于前r'行共有2ʳ'种，因此求得的解也有2ʳ'种。</v>
      </c>
      <c r="D192">
        <f t="shared" ca="1" si="32"/>
        <v>538</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0</v>
      </c>
      <c r="M192">
        <f ca="1">PrefixLenNorm($C192,OFFSET(srt!$C$1,$D192+COLUMN()-7,0))</f>
        <v>2</v>
      </c>
      <c r="N192">
        <f ca="1">PrefixLenNorm($C192,OFFSET(srt!$C$1,$D192+COLUMN()-7,0))</f>
        <v>0</v>
      </c>
      <c r="O192" s="5" t="str">
        <f ca="1">OFFSET(srt!$F$1,D193-1,0)</f>
        <v>00:29:28.720</v>
      </c>
      <c r="P192" s="1" t="str">
        <f ca="1">OFFSET(srt!$G$1,D194-2,0)</f>
        <v>00:29:34.640</v>
      </c>
      <c r="Q192">
        <v>302</v>
      </c>
      <c r="R192" s="1">
        <f ca="1">OFFSET(sil!$D$1,sub!Q192-1,0)</f>
        <v>2.0471909722222219E-2</v>
      </c>
      <c r="S192" s="5">
        <f t="shared" ca="1" si="29"/>
        <v>2.0469594907407403E-2</v>
      </c>
      <c r="T192">
        <f t="shared" ca="1" si="30"/>
        <v>-0.14700000000036351</v>
      </c>
      <c r="U192" s="2">
        <f t="shared" ca="1" si="22"/>
        <v>1.7592592592593354E-5</v>
      </c>
      <c r="V192" s="2">
        <f t="shared" si="23"/>
        <v>9.4907407407408134E-5</v>
      </c>
      <c r="W192" s="2">
        <f t="shared" ca="1" si="24"/>
        <v>8.6111111111113192E-5</v>
      </c>
      <c r="X192" s="2">
        <f t="shared" ca="1" si="31"/>
        <v>8.6898148148151916E-5</v>
      </c>
      <c r="Y192" s="7">
        <f t="shared" ca="1" si="25"/>
        <v>-0.69199999999973727</v>
      </c>
      <c r="Z192" s="4" t="s">
        <v>441</v>
      </c>
    </row>
    <row r="193" spans="1:26" x14ac:dyDescent="0.3">
      <c r="A193" t="s">
        <v>1332</v>
      </c>
      <c r="B193" s="5" t="str">
        <f t="shared" si="26"/>
        <v>00:32:14.333</v>
      </c>
      <c r="C193" t="str">
        <f t="shared" si="27"/>
        <v>另一方面，由于矩阵D满足十字偶校验约束，表现出高度的对称性。其中，行和列的坐标可以互换。</v>
      </c>
      <c r="D193">
        <f t="shared" ca="1" si="32"/>
        <v>541</v>
      </c>
      <c r="E193">
        <f t="shared" ca="1" si="28"/>
        <v>3</v>
      </c>
      <c r="F193" t="str">
        <f ca="1">OFFSET(srt!$C$1,D194-1,0)</f>
        <v>另一方面，</v>
      </c>
      <c r="G193">
        <f ca="1">PrefixLenNorm($C193,OFFSET(srt!$C$1,$D193+COLUMN()-7,0))</f>
        <v>0</v>
      </c>
      <c r="H193">
        <f ca="1">PrefixLenNorm($C193,OFFSET(srt!$C$1,$D193+COLUMN()-7,0))</f>
        <v>0</v>
      </c>
      <c r="I193">
        <f ca="1">PrefixLenNorm($C193,OFFSET(srt!$C$1,$D193+COLUMN()-7,0))</f>
        <v>4</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00:29:36.160</v>
      </c>
      <c r="P193" s="1" t="str">
        <f ca="1">OFFSET(srt!$G$1,D195-2,0)</f>
        <v>00:29:44.320</v>
      </c>
      <c r="Q193">
        <v>303</v>
      </c>
      <c r="R193" s="1">
        <f ca="1">OFFSET(sil!$D$1,sub!Q193-1,0)</f>
        <v>2.0558807870370371E-2</v>
      </c>
      <c r="S193" s="5">
        <f t="shared" ca="1" si="29"/>
        <v>2.0556493055555555E-2</v>
      </c>
      <c r="T193">
        <f t="shared" ca="1" si="30"/>
        <v>-7.9000000000217785E-2</v>
      </c>
      <c r="U193" s="2">
        <f t="shared" ref="U193:U203" ca="1" si="33">O194-P193</f>
        <v>1.7592592592593354E-5</v>
      </c>
      <c r="V193" s="2">
        <f t="shared" ref="V193:V203" si="34">B194-B193</f>
        <v>1.1342592592592307E-4</v>
      </c>
      <c r="W193" s="2">
        <f t="shared" ref="W193:W203" ca="1" si="35">O194-O193</f>
        <v>1.1203703703703549E-4</v>
      </c>
      <c r="X193" s="2">
        <f t="shared" ca="1" si="31"/>
        <v>1.1174768518518174E-4</v>
      </c>
      <c r="Y193" s="7">
        <f t="shared" ref="Y193:Y203" ca="1" si="36">(X193-V193)*86400</f>
        <v>-0.14500000000005064</v>
      </c>
      <c r="Z193" s="4" t="s">
        <v>442</v>
      </c>
    </row>
    <row r="194" spans="1:26" x14ac:dyDescent="0.3">
      <c r="A194" t="s">
        <v>1333</v>
      </c>
      <c r="B194" s="5" t="str">
        <f t="shared" ref="B194:B204" si="37">LEFT(A194,12)</f>
        <v>00:32:24.133</v>
      </c>
      <c r="C194" t="str">
        <f t="shared" ref="C194:C204" si="38">RIGHT(A194,LEN(A194)-13)</f>
        <v>因此，我们可以同样只叠加前r行，从右往左进行消去。由于结果是相同的，这里不再赘述。</v>
      </c>
      <c r="D194">
        <f t="shared" ca="1" si="32"/>
        <v>544</v>
      </c>
      <c r="E194">
        <f t="shared" ref="E194:E204" ca="1" si="39">MATCH(MAX(G194:N194),G194:N194,0)</f>
        <v>5</v>
      </c>
      <c r="F194" t="str">
        <f ca="1">OFFSET(srt!$C$1,D195-1,0)</f>
        <v>因此我们可以同样只叠加前2行，</v>
      </c>
      <c r="G194">
        <f ca="1">PrefixLenNorm($C194,OFFSET(srt!$C$1,$D194+COLUMN()-7,0))</f>
        <v>0</v>
      </c>
      <c r="H194">
        <f ca="1">PrefixLenNorm($C194,OFFSET(srt!$C$1,$D194+COLUMN()-7,0))</f>
        <v>0</v>
      </c>
      <c r="I194">
        <f ca="1">PrefixLenNorm($C194,OFFSET(srt!$C$1,$D194+COLUMN()-7,0))</f>
        <v>0</v>
      </c>
      <c r="J194">
        <f ca="1">PrefixLenNorm($C194,OFFSET(srt!$C$1,$D194+COLUMN()-7,0))</f>
        <v>0</v>
      </c>
      <c r="K194">
        <f ca="1">PrefixLenNorm($C194,OFFSET(srt!$C$1,$D194+COLUMN()-7,0))</f>
        <v>12</v>
      </c>
      <c r="L194">
        <f ca="1">PrefixLenNorm($C194,OFFSET(srt!$C$1,$D194+COLUMN()-7,0))</f>
        <v>0</v>
      </c>
      <c r="M194">
        <f ca="1">PrefixLenNorm($C194,OFFSET(srt!$C$1,$D194+COLUMN()-7,0))</f>
        <v>0</v>
      </c>
      <c r="N194">
        <f ca="1">PrefixLenNorm($C194,OFFSET(srt!$C$1,$D194+COLUMN()-7,0))</f>
        <v>0</v>
      </c>
      <c r="O194" s="5" t="str">
        <f ca="1">OFFSET(srt!$F$1,D195-1,0)</f>
        <v>00:29:45.840</v>
      </c>
      <c r="P194" s="1" t="str">
        <f ca="1">OFFSET(srt!$G$1,D196-2,0)</f>
        <v>00:29:53.760</v>
      </c>
      <c r="Q194">
        <v>305</v>
      </c>
      <c r="R194" s="1">
        <f ca="1">OFFSET(sil!$D$1,sub!Q194-1,0)</f>
        <v>2.0670555555555553E-2</v>
      </c>
      <c r="S194" s="5">
        <f t="shared" ref="S194:S204" ca="1" si="40">R194-0.2/86400</f>
        <v>2.0668240740740737E-2</v>
      </c>
      <c r="T194">
        <f t="shared" ref="T194:T203" ca="1" si="41">(S194-O194)*86400</f>
        <v>-0.10400000000038157</v>
      </c>
      <c r="U194" s="2">
        <f t="shared" ca="1" si="33"/>
        <v>1.6666666666664831E-5</v>
      </c>
      <c r="V194" s="2">
        <f t="shared" si="34"/>
        <v>1.3850694444444284E-4</v>
      </c>
      <c r="W194" s="2">
        <f t="shared" ca="1" si="35"/>
        <v>1.0833333333333181E-4</v>
      </c>
      <c r="X194" s="2">
        <f t="shared" ref="X194:X203" ca="1" si="42">S195-S194</f>
        <v>1.0880787037037196E-4</v>
      </c>
      <c r="Y194" s="7">
        <f t="shared" ca="1" si="36"/>
        <v>-2.5659999999997241</v>
      </c>
      <c r="Z194" s="4" t="s">
        <v>894</v>
      </c>
    </row>
    <row r="195" spans="1:26" s="8" customFormat="1" x14ac:dyDescent="0.3">
      <c r="A195" s="8" t="s">
        <v>1334</v>
      </c>
      <c r="B195" s="5" t="str">
        <f t="shared" si="37"/>
        <v>00:32:36.100</v>
      </c>
      <c r="C195" s="8" t="str">
        <f t="shared" si="38"/>
        <v>细心的小伙伴会发现，这两个式子具有相同的形式。</v>
      </c>
      <c r="D195" s="8">
        <f t="shared" ref="D195:D205" ca="1" si="43">D194+IFERROR(E194,1)</f>
        <v>549</v>
      </c>
      <c r="E195" s="8">
        <f t="shared" ca="1" si="39"/>
        <v>4</v>
      </c>
      <c r="F195" s="8" t="str">
        <f ca="1">OFFSET(srt!$C$1,D196-1,0)</f>
        <v>细心的小伙伴会发现，</v>
      </c>
      <c r="G195" s="8">
        <f ca="1">PrefixLenNorm($C195,OFFSET(srt!$C$1,$D195+COLUMN()-7,0))</f>
        <v>0</v>
      </c>
      <c r="H195" s="8">
        <f ca="1">PrefixLenNorm($C195,OFFSET(srt!$C$1,$D195+COLUMN()-7,0))</f>
        <v>0</v>
      </c>
      <c r="I195" s="8">
        <f ca="1">PrefixLenNorm($C195,OFFSET(srt!$C$1,$D195+COLUMN()-7,0))</f>
        <v>0</v>
      </c>
      <c r="J195" s="8">
        <f ca="1">PrefixLenNorm($C195,OFFSET(srt!$C$1,$D195+COLUMN()-7,0))</f>
        <v>9</v>
      </c>
      <c r="K195" s="8">
        <f ca="1">PrefixLenNorm($C195,OFFSET(srt!$C$1,$D195+COLUMN()-7,0))</f>
        <v>0</v>
      </c>
      <c r="L195" s="8">
        <f ca="1">PrefixLenNorm($C195,OFFSET(srt!$C$1,$D195+COLUMN()-7,0))</f>
        <v>0</v>
      </c>
      <c r="M195" s="8">
        <f ca="1">PrefixLenNorm($C195,OFFSET(srt!$C$1,$D195+COLUMN()-7,0))</f>
        <v>0</v>
      </c>
      <c r="N195" s="8">
        <f ca="1">PrefixLenNorm($C195,OFFSET(srt!$C$1,$D195+COLUMN()-7,0))</f>
        <v>0</v>
      </c>
      <c r="O195" s="5" t="str">
        <f ca="1">OFFSET(srt!$F$1,D196-1,0)</f>
        <v>00:29:55.200</v>
      </c>
      <c r="P195" s="5" t="str">
        <f ca="1">OFFSET(srt!$G$1,D197-2,0)</f>
        <v>00:29:59.160</v>
      </c>
      <c r="Q195" s="8">
        <v>307</v>
      </c>
      <c r="R195" s="5">
        <f ca="1">OFFSET(sil!$D$1,sub!Q195-1,0)</f>
        <v>2.0779363425925925E-2</v>
      </c>
      <c r="S195" s="5">
        <f t="shared" ca="1" si="40"/>
        <v>2.0777048611111109E-2</v>
      </c>
      <c r="T195" s="8">
        <f t="shared" ca="1" si="41"/>
        <v>-6.3000000000112966E-2</v>
      </c>
      <c r="U195" s="15">
        <f t="shared" ca="1" si="33"/>
        <v>1.7592592592593354E-5</v>
      </c>
      <c r="V195" s="15">
        <f t="shared" si="34"/>
        <v>6.828703703704031E-5</v>
      </c>
      <c r="W195" s="15">
        <f t="shared" ca="1" si="35"/>
        <v>6.3425925925928578E-5</v>
      </c>
      <c r="X195" s="15">
        <f t="shared" ca="1" si="42"/>
        <v>6.2754629629631353E-5</v>
      </c>
      <c r="Y195" s="7">
        <f t="shared" ca="1" si="36"/>
        <v>-0.47800000000013387</v>
      </c>
      <c r="Z195" s="8" t="s">
        <v>443</v>
      </c>
    </row>
    <row r="196" spans="1:26" x14ac:dyDescent="0.3">
      <c r="A196" t="s">
        <v>1335</v>
      </c>
      <c r="B196" s="5" t="str">
        <f t="shared" si="37"/>
        <v>00:32:42.000</v>
      </c>
      <c r="C196" t="str">
        <f t="shared" si="38"/>
        <v>既然我们可以在第一个式子用反向叠加法求x，为什么不能用相同的方法在第二个式子求x呢？</v>
      </c>
      <c r="D196">
        <f t="shared" ca="1" si="43"/>
        <v>553</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00:30:00.680</v>
      </c>
      <c r="P196" s="1" t="str">
        <f ca="1">OFFSET(srt!$G$1,D198-2,0)</f>
        <v>00:30:08.400</v>
      </c>
      <c r="Q196">
        <v>308</v>
      </c>
      <c r="R196" s="1">
        <f ca="1">OFFSET(sil!$D$1,sub!Q196-1,0)</f>
        <v>2.0842118055555556E-2</v>
      </c>
      <c r="S196" s="5">
        <f t="shared" ca="1" si="40"/>
        <v>2.083980324074074E-2</v>
      </c>
      <c r="T196">
        <f t="shared" ca="1" si="41"/>
        <v>-0.12100000000019318</v>
      </c>
      <c r="U196" s="2">
        <f t="shared" ca="1" si="33"/>
        <v>1.6666666666664831E-5</v>
      </c>
      <c r="V196" s="2">
        <f t="shared" si="34"/>
        <v>1.3966435185185089E-4</v>
      </c>
      <c r="W196" s="2">
        <f t="shared" ca="1" si="35"/>
        <v>1.0601851851851571E-4</v>
      </c>
      <c r="X196" s="2">
        <f t="shared" ca="1" si="42"/>
        <v>1.0671296296296123E-4</v>
      </c>
      <c r="Y196" s="7">
        <f t="shared" ca="1" si="36"/>
        <v>-2.8470000000000661</v>
      </c>
      <c r="Z196" s="4" t="s">
        <v>444</v>
      </c>
    </row>
    <row r="197" spans="1:26" x14ac:dyDescent="0.3">
      <c r="A197" t="s">
        <v>1336</v>
      </c>
      <c r="B197" s="5" t="str">
        <f t="shared" si="37"/>
        <v>00:32:54.067</v>
      </c>
      <c r="C197" t="str">
        <f t="shared" si="38"/>
        <v>这是因为矩阵D是由g(H)生成的，具有带状上三角的可回代结构，满足前面说到的四个性质。</v>
      </c>
      <c r="D197">
        <f t="shared" ca="1" si="43"/>
        <v>555</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00:30:09.840</v>
      </c>
      <c r="P197" s="1" t="str">
        <f ca="1">OFFSET(srt!$G$1,D199-2,0)</f>
        <v>00:30:19.360</v>
      </c>
      <c r="Q197">
        <v>309</v>
      </c>
      <c r="R197" s="1">
        <f ca="1">OFFSET(sil!$D$1,sub!Q197-1,0)</f>
        <v>2.0948831018518518E-2</v>
      </c>
      <c r="S197" s="5">
        <f t="shared" ca="1" si="40"/>
        <v>2.0946516203703702E-2</v>
      </c>
      <c r="T197">
        <f t="shared" ca="1" si="41"/>
        <v>-6.1000000000099863E-2</v>
      </c>
      <c r="U197" s="2">
        <f t="shared" ca="1" si="33"/>
        <v>0</v>
      </c>
      <c r="V197" s="2">
        <f t="shared" si="34"/>
        <v>1.1458333333333459E-4</v>
      </c>
      <c r="W197" s="2">
        <f t="shared" ca="1" si="35"/>
        <v>1.1018518518518539E-4</v>
      </c>
      <c r="X197" s="2">
        <f t="shared" ca="1" si="42"/>
        <v>1.1018518518518539E-4</v>
      </c>
      <c r="Y197" s="7">
        <f t="shared" ca="1" si="36"/>
        <v>-0.38000000000009138</v>
      </c>
      <c r="Z197" s="4" t="s">
        <v>445</v>
      </c>
    </row>
    <row r="198" spans="1:26" x14ac:dyDescent="0.3">
      <c r="A198" t="s">
        <v>1337</v>
      </c>
      <c r="B198" s="5" t="str">
        <f t="shared" si="37"/>
        <v>00:33:03.967</v>
      </c>
      <c r="C198" t="str">
        <f t="shared" si="38"/>
        <v>而B=p'(H)D破坏了这一结构，不满足这些性质。这里，D=g(H)不可逆，因此p'(H)不唯一。</v>
      </c>
      <c r="D198">
        <f t="shared" ca="1" si="43"/>
        <v>557</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00:30:19.360</v>
      </c>
      <c r="P198" s="1" t="str">
        <f ca="1">OFFSET(srt!$G$1,D200-2,0)</f>
        <v>00:30:29.400</v>
      </c>
      <c r="Q198">
        <v>310</v>
      </c>
      <c r="R198" s="1">
        <f ca="1">OFFSET(sil!$D$1,sub!Q198-1,0)</f>
        <v>2.1059016203703703E-2</v>
      </c>
      <c r="S198" s="5">
        <f t="shared" ca="1" si="40"/>
        <v>2.1056701388888887E-2</v>
      </c>
      <c r="T198">
        <f t="shared" ca="1" si="41"/>
        <v>-6.1000000000099863E-2</v>
      </c>
      <c r="U198" s="2">
        <f t="shared" ca="1" si="33"/>
        <v>1.7129629629630827E-5</v>
      </c>
      <c r="V198" s="2">
        <f t="shared" si="34"/>
        <v>1.3541666666666563E-4</v>
      </c>
      <c r="W198" s="2">
        <f t="shared" ca="1" si="35"/>
        <v>1.33333333333336E-4</v>
      </c>
      <c r="X198" s="2">
        <f t="shared" ca="1" si="42"/>
        <v>1.3261574074074217E-4</v>
      </c>
      <c r="Y198" s="7">
        <f t="shared" ca="1" si="36"/>
        <v>-0.24199999999978683</v>
      </c>
      <c r="Z198" s="4" t="s">
        <v>1264</v>
      </c>
    </row>
    <row r="199" spans="1:26" x14ac:dyDescent="0.3">
      <c r="A199" t="s">
        <v>1338</v>
      </c>
      <c r="B199" s="5" t="str">
        <f t="shared" si="37"/>
        <v>00:33:15.667</v>
      </c>
      <c r="C199" t="str">
        <f t="shared" si="38"/>
        <v>不过，当g=1时，这种解法是可行的，尽管这个方法首先需要求出完整的矩阵B。</v>
      </c>
      <c r="D199">
        <f t="shared" ca="1" si="43"/>
        <v>560</v>
      </c>
      <c r="E199">
        <f t="shared" ca="1" si="39"/>
        <v>4</v>
      </c>
      <c r="F199" t="str">
        <f ca="1">OFFSET(srt!$C$1,D200-1,0)</f>
        <v>不过，</v>
      </c>
      <c r="G199">
        <f ca="1">PrefixLenNorm($C199,OFFSET(srt!$C$1,$D199+COLUMN()-7,0))</f>
        <v>1</v>
      </c>
      <c r="H199">
        <f ca="1">PrefixLenNorm($C199,OFFSET(srt!$C$1,$D199+COLUMN()-7,0))</f>
        <v>0</v>
      </c>
      <c r="I199">
        <f ca="1">PrefixLenNorm($C199,OFFSET(srt!$C$1,$D199+COLUMN()-7,0))</f>
        <v>0</v>
      </c>
      <c r="J199">
        <f ca="1">PrefixLenNorm($C199,OFFSET(srt!$C$1,$D199+COLUMN()-7,0))</f>
        <v>2</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00:30:30.880</v>
      </c>
      <c r="P199" s="1" t="str">
        <f ca="1">OFFSET(srt!$G$1,D201-2,0)</f>
        <v>00:30:37.840</v>
      </c>
      <c r="Q199">
        <v>312</v>
      </c>
      <c r="R199" s="1">
        <f ca="1">OFFSET(sil!$D$1,sub!Q199-1,0)</f>
        <v>2.1191631944444445E-2</v>
      </c>
      <c r="S199" s="5">
        <f t="shared" ca="1" si="40"/>
        <v>2.1189317129629629E-2</v>
      </c>
      <c r="T199">
        <f t="shared" ca="1" si="41"/>
        <v>-0.12300000000020628</v>
      </c>
      <c r="U199" s="2">
        <f t="shared" ca="1" si="33"/>
        <v>1.7592592592593354E-5</v>
      </c>
      <c r="V199" s="2">
        <f t="shared" si="34"/>
        <v>1.0300925925926102E-4</v>
      </c>
      <c r="W199" s="2">
        <f t="shared" ca="1" si="35"/>
        <v>9.814814814814582E-5</v>
      </c>
      <c r="X199" s="2">
        <f t="shared" ca="1" si="42"/>
        <v>9.8298611111109768E-5</v>
      </c>
      <c r="Y199" s="7">
        <f t="shared" ca="1" si="36"/>
        <v>-0.40700000000026826</v>
      </c>
      <c r="Z199" s="4" t="s">
        <v>446</v>
      </c>
    </row>
    <row r="200" spans="1:26" x14ac:dyDescent="0.3">
      <c r="A200" t="s">
        <v>1339</v>
      </c>
      <c r="B200" s="5" t="str">
        <f t="shared" si="37"/>
        <v>00:33:24.567</v>
      </c>
      <c r="C200" t="str">
        <f t="shared" si="38"/>
        <v>同时，因为矩阵B不是三角结构，还需标记每行首个为1的元素的位置来选择。因此，直接计算q(H)y会更加方便。</v>
      </c>
      <c r="D200">
        <f t="shared" ca="1" si="43"/>
        <v>564</v>
      </c>
      <c r="E200">
        <f t="shared" ca="1" si="39"/>
        <v>4</v>
      </c>
      <c r="F200" t="str">
        <f ca="1">OFFSET(srt!$C$1,D201-1,0)</f>
        <v>同时因为矩阵B不是三角结构，</v>
      </c>
      <c r="G200">
        <f ca="1">PrefixLenNorm($C200,OFFSET(srt!$C$1,$D200+COLUMN()-7,0))</f>
        <v>0</v>
      </c>
      <c r="H200">
        <f ca="1">PrefixLenNorm($C200,OFFSET(srt!$C$1,$D200+COLUMN()-7,0))</f>
        <v>0</v>
      </c>
      <c r="I200">
        <f ca="1">PrefixLenNorm($C200,OFFSET(srt!$C$1,$D200+COLUMN()-7,0))</f>
        <v>0</v>
      </c>
      <c r="J200">
        <f ca="1">PrefixLenNorm($C200,OFFSET(srt!$C$1,$D200+COLUMN()-7,0))</f>
        <v>13</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00:30:39.360</v>
      </c>
      <c r="P200" s="1" t="str">
        <f ca="1">OFFSET(srt!$G$1,D202-2,0)</f>
        <v>00:30:50.800</v>
      </c>
      <c r="Q200">
        <v>314</v>
      </c>
      <c r="R200" s="1">
        <f ca="1">OFFSET(sil!$D$1,sub!Q200-1,0)</f>
        <v>2.1289930555555555E-2</v>
      </c>
      <c r="S200" s="5">
        <f t="shared" ca="1" si="40"/>
        <v>2.1287615740740739E-2</v>
      </c>
      <c r="T200">
        <f t="shared" ca="1" si="41"/>
        <v>-0.11000000000012111</v>
      </c>
      <c r="U200" s="2">
        <f t="shared" ca="1" si="33"/>
        <v>0</v>
      </c>
      <c r="V200" s="2">
        <f t="shared" si="34"/>
        <v>1.3310185185184953E-4</v>
      </c>
      <c r="W200" s="2">
        <f t="shared" ca="1" si="35"/>
        <v>1.3240740740740747E-4</v>
      </c>
      <c r="X200" s="2">
        <f t="shared" ca="1" si="42"/>
        <v>1.3224537037036938E-4</v>
      </c>
      <c r="Y200" s="7">
        <f t="shared" ref="Y200" ca="1" si="44">(X200-V200)*86400</f>
        <v>-7.3999999999885269E-2</v>
      </c>
      <c r="Z200" s="4" t="s">
        <v>447</v>
      </c>
    </row>
    <row r="201" spans="1:26" x14ac:dyDescent="0.3">
      <c r="A201" t="s">
        <v>1340</v>
      </c>
      <c r="B201" s="5" t="str">
        <f t="shared" si="37"/>
        <v>00:33:36.067</v>
      </c>
      <c r="C201" t="str">
        <f t="shared" si="38"/>
        <v>最终，我们通过欧几里得法和反向叠加法，完成了Bx=y的求解，实现了点灯游戏O(n²)的时间复杂度的算法。</v>
      </c>
      <c r="D201">
        <f t="shared" ca="1" si="43"/>
        <v>568</v>
      </c>
      <c r="E201">
        <f t="shared" ca="1" si="39"/>
        <v>4</v>
      </c>
      <c r="F201" t="str">
        <f ca="1">OFFSET(srt!$C$1,D202-1,0)</f>
        <v>最终，</v>
      </c>
      <c r="G201">
        <f ca="1">PrefixLenNorm($C201,OFFSET(srt!$C$1,$D201+COLUMN()-7,0))</f>
        <v>0</v>
      </c>
      <c r="H201">
        <f ca="1">PrefixLenNorm($C201,OFFSET(srt!$C$1,$D201+COLUMN()-7,0))</f>
        <v>0</v>
      </c>
      <c r="I201">
        <f ca="1">PrefixLenNorm($C201,OFFSET(srt!$C$1,$D201+COLUMN()-7,0))</f>
        <v>0</v>
      </c>
      <c r="J201">
        <f ca="1">PrefixLenNorm($C201,OFFSET(srt!$C$1,$D201+COLUMN()-7,0))</f>
        <v>2</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00:30:50.800</v>
      </c>
      <c r="P201" s="1" t="str">
        <f ca="1">OFFSET(srt!$G$1,D203-2,0)</f>
        <v>00:31:02.360</v>
      </c>
      <c r="Q201">
        <v>316</v>
      </c>
      <c r="R201" s="1">
        <f ca="1">OFFSET(sil!$D$1,sub!Q201-1,0)</f>
        <v>2.1422175925925924E-2</v>
      </c>
      <c r="S201" s="5">
        <f t="shared" ca="1" si="40"/>
        <v>2.1419861111111108E-2</v>
      </c>
      <c r="T201">
        <f t="shared" ca="1" si="41"/>
        <v>-0.12400000000021283</v>
      </c>
      <c r="U201" s="2">
        <f t="shared" ca="1" si="33"/>
        <v>0</v>
      </c>
      <c r="V201" s="2">
        <f t="shared" si="34"/>
        <v>3.9775462962962985E-4</v>
      </c>
      <c r="W201" s="2">
        <f t="shared" ca="1" si="35"/>
        <v>1.3379629629629505E-4</v>
      </c>
      <c r="X201" s="2">
        <f t="shared" ca="1" si="42"/>
        <v>1.345949074074114E-4</v>
      </c>
      <c r="Y201" s="7">
        <f t="shared" ca="1" si="36"/>
        <v>-22.736999999999675</v>
      </c>
      <c r="Z201" s="4" t="s">
        <v>448</v>
      </c>
    </row>
    <row r="202" spans="1:26" x14ac:dyDescent="0.3">
      <c r="A202" t="s">
        <v>1582</v>
      </c>
      <c r="B202" s="5" t="str">
        <f t="shared" si="37"/>
        <v>00:34:10.433</v>
      </c>
      <c r="C202" t="str">
        <f t="shared" si="38"/>
        <v>向量和矩阵的乘法，欧几里得算法，逆向消元法，理论上通过卷积、FFT或牛顿迭代法，是有可能优化到O(n·log(n))的。</v>
      </c>
      <c r="D202">
        <f t="shared" ca="1" si="43"/>
        <v>572</v>
      </c>
      <c r="E202">
        <f t="shared" ca="1" si="39"/>
        <v>5</v>
      </c>
      <c r="F202" t="str">
        <f ca="1">OFFSET(srt!$C$1,D203-1,0)</f>
        <v>向量和矩阵的乘法，</v>
      </c>
      <c r="G202">
        <f ca="1">PrefixLenNorm($C202,OFFSET(srt!$C$1,$D202+COLUMN()-7,0))</f>
        <v>0</v>
      </c>
      <c r="H202">
        <f ca="1">PrefixLenNorm($C202,OFFSET(srt!$C$1,$D202+COLUMN()-7,0))</f>
        <v>0</v>
      </c>
      <c r="I202">
        <f ca="1">PrefixLenNorm($C202,OFFSET(srt!$C$1,$D202+COLUMN()-7,0))</f>
        <v>0</v>
      </c>
      <c r="J202">
        <f ca="1">PrefixLenNorm($C202,OFFSET(srt!$C$1,$D202+COLUMN()-7,0))</f>
        <v>0</v>
      </c>
      <c r="K202">
        <f ca="1">PrefixLenNorm($C202,OFFSET(srt!$C$1,$D202+COLUMN()-7,0))</f>
        <v>8</v>
      </c>
      <c r="L202">
        <f ca="1">PrefixLenNorm($C202,OFFSET(srt!$C$1,$D202+COLUMN()-7,0))</f>
        <v>0</v>
      </c>
      <c r="M202">
        <f ca="1">PrefixLenNorm($C202,OFFSET(srt!$C$1,$D202+COLUMN()-7,0))</f>
        <v>0</v>
      </c>
      <c r="N202">
        <f ca="1">PrefixLenNorm($C202,OFFSET(srt!$C$1,$D202+COLUMN()-7,0))</f>
        <v>0</v>
      </c>
      <c r="O202" s="5" t="str">
        <f ca="1">OFFSET(srt!$F$1,D203-1,0)</f>
        <v>00:31:02.360</v>
      </c>
      <c r="P202" s="1" t="str">
        <f ca="1">OFFSET(srt!$G$1,D204-2,0)</f>
        <v>00:31:14.720</v>
      </c>
      <c r="Q202">
        <v>317</v>
      </c>
      <c r="R202" s="1">
        <f ca="1">OFFSET(sil!$D$1,sub!Q202-1,0)</f>
        <v>2.1556770833333336E-2</v>
      </c>
      <c r="S202" s="5">
        <f t="shared" ca="1" si="40"/>
        <v>2.155445601851852E-2</v>
      </c>
      <c r="T202">
        <f t="shared" ca="1" si="41"/>
        <v>-5.4999999999760796E-2</v>
      </c>
      <c r="U202" s="2">
        <f t="shared" ca="1" si="33"/>
        <v>0</v>
      </c>
      <c r="V202" s="2">
        <f t="shared" si="34"/>
        <v>1.5740740740740819E-4</v>
      </c>
      <c r="W202" s="2">
        <f t="shared" ca="1" si="35"/>
        <v>1.4305555555555599E-4</v>
      </c>
      <c r="X202" s="2">
        <f t="shared" ca="1" si="42"/>
        <v>1.425462962962934E-4</v>
      </c>
      <c r="Y202" s="7">
        <f t="shared" ca="1" si="36"/>
        <v>-1.2840000000003182</v>
      </c>
      <c r="Z202" s="4" t="s">
        <v>449</v>
      </c>
    </row>
    <row r="203" spans="1:26" x14ac:dyDescent="0.3">
      <c r="A203" t="s">
        <v>1583</v>
      </c>
      <c r="B203" s="5" t="str">
        <f t="shared" si="37"/>
        <v>00:34:24.033</v>
      </c>
      <c r="C203" t="str">
        <f t="shared" si="38"/>
        <v>考虑到UP主《信号与系统》、《数字信号处理》、《数值分析》等课程较差，暂时就不研究了。有兴趣的小伙伴可自行研究并留言。</v>
      </c>
      <c r="D203">
        <f t="shared" ca="1" si="43"/>
        <v>577</v>
      </c>
      <c r="E203">
        <f t="shared" ca="1" si="39"/>
        <v>5</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11</v>
      </c>
      <c r="L203">
        <f ca="1">PrefixLenNorm($C203,OFFSET(srt!$C$1,$D203+COLUMN()-7,0))</f>
        <v>0</v>
      </c>
      <c r="M203">
        <f ca="1">PrefixLenNorm($C203,OFFSET(srt!$C$1,$D203+COLUMN()-7,0))</f>
        <v>0</v>
      </c>
      <c r="N203">
        <f ca="1">PrefixLenNorm($C203,OFFSET(srt!$C$1,$D203+COLUMN()-7,0))</f>
        <v>0</v>
      </c>
      <c r="O203" s="5" t="str">
        <f ca="1">OFFSET(srt!$F$1,D204-1,0)</f>
        <v>00:31:14.720</v>
      </c>
      <c r="P203" s="1" t="str">
        <f ca="1">OFFSET(srt!$G$1,D205-2,0)</f>
        <v>00:31:25.080</v>
      </c>
      <c r="Q203">
        <v>318</v>
      </c>
      <c r="R203" s="1">
        <f ca="1">OFFSET(sil!$D$1,sub!Q203-1,0)</f>
        <v>2.1699317129629629E-2</v>
      </c>
      <c r="S203" s="5">
        <f t="shared" ca="1" si="40"/>
        <v>2.1697002314814813E-2</v>
      </c>
      <c r="T203">
        <f t="shared" ca="1" si="41"/>
        <v>-9.9000000000049049E-2</v>
      </c>
      <c r="U203" s="2">
        <f t="shared" ca="1" si="33"/>
        <v>1.7129629629627358E-5</v>
      </c>
      <c r="V203" s="2">
        <f t="shared" si="34"/>
        <v>1.5740740740740472E-4</v>
      </c>
      <c r="W203" s="2">
        <f t="shared" ca="1" si="35"/>
        <v>1.3703703703703621E-4</v>
      </c>
      <c r="X203" s="2">
        <f t="shared" ca="1" si="42"/>
        <v>1.374768518518539E-4</v>
      </c>
      <c r="Y203" s="7">
        <f t="shared" ca="1" si="36"/>
        <v>-1.7219999999995905</v>
      </c>
      <c r="Z203" s="4" t="s">
        <v>450</v>
      </c>
    </row>
    <row r="204" spans="1:26" x14ac:dyDescent="0.3">
      <c r="A204" t="s">
        <v>1584</v>
      </c>
      <c r="B204" s="5" t="str">
        <f t="shared" si="37"/>
        <v>00:34:37.633</v>
      </c>
      <c r="C204" t="str">
        <f t="shared" si="38"/>
        <v>如果对视频中的内容有疑问，觉得视频内容表述不清，或者发现视频中的任何错误，也请小伙伴们多多留言和指证。谢谢观看！</v>
      </c>
      <c r="D204">
        <f t="shared" ca="1" si="43"/>
        <v>582</v>
      </c>
      <c r="E204">
        <f t="shared" ca="1" si="39"/>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5" t="str">
        <f ca="1">OFFSET(srt!$F$1,D205-1,0)</f>
        <v>00:31:26.560</v>
      </c>
      <c r="Q204">
        <v>320</v>
      </c>
      <c r="R204" s="1">
        <f ca="1">OFFSET(sil!$D$1,sub!Q204-1,0)</f>
        <v>2.1836793981481483E-2</v>
      </c>
      <c r="S204" s="5">
        <f t="shared" ca="1" si="40"/>
        <v>2.1834479166666667E-2</v>
      </c>
      <c r="T204">
        <f t="shared" ref="T204" ca="1" si="45">(S204-O204)*86400</f>
        <v>-6.0999999999800103E-2</v>
      </c>
      <c r="Z204" s="4" t="s">
        <v>895</v>
      </c>
    </row>
    <row r="205" spans="1:26" x14ac:dyDescent="0.3">
      <c r="D205">
        <f t="shared" ca="1" si="43"/>
        <v>587</v>
      </c>
      <c r="Q205">
        <v>324</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 x14ac:dyDescent="0.3"/>
  <cols>
    <col min="1" max="1" width="11.75" style="1" bestFit="1" customWidth="1"/>
    <col min="2" max="2" width="12.08203125" style="3" customWidth="1"/>
  </cols>
  <sheetData>
    <row r="1" spans="1:2" x14ac:dyDescent="0.3">
      <c r="A1" s="1">
        <f>sub!S1</f>
        <v>6.9444444444444448E-7</v>
      </c>
      <c r="B1" s="3">
        <f>-(sub!B1)*86400</f>
        <v>-29.233000000000001</v>
      </c>
    </row>
    <row r="2" spans="1:2" x14ac:dyDescent="0.3">
      <c r="A2" s="1">
        <f ca="1">sub!S2</f>
        <v>1.2945601851851849E-4</v>
      </c>
      <c r="B2" s="3">
        <f ca="1">sub!Y1</f>
        <v>-7.4999999999999539E-2</v>
      </c>
    </row>
    <row r="3" spans="1:2" x14ac:dyDescent="0.3">
      <c r="A3" s="1">
        <f ca="1">sub!S3</f>
        <v>2.0966435185185186E-4</v>
      </c>
      <c r="B3" s="3">
        <f ca="1">sub!Y2</f>
        <v>-0.17000000000000132</v>
      </c>
    </row>
    <row r="4" spans="1:2" x14ac:dyDescent="0.3">
      <c r="A4" s="1">
        <f ca="1">sub!S4</f>
        <v>3.1756944444444449E-4</v>
      </c>
      <c r="B4" s="3">
        <f ca="1">sub!Y3</f>
        <v>-0.37699999999999445</v>
      </c>
    </row>
    <row r="5" spans="1:2" x14ac:dyDescent="0.3">
      <c r="A5" s="1">
        <f ca="1">sub!S5</f>
        <v>4.4840277777777782E-4</v>
      </c>
      <c r="B5" s="3">
        <f ca="1">sub!Y4</f>
        <v>-0.3959999999999948</v>
      </c>
    </row>
    <row r="6" spans="1:2" x14ac:dyDescent="0.3">
      <c r="A6" s="1">
        <f ca="1">sub!S6</f>
        <v>5.4829861111111117E-4</v>
      </c>
      <c r="B6" s="3">
        <f ca="1">sub!Y5</f>
        <v>-1.1690000000000051</v>
      </c>
    </row>
    <row r="7" spans="1:2" x14ac:dyDescent="0.3">
      <c r="A7" s="1">
        <f ca="1">sub!S7</f>
        <v>6.292592592592592E-4</v>
      </c>
      <c r="B7" s="3">
        <f ca="1">sub!Y6</f>
        <v>-0.80499999999999983</v>
      </c>
    </row>
    <row r="8" spans="1:2" x14ac:dyDescent="0.3">
      <c r="A8" s="1">
        <f ca="1">sub!S8</f>
        <v>7.4743055555555565E-4</v>
      </c>
      <c r="B8" s="3">
        <f ca="1">sub!Y7</f>
        <v>-1.6899999999999897</v>
      </c>
    </row>
    <row r="9" spans="1:2" x14ac:dyDescent="0.3">
      <c r="A9" s="1">
        <f ca="1">sub!S9</f>
        <v>8.4175925925925922E-4</v>
      </c>
      <c r="B9" s="3">
        <f ca="1">sub!Y8</f>
        <v>-5.0000000000018432E-2</v>
      </c>
    </row>
    <row r="10" spans="1:2" x14ac:dyDescent="0.3">
      <c r="A10" s="1">
        <f ca="1">sub!S10</f>
        <v>9.8988425925925936E-4</v>
      </c>
      <c r="B10" s="3">
        <f ca="1">sub!Y9</f>
        <v>-0.30199999999998317</v>
      </c>
    </row>
    <row r="11" spans="1:2" x14ac:dyDescent="0.3">
      <c r="A11" s="1">
        <f ca="1">sub!S11</f>
        <v>1.1396180555555556E-3</v>
      </c>
      <c r="B11" s="3">
        <f ca="1">sub!Y10</f>
        <v>-0.26299999999999935</v>
      </c>
    </row>
    <row r="12" spans="1:2" x14ac:dyDescent="0.3">
      <c r="A12" s="1">
        <f ca="1">sub!S12</f>
        <v>1.2080902777777778E-3</v>
      </c>
      <c r="B12" s="3">
        <f ca="1">sub!Y11</f>
        <v>-0.51800000000000246</v>
      </c>
    </row>
    <row r="13" spans="1:2" x14ac:dyDescent="0.3">
      <c r="A13" s="1">
        <f ca="1">sub!S13</f>
        <v>1.2855555555555556E-3</v>
      </c>
      <c r="B13" s="3">
        <f ca="1">sub!Y12</f>
        <v>9.3000000000009742E-2</v>
      </c>
    </row>
    <row r="14" spans="1:2" x14ac:dyDescent="0.3">
      <c r="A14" s="1">
        <f ca="1">sub!S14</f>
        <v>1.4346875E-3</v>
      </c>
      <c r="B14" s="3">
        <f ca="1">sub!Y13</f>
        <v>-0.31500000000002149</v>
      </c>
    </row>
    <row r="15" spans="1:2" x14ac:dyDescent="0.3">
      <c r="A15" s="1">
        <f ca="1">sub!S15</f>
        <v>1.6017245370370371E-3</v>
      </c>
      <c r="B15" s="3">
        <f ca="1">sub!Y14</f>
        <v>-0.26799999999997592</v>
      </c>
    </row>
    <row r="16" spans="1:2" x14ac:dyDescent="0.3">
      <c r="A16" s="1">
        <f ca="1">sub!S16</f>
        <v>1.7118981481481482E-3</v>
      </c>
      <c r="B16" s="3">
        <f ca="1">sub!Y15</f>
        <v>-0.18100000000004293</v>
      </c>
    </row>
    <row r="17" spans="1:2" x14ac:dyDescent="0.3">
      <c r="A17" s="1">
        <f ca="1">sub!S17</f>
        <v>1.8311689814814816E-3</v>
      </c>
      <c r="B17" s="3">
        <f ca="1">sub!Y16</f>
        <v>-0.2949999999999654</v>
      </c>
    </row>
    <row r="18" spans="1:2" x14ac:dyDescent="0.3">
      <c r="A18" s="1">
        <f ca="1">sub!S18</f>
        <v>2.008599537037037E-3</v>
      </c>
      <c r="B18" s="3">
        <f ca="1">sub!Y17</f>
        <v>-0.67000000000002402</v>
      </c>
    </row>
    <row r="19" spans="1:2" x14ac:dyDescent="0.3">
      <c r="A19" s="1">
        <f ca="1">sub!S19</f>
        <v>2.108576388888889E-3</v>
      </c>
      <c r="B19" s="3">
        <f ca="1">sub!Y18</f>
        <v>-0.26199999999999279</v>
      </c>
    </row>
    <row r="20" spans="1:2" x14ac:dyDescent="0.3">
      <c r="A20" s="1">
        <f ca="1">sub!S20</f>
        <v>2.2497800925925923E-3</v>
      </c>
      <c r="B20" s="3">
        <f ca="1">sub!Y19</f>
        <v>-0.59999999999999631</v>
      </c>
    </row>
    <row r="21" spans="1:2" x14ac:dyDescent="0.3">
      <c r="A21" s="1">
        <f ca="1">sub!S21</f>
        <v>2.4039351851851852E-3</v>
      </c>
      <c r="B21" s="3">
        <f ca="1">sub!Y20</f>
        <v>-0.28100000000000486</v>
      </c>
    </row>
    <row r="22" spans="1:2" x14ac:dyDescent="0.3">
      <c r="A22" s="1">
        <f ca="1">sub!S22</f>
        <v>2.5077430555555556E-3</v>
      </c>
      <c r="B22" s="3">
        <f ca="1">sub!Y21</f>
        <v>-1.9639999999999769</v>
      </c>
    </row>
    <row r="23" spans="1:2" x14ac:dyDescent="0.3">
      <c r="A23" s="1">
        <f ca="1">sub!S23</f>
        <v>2.6581134259259257E-3</v>
      </c>
      <c r="B23" s="3">
        <f ca="1">sub!Y22</f>
        <v>-0.47500000000003928</v>
      </c>
    </row>
    <row r="24" spans="1:2" x14ac:dyDescent="0.3">
      <c r="A24" s="1">
        <f ca="1">sub!S24</f>
        <v>2.740162037037037E-3</v>
      </c>
      <c r="B24" s="3">
        <f ca="1">sub!Y23</f>
        <v>-1.0999999999959653E-2</v>
      </c>
    </row>
    <row r="25" spans="1:2" x14ac:dyDescent="0.3">
      <c r="A25" s="1">
        <f ca="1">sub!S25</f>
        <v>2.8352083333333332E-3</v>
      </c>
      <c r="B25" s="3">
        <f ca="1">sub!Y24</f>
        <v>-0.18800000000003259</v>
      </c>
    </row>
    <row r="26" spans="1:2" x14ac:dyDescent="0.3">
      <c r="A26" s="1">
        <f ca="1">sub!S26</f>
        <v>2.9189699074074075E-3</v>
      </c>
      <c r="B26" s="3">
        <f ca="1">sub!Y25</f>
        <v>-0.56300000000001627</v>
      </c>
    </row>
    <row r="27" spans="1:2" x14ac:dyDescent="0.3">
      <c r="A27" s="1">
        <f ca="1">sub!S27</f>
        <v>3.0185069444444448E-3</v>
      </c>
      <c r="B27" s="3">
        <f ca="1">sub!Y26</f>
        <v>-0.39999999999992264</v>
      </c>
    </row>
    <row r="28" spans="1:2" x14ac:dyDescent="0.3">
      <c r="A28" s="1">
        <f ca="1">sub!S28</f>
        <v>3.1265509259259259E-3</v>
      </c>
      <c r="B28" s="3">
        <f ca="1">sub!Y27</f>
        <v>-6.5000000000051128E-2</v>
      </c>
    </row>
    <row r="29" spans="1:2" x14ac:dyDescent="0.3">
      <c r="A29" s="1">
        <f ca="1">sub!S29</f>
        <v>3.2267476851851849E-3</v>
      </c>
      <c r="B29" s="3">
        <f ca="1">sub!Y28</f>
        <v>-1.0430000000000135</v>
      </c>
    </row>
    <row r="30" spans="1:2" x14ac:dyDescent="0.3">
      <c r="A30" s="1">
        <f ca="1">sub!S30</f>
        <v>3.2961458333333337E-3</v>
      </c>
      <c r="B30" s="3">
        <f ca="1">sub!Y29</f>
        <v>-0.10399999999996939</v>
      </c>
    </row>
    <row r="31" spans="1:2" x14ac:dyDescent="0.3">
      <c r="A31" s="1">
        <f ca="1">sub!S31</f>
        <v>3.4308449074074076E-3</v>
      </c>
      <c r="B31" s="3">
        <f ca="1">sub!Y30</f>
        <v>-0.26199999999995532</v>
      </c>
    </row>
    <row r="32" spans="1:2" x14ac:dyDescent="0.3">
      <c r="A32" s="1">
        <f ca="1">sub!S32</f>
        <v>3.5276504629629629E-3</v>
      </c>
      <c r="B32" s="3">
        <f ca="1">sub!Y31</f>
        <v>-0.73600000000006305</v>
      </c>
    </row>
    <row r="33" spans="1:2" x14ac:dyDescent="0.3">
      <c r="A33" s="1">
        <f ca="1">sub!S33</f>
        <v>3.6535185185185182E-3</v>
      </c>
      <c r="B33" s="3">
        <f ca="1">sub!Y32</f>
        <v>-0.32500000000003082</v>
      </c>
    </row>
    <row r="34" spans="1:2" x14ac:dyDescent="0.3">
      <c r="A34" s="1">
        <f ca="1">sub!S34</f>
        <v>3.7337615740740742E-3</v>
      </c>
      <c r="B34" s="3">
        <f ca="1">sub!Y33</f>
        <v>-0.16699999999993248</v>
      </c>
    </row>
    <row r="35" spans="1:2" x14ac:dyDescent="0.3">
      <c r="A35" s="1">
        <f ca="1">sub!S35</f>
        <v>3.808275462962963E-3</v>
      </c>
      <c r="B35" s="3">
        <f ca="1">sub!Y34</f>
        <v>-0.16200000000001213</v>
      </c>
    </row>
    <row r="36" spans="1:2" x14ac:dyDescent="0.3">
      <c r="A36" s="1">
        <f ca="1">sub!S36</f>
        <v>3.9461458333333328E-3</v>
      </c>
      <c r="B36" s="3">
        <f ca="1">sub!Y35</f>
        <v>-0.18800000000010753</v>
      </c>
    </row>
    <row r="37" spans="1:2" x14ac:dyDescent="0.3">
      <c r="A37" s="1">
        <f ca="1">sub!S37</f>
        <v>4.0827430555555556E-3</v>
      </c>
      <c r="B37" s="3">
        <f ca="1">sub!Y36</f>
        <v>-0.29799999999992888</v>
      </c>
    </row>
    <row r="38" spans="1:2" x14ac:dyDescent="0.3">
      <c r="A38" s="1">
        <f ca="1">sub!S38</f>
        <v>4.2246643518518518E-3</v>
      </c>
      <c r="B38" s="3">
        <f ca="1">sub!Y37</f>
        <v>-0.33799999999996611</v>
      </c>
    </row>
    <row r="39" spans="1:2" x14ac:dyDescent="0.3">
      <c r="A39" s="1">
        <f ca="1">sub!S39</f>
        <v>4.3582407407407407E-3</v>
      </c>
      <c r="B39" s="3">
        <f ca="1">sub!Y38</f>
        <v>-2.0919999999999912</v>
      </c>
    </row>
    <row r="40" spans="1:2" x14ac:dyDescent="0.3">
      <c r="A40" s="1">
        <f ca="1">sub!S40</f>
        <v>4.4252083333333331E-3</v>
      </c>
      <c r="B40" s="3">
        <f ca="1">sub!Y39</f>
        <v>-0.3140000000000337</v>
      </c>
    </row>
    <row r="41" spans="1:2" x14ac:dyDescent="0.3">
      <c r="A41" s="1">
        <f ca="1">sub!S41</f>
        <v>4.5392824074074068E-3</v>
      </c>
      <c r="B41" s="3">
        <f ca="1">sub!Y40</f>
        <v>-0.14400000000004409</v>
      </c>
    </row>
    <row r="42" spans="1:2" x14ac:dyDescent="0.3">
      <c r="A42" s="1">
        <f ca="1">sub!S42</f>
        <v>4.6208912037037034E-3</v>
      </c>
      <c r="B42" s="3">
        <f ca="1">sub!Y41</f>
        <v>-0.34899999999996323</v>
      </c>
    </row>
    <row r="43" spans="1:2" x14ac:dyDescent="0.3">
      <c r="A43" s="1">
        <f ca="1">sub!S43</f>
        <v>4.6955671296296294E-3</v>
      </c>
      <c r="B43" s="3">
        <f ca="1">sub!Y42</f>
        <v>-0.74799999999995426</v>
      </c>
    </row>
    <row r="44" spans="1:2" x14ac:dyDescent="0.3">
      <c r="A44" s="1">
        <f ca="1">sub!S44</f>
        <v>4.8109606481481475E-3</v>
      </c>
      <c r="B44" s="3">
        <f ca="1">sub!Y43</f>
        <v>-0.23000000000008292</v>
      </c>
    </row>
    <row r="45" spans="1:2" x14ac:dyDescent="0.3">
      <c r="A45" s="1">
        <f ca="1">sub!S45</f>
        <v>4.8758333333333327E-3</v>
      </c>
      <c r="B45" s="3">
        <f ca="1">sub!Y44</f>
        <v>-1.8279999999999852</v>
      </c>
    </row>
    <row r="46" spans="1:2" x14ac:dyDescent="0.3">
      <c r="A46" s="1">
        <f ca="1">sub!S46</f>
        <v>4.9323726851851855E-3</v>
      </c>
      <c r="B46" s="3">
        <f ca="1">sub!Y45</f>
        <v>-0.21499999999990971</v>
      </c>
    </row>
    <row r="47" spans="1:2" x14ac:dyDescent="0.3">
      <c r="A47" s="1">
        <f ca="1">sub!S47</f>
        <v>5.0476736111111113E-3</v>
      </c>
      <c r="B47" s="3">
        <f ca="1">sub!Y46</f>
        <v>-7.2000000000022046E-2</v>
      </c>
    </row>
    <row r="48" spans="1:2" x14ac:dyDescent="0.3">
      <c r="A48" s="1">
        <f ca="1">sub!S48</f>
        <v>5.1633564814814814E-3</v>
      </c>
      <c r="B48" s="3">
        <f ca="1">sub!Y47</f>
        <v>-4.0050000000000834</v>
      </c>
    </row>
    <row r="49" spans="1:2" x14ac:dyDescent="0.3">
      <c r="A49" s="1">
        <f ca="1">sub!S49</f>
        <v>5.3066898148148144E-3</v>
      </c>
      <c r="B49" s="3">
        <f ca="1">sub!Y48</f>
        <v>-1.0489999999999777</v>
      </c>
    </row>
    <row r="50" spans="1:2" x14ac:dyDescent="0.3">
      <c r="A50" s="1">
        <f ca="1">sub!S50</f>
        <v>5.4158912037037031E-3</v>
      </c>
      <c r="B50" s="3">
        <f ca="1">sub!Y49</f>
        <v>-0.46500000000004871</v>
      </c>
    </row>
    <row r="51" spans="1:2" x14ac:dyDescent="0.3">
      <c r="A51" s="1">
        <f ca="1">sub!S51</f>
        <v>5.500520833333333E-3</v>
      </c>
      <c r="B51" s="3">
        <f ca="1">sub!Y50</f>
        <v>-0.48799999999989963</v>
      </c>
    </row>
    <row r="52" spans="1:2" x14ac:dyDescent="0.3">
      <c r="A52" s="1">
        <f ca="1">sub!S52</f>
        <v>5.5863888888888881E-3</v>
      </c>
      <c r="B52" s="3">
        <f ca="1">sub!Y51</f>
        <v>-0.18100000000006167</v>
      </c>
    </row>
    <row r="53" spans="1:2" x14ac:dyDescent="0.3">
      <c r="A53" s="1">
        <f ca="1">sub!S53</f>
        <v>5.6654745370370366E-3</v>
      </c>
      <c r="B53" s="3">
        <f ca="1">sub!Y52</f>
        <v>-0.26700000000002555</v>
      </c>
    </row>
    <row r="54" spans="1:2" x14ac:dyDescent="0.3">
      <c r="A54" s="1">
        <f ca="1">sub!S54</f>
        <v>5.7218634259259254E-3</v>
      </c>
      <c r="B54" s="3">
        <f ca="1">sub!Y53</f>
        <v>-0.22799999999999487</v>
      </c>
    </row>
    <row r="55" spans="1:2" x14ac:dyDescent="0.3">
      <c r="A55" s="1">
        <f ca="1">sub!S55</f>
        <v>5.812638888888888E-3</v>
      </c>
      <c r="B55" s="3">
        <f ca="1">sub!Y54</f>
        <v>-0.3569999999999407</v>
      </c>
    </row>
    <row r="56" spans="1:2" x14ac:dyDescent="0.3">
      <c r="A56" s="1">
        <f ca="1">sub!S56</f>
        <v>5.9310069444444445E-3</v>
      </c>
      <c r="B56" s="3">
        <f ca="1">sub!Y55</f>
        <v>-0.47300000000002618</v>
      </c>
    </row>
    <row r="57" spans="1:2" x14ac:dyDescent="0.3">
      <c r="A57" s="1">
        <f ca="1">sub!S57</f>
        <v>5.9916319444444435E-3</v>
      </c>
      <c r="B57" s="3">
        <f ca="1">sub!Y56</f>
        <v>-0.16200000000001213</v>
      </c>
    </row>
    <row r="58" spans="1:2" x14ac:dyDescent="0.3">
      <c r="A58" s="1">
        <f ca="1">sub!S58</f>
        <v>6.0751273148148145E-3</v>
      </c>
      <c r="B58" s="3">
        <f ca="1">sub!Y57</f>
        <v>1.4000000000016777E-2</v>
      </c>
    </row>
    <row r="59" spans="1:2" x14ac:dyDescent="0.3">
      <c r="A59" s="1">
        <f ca="1">sub!S59</f>
        <v>6.203668981481481E-3</v>
      </c>
      <c r="B59" s="3">
        <f ca="1">sub!Y58</f>
        <v>-0.49400000000008881</v>
      </c>
    </row>
    <row r="60" spans="1:2" x14ac:dyDescent="0.3">
      <c r="A60" s="1">
        <f ca="1">sub!S60</f>
        <v>6.3457870370370369E-3</v>
      </c>
      <c r="B60" s="3">
        <f ca="1">sub!Y59</f>
        <v>-2.220999999999937</v>
      </c>
    </row>
    <row r="61" spans="1:2" x14ac:dyDescent="0.3">
      <c r="A61" s="1">
        <f ca="1">sub!S61</f>
        <v>6.4632638888888882E-3</v>
      </c>
      <c r="B61" s="3">
        <f ca="1">sub!Y60</f>
        <v>-0.44999999999995044</v>
      </c>
    </row>
    <row r="62" spans="1:2" x14ac:dyDescent="0.3">
      <c r="A62" s="1">
        <f ca="1">sub!S62</f>
        <v>6.5803819444444443E-3</v>
      </c>
      <c r="B62" s="3">
        <f ca="1">sub!Y61</f>
        <v>1.8999999999974593E-2</v>
      </c>
    </row>
    <row r="63" spans="1:2" x14ac:dyDescent="0.3">
      <c r="A63" s="1">
        <f ca="1">sub!S63</f>
        <v>6.6578935185185179E-3</v>
      </c>
      <c r="B63" s="3">
        <f ca="1">sub!Y62</f>
        <v>-0.40300000000001723</v>
      </c>
    </row>
    <row r="64" spans="1:2" x14ac:dyDescent="0.3">
      <c r="A64" s="1">
        <f ca="1">sub!S64</f>
        <v>6.7807407407407408E-3</v>
      </c>
      <c r="B64" s="3">
        <f ca="1">sub!Y63</f>
        <v>-2.8859999999999468</v>
      </c>
    </row>
    <row r="65" spans="1:2" x14ac:dyDescent="0.3">
      <c r="A65" s="1">
        <f ca="1">sub!S65</f>
        <v>6.9182523148148146E-3</v>
      </c>
      <c r="B65" s="3">
        <f ca="1">sub!Y64</f>
        <v>-0.18600000000001948</v>
      </c>
    </row>
    <row r="66" spans="1:2" x14ac:dyDescent="0.3">
      <c r="A66" s="1">
        <f ca="1">sub!S66</f>
        <v>7.0545370370370362E-3</v>
      </c>
      <c r="B66" s="3">
        <f ca="1">sub!Y65</f>
        <v>-0.59100000000004982</v>
      </c>
    </row>
    <row r="67" spans="1:2" x14ac:dyDescent="0.3">
      <c r="A67" s="1">
        <f ca="1">sub!S67</f>
        <v>7.1475462962962968E-3</v>
      </c>
      <c r="B67" s="3">
        <f ca="1">sub!Y66</f>
        <v>-0.89799999999981284</v>
      </c>
    </row>
    <row r="68" spans="1:2" x14ac:dyDescent="0.3">
      <c r="A68" s="1">
        <f ca="1">sub!S68</f>
        <v>7.2302777777777764E-3</v>
      </c>
      <c r="B68" s="3">
        <f ca="1">sub!Y67</f>
        <v>-8.5000000000332032E-2</v>
      </c>
    </row>
    <row r="69" spans="1:2" x14ac:dyDescent="0.3">
      <c r="A69" s="1">
        <f ca="1">sub!S69</f>
        <v>7.3401851851851857E-3</v>
      </c>
      <c r="B69" s="3">
        <f ca="1">sub!Y68</f>
        <v>-0.703999999999666</v>
      </c>
    </row>
    <row r="70" spans="1:2" x14ac:dyDescent="0.3">
      <c r="A70" s="1">
        <f ca="1">sub!S70</f>
        <v>7.5077314814814815E-3</v>
      </c>
      <c r="B70" s="3">
        <f ca="1">sub!Y69</f>
        <v>-0.25700000000018486</v>
      </c>
    </row>
    <row r="71" spans="1:2" x14ac:dyDescent="0.3">
      <c r="A71" s="1">
        <f ca="1">sub!S71</f>
        <v>7.5626851851851844E-3</v>
      </c>
      <c r="B71" s="3">
        <f ca="1">sub!Y70</f>
        <v>-8.5999999999963883E-2</v>
      </c>
    </row>
    <row r="72" spans="1:2" x14ac:dyDescent="0.3">
      <c r="A72" s="1">
        <f ca="1">sub!S72</f>
        <v>7.620706018518518E-3</v>
      </c>
      <c r="B72" s="3">
        <f ca="1">sub!Y71</f>
        <v>-0.15300000000010305</v>
      </c>
    </row>
    <row r="73" spans="1:2" x14ac:dyDescent="0.3">
      <c r="A73" s="1">
        <f ca="1">sub!S73</f>
        <v>7.6752083333333325E-3</v>
      </c>
      <c r="B73" s="3">
        <f ca="1">sub!Y72</f>
        <v>-1.39099999999997</v>
      </c>
    </row>
    <row r="74" spans="1:2" x14ac:dyDescent="0.3">
      <c r="A74" s="1">
        <f ca="1">sub!S74</f>
        <v>7.8009606481481471E-3</v>
      </c>
      <c r="B74" s="3">
        <f ca="1">sub!Y73</f>
        <v>-0.66900000000003623</v>
      </c>
    </row>
    <row r="75" spans="1:2" x14ac:dyDescent="0.3">
      <c r="A75" s="1">
        <f ca="1">sub!S75</f>
        <v>7.9560185185185185E-3</v>
      </c>
      <c r="B75" s="3">
        <f ca="1">sub!Y74</f>
        <v>-0.63599999999996992</v>
      </c>
    </row>
    <row r="76" spans="1:2" x14ac:dyDescent="0.3">
      <c r="A76" s="1">
        <f ca="1">sub!S76</f>
        <v>8.0252430555555563E-3</v>
      </c>
      <c r="B76" s="3">
        <f ca="1">sub!Y75</f>
        <v>-0.1859999999998696</v>
      </c>
    </row>
    <row r="77" spans="1:2" x14ac:dyDescent="0.3">
      <c r="A77" s="1">
        <f ca="1">sub!S77</f>
        <v>8.1090625E-3</v>
      </c>
      <c r="B77" s="3">
        <f ca="1">sub!Y76</f>
        <v>-0.55800000000005845</v>
      </c>
    </row>
    <row r="78" spans="1:2" x14ac:dyDescent="0.3">
      <c r="A78" s="1">
        <f ca="1">sub!S78</f>
        <v>8.1860879629629627E-3</v>
      </c>
      <c r="B78" s="3">
        <f ca="1">sub!Y77</f>
        <v>-0.24499999999995636</v>
      </c>
    </row>
    <row r="79" spans="1:2" x14ac:dyDescent="0.3">
      <c r="A79" s="1">
        <f ca="1">sub!S79</f>
        <v>8.3218171296296304E-3</v>
      </c>
      <c r="B79" s="3">
        <f ca="1">sub!Y78</f>
        <v>-0.40599999999996195</v>
      </c>
    </row>
    <row r="80" spans="1:2" x14ac:dyDescent="0.3">
      <c r="A80" s="1">
        <f ca="1">sub!S80</f>
        <v>8.4465856481481492E-3</v>
      </c>
      <c r="B80" s="3">
        <f ca="1">sub!Y79</f>
        <v>-0.65299999999993141</v>
      </c>
    </row>
    <row r="81" spans="1:2" x14ac:dyDescent="0.3">
      <c r="A81" s="1">
        <f ca="1">sub!S81</f>
        <v>8.5672800925925933E-3</v>
      </c>
      <c r="B81" s="3">
        <f ca="1">sub!Y80</f>
        <v>-0.10600000000009491</v>
      </c>
    </row>
    <row r="82" spans="1:2" x14ac:dyDescent="0.3">
      <c r="A82" s="1">
        <f ca="1">sub!S82</f>
        <v>8.6813194444444446E-3</v>
      </c>
      <c r="B82" s="3">
        <f ca="1">sub!Y81</f>
        <v>-0.74700000000009759</v>
      </c>
    </row>
    <row r="83" spans="1:2" x14ac:dyDescent="0.3">
      <c r="A83" s="1">
        <f ca="1">sub!S83</f>
        <v>8.7917361111111113E-3</v>
      </c>
      <c r="B83" s="3">
        <f ca="1">sub!Y82</f>
        <v>-2.7930000000000121</v>
      </c>
    </row>
    <row r="84" spans="1:2" x14ac:dyDescent="0.3">
      <c r="A84" s="1">
        <f ca="1">sub!S84</f>
        <v>8.8804861111111116E-3</v>
      </c>
      <c r="B84" s="3">
        <f ca="1">sub!Y83</f>
        <v>-0.2319999999998712</v>
      </c>
    </row>
    <row r="85" spans="1:2" x14ac:dyDescent="0.3">
      <c r="A85" s="1">
        <f ca="1">sub!S85</f>
        <v>8.9617824074074079E-3</v>
      </c>
      <c r="B85" s="3">
        <f ca="1">sub!Y84</f>
        <v>-0.37599999999991529</v>
      </c>
    </row>
    <row r="86" spans="1:2" x14ac:dyDescent="0.3">
      <c r="A86" s="1">
        <f ca="1">sub!S86</f>
        <v>9.0360879629629628E-3</v>
      </c>
      <c r="B86" s="3">
        <f ca="1">sub!Y85</f>
        <v>-0.48000000000014698</v>
      </c>
    </row>
    <row r="87" spans="1:2" x14ac:dyDescent="0.3">
      <c r="A87" s="1">
        <f ca="1">sub!S87</f>
        <v>9.1335648148148148E-3</v>
      </c>
      <c r="B87" s="3">
        <f ca="1">sub!Y86</f>
        <v>-0.47799999999998399</v>
      </c>
    </row>
    <row r="88" spans="1:2" x14ac:dyDescent="0.3">
      <c r="A88" s="1">
        <f ca="1">sub!S88</f>
        <v>9.2453703703703708E-3</v>
      </c>
      <c r="B88" s="3">
        <f ca="1">sub!Y87</f>
        <v>-2.273000000000053</v>
      </c>
    </row>
    <row r="89" spans="1:2" x14ac:dyDescent="0.3">
      <c r="A89" s="1">
        <f ca="1">sub!S89</f>
        <v>9.3519791666666664E-3</v>
      </c>
      <c r="B89" s="3">
        <f ca="1">sub!Y88</f>
        <v>-0.62299999999988476</v>
      </c>
    </row>
    <row r="90" spans="1:2" x14ac:dyDescent="0.3">
      <c r="A90" s="1">
        <f ca="1">sub!S90</f>
        <v>9.4847916666666674E-3</v>
      </c>
      <c r="B90" s="3">
        <f ca="1">sub!Y89</f>
        <v>-0.49100000000006916</v>
      </c>
    </row>
    <row r="91" spans="1:2" x14ac:dyDescent="0.3">
      <c r="A91" s="1">
        <f ca="1">sub!S91</f>
        <v>9.6090740740740737E-3</v>
      </c>
      <c r="B91" s="3">
        <f ca="1">sub!Y90</f>
        <v>-0.36199999999997345</v>
      </c>
    </row>
    <row r="92" spans="1:2" x14ac:dyDescent="0.3">
      <c r="A92" s="1">
        <f ca="1">sub!S92</f>
        <v>9.7031481481481482E-3</v>
      </c>
      <c r="B92" s="3">
        <f ca="1">sub!Y91</f>
        <v>-0.43900000000002826</v>
      </c>
    </row>
    <row r="93" spans="1:2" x14ac:dyDescent="0.3">
      <c r="A93" s="1">
        <f ca="1">sub!S93</f>
        <v>9.8384375E-3</v>
      </c>
      <c r="B93" s="3">
        <f ca="1">sub!Y92</f>
        <v>2.1999999999994246E-2</v>
      </c>
    </row>
    <row r="94" spans="1:2" x14ac:dyDescent="0.3">
      <c r="A94" s="1">
        <f ca="1">sub!S94</f>
        <v>9.9585069444444452E-3</v>
      </c>
      <c r="B94" s="3">
        <f ca="1">sub!Y93</f>
        <v>-0.12599999999992617</v>
      </c>
    </row>
    <row r="95" spans="1:2" x14ac:dyDescent="0.3">
      <c r="A95" s="1">
        <f ca="1">sub!S95</f>
        <v>1.005931712962963E-2</v>
      </c>
      <c r="B95" s="3">
        <f ca="1">sub!Y94</f>
        <v>-0.39000000000000701</v>
      </c>
    </row>
    <row r="96" spans="1:2" x14ac:dyDescent="0.3">
      <c r="A96" s="1">
        <f ca="1">sub!S96</f>
        <v>1.0150312500000001E-2</v>
      </c>
      <c r="B96" s="3">
        <f ca="1">sub!Y95</f>
        <v>-2.4379999999999349</v>
      </c>
    </row>
    <row r="97" spans="1:2" x14ac:dyDescent="0.3">
      <c r="A97" s="1">
        <f ca="1">sub!S97</f>
        <v>1.0297546296296298E-2</v>
      </c>
      <c r="B97" s="3">
        <f ca="1">sub!Y96</f>
        <v>-0.37900000000008482</v>
      </c>
    </row>
    <row r="98" spans="1:2" x14ac:dyDescent="0.3">
      <c r="A98" s="1">
        <f ca="1">sub!S98</f>
        <v>1.0460243055555556E-2</v>
      </c>
      <c r="B98" s="3">
        <f ca="1">sub!Y97</f>
        <v>-0.47599999999997089</v>
      </c>
    </row>
    <row r="99" spans="1:2" x14ac:dyDescent="0.3">
      <c r="A99" s="1">
        <f ca="1">sub!S99</f>
        <v>1.0519733796296296E-2</v>
      </c>
      <c r="B99" s="3">
        <f ca="1">sub!Y98</f>
        <v>-2.0270000000000898</v>
      </c>
    </row>
    <row r="100" spans="1:2" x14ac:dyDescent="0.3">
      <c r="A100" s="1">
        <f ca="1">sub!S100</f>
        <v>1.0628287037037039E-2</v>
      </c>
      <c r="B100" s="3">
        <f ca="1">sub!Y99</f>
        <v>-5.3999999999754245E-2</v>
      </c>
    </row>
    <row r="101" spans="1:2" x14ac:dyDescent="0.3">
      <c r="A101" s="1">
        <f ca="1">sub!S101</f>
        <v>1.0783842592592593E-2</v>
      </c>
      <c r="B101" s="3">
        <f ca="1">sub!Y100</f>
        <v>-0.19300000000021522</v>
      </c>
    </row>
    <row r="102" spans="1:2" x14ac:dyDescent="0.3">
      <c r="A102" s="1">
        <f ca="1">sub!S102</f>
        <v>1.089412037037037E-2</v>
      </c>
      <c r="B102" s="3">
        <f ca="1">sub!Y101</f>
        <v>6.0999999999949983E-2</v>
      </c>
    </row>
    <row r="103" spans="1:2" x14ac:dyDescent="0.3">
      <c r="A103" s="1">
        <f ca="1">sub!S103</f>
        <v>1.0990706018518519E-2</v>
      </c>
      <c r="B103" s="3">
        <f ca="1">sub!Y102</f>
        <v>-8.7999999999827105E-2</v>
      </c>
    </row>
    <row r="104" spans="1:2" x14ac:dyDescent="0.3">
      <c r="A104" s="1">
        <f ca="1">sub!S104</f>
        <v>1.1119814814814815E-2</v>
      </c>
      <c r="B104" s="3">
        <f ca="1">sub!Y103</f>
        <v>-4.5000000000144924E-2</v>
      </c>
    </row>
    <row r="105" spans="1:2" x14ac:dyDescent="0.3">
      <c r="A105" s="1">
        <f ca="1">sub!S105</f>
        <v>1.1247731481481482E-2</v>
      </c>
      <c r="B105" s="3">
        <f ca="1">sub!Y104</f>
        <v>-0.28200000000004888</v>
      </c>
    </row>
    <row r="106" spans="1:2" x14ac:dyDescent="0.3">
      <c r="A106" s="1">
        <f ca="1">sub!S106</f>
        <v>1.1361527777777778E-2</v>
      </c>
      <c r="B106" s="3">
        <f ca="1">sub!Y105</f>
        <v>-3.4000000000072861E-2</v>
      </c>
    </row>
    <row r="107" spans="1:2" x14ac:dyDescent="0.3">
      <c r="A107" s="1">
        <f ca="1">sub!S107</f>
        <v>1.1464270833333333E-2</v>
      </c>
      <c r="B107" s="3">
        <f ca="1">sub!Y106</f>
        <v>-0.28999999999980153</v>
      </c>
    </row>
    <row r="108" spans="1:2" x14ac:dyDescent="0.3">
      <c r="A108" s="1">
        <f ca="1">sub!S108</f>
        <v>1.1619409722222222E-2</v>
      </c>
      <c r="B108" s="3">
        <f ca="1">sub!Y107</f>
        <v>-0.79600000000011883</v>
      </c>
    </row>
    <row r="109" spans="1:2" x14ac:dyDescent="0.3">
      <c r="A109" s="1">
        <f ca="1">sub!S109</f>
        <v>1.1793958333333333E-2</v>
      </c>
      <c r="B109" s="3">
        <f ca="1">sub!Y108</f>
        <v>-0.61900000000000843</v>
      </c>
    </row>
    <row r="110" spans="1:2" x14ac:dyDescent="0.3">
      <c r="A110" s="1">
        <f ca="1">sub!S110</f>
        <v>1.1934525462962964E-2</v>
      </c>
      <c r="B110" s="3">
        <f ca="1">sub!Y109</f>
        <v>-0.25499999999972212</v>
      </c>
    </row>
    <row r="111" spans="1:2" x14ac:dyDescent="0.3">
      <c r="A111" s="1">
        <f ca="1">sub!S111</f>
        <v>1.2082685185185186E-2</v>
      </c>
      <c r="B111" s="3">
        <f ca="1">sub!Y110</f>
        <v>-0.39900000000021585</v>
      </c>
    </row>
    <row r="112" spans="1:2" x14ac:dyDescent="0.3">
      <c r="A112" s="1">
        <f ca="1">sub!S112</f>
        <v>1.2198171296296297E-2</v>
      </c>
      <c r="B112" s="3">
        <f ca="1">sub!Y111</f>
        <v>-0.32199999999986129</v>
      </c>
    </row>
    <row r="113" spans="1:2" x14ac:dyDescent="0.3">
      <c r="A113" s="1">
        <f ca="1">sub!S113</f>
        <v>1.2301724537037036E-2</v>
      </c>
      <c r="B113" s="3">
        <f ca="1">sub!Y112</f>
        <v>-3.9530000000002676</v>
      </c>
    </row>
    <row r="114" spans="1:2" x14ac:dyDescent="0.3">
      <c r="A114" s="1">
        <f ca="1">sub!S114</f>
        <v>1.2440729166666666E-2</v>
      </c>
      <c r="B114" s="3">
        <f ca="1">sub!Y113</f>
        <v>1.0000000000065512E-2</v>
      </c>
    </row>
    <row r="115" spans="1:2" x14ac:dyDescent="0.3">
      <c r="A115" s="1">
        <f ca="1">sub!S115</f>
        <v>1.2550949074074075E-2</v>
      </c>
      <c r="B115" s="3">
        <f ca="1">sub!Y114</f>
        <v>-1.5099999999997005</v>
      </c>
    </row>
    <row r="116" spans="1:2" x14ac:dyDescent="0.3">
      <c r="A116" s="1">
        <f ca="1">sub!S116</f>
        <v>1.2658240740740742E-2</v>
      </c>
      <c r="B116" s="3">
        <f ca="1">sub!Y115</f>
        <v>3.5999999999786203E-2</v>
      </c>
    </row>
    <row r="117" spans="1:2" x14ac:dyDescent="0.3">
      <c r="A117" s="1">
        <f ca="1">sub!S117</f>
        <v>1.2742523148148149E-2</v>
      </c>
      <c r="B117" s="3">
        <f ca="1">sub!Y116</f>
        <v>-0.41799999999989068</v>
      </c>
    </row>
    <row r="118" spans="1:2" x14ac:dyDescent="0.3">
      <c r="A118" s="1">
        <f ca="1">sub!S118</f>
        <v>1.2886909722222221E-2</v>
      </c>
      <c r="B118" s="3">
        <f ca="1">sub!Y117</f>
        <v>-0.12500000000021938</v>
      </c>
    </row>
    <row r="119" spans="1:2" x14ac:dyDescent="0.3">
      <c r="A119" s="1">
        <f ca="1">sub!S119</f>
        <v>1.2983287037037036E-2</v>
      </c>
      <c r="B119" s="3">
        <f ca="1">sub!Y118</f>
        <v>-0.27299999999998992</v>
      </c>
    </row>
    <row r="120" spans="1:2" x14ac:dyDescent="0.3">
      <c r="A120" s="1">
        <f ca="1">sub!S120</f>
        <v>1.3119907407407408E-2</v>
      </c>
      <c r="B120" s="3">
        <f ca="1">sub!Y119</f>
        <v>-0.79599999999996895</v>
      </c>
    </row>
    <row r="121" spans="1:2" x14ac:dyDescent="0.3">
      <c r="A121" s="1">
        <f ca="1">sub!S121</f>
        <v>1.3226932870370372E-2</v>
      </c>
      <c r="B121" s="3">
        <f ca="1">sub!Y120</f>
        <v>-0.35299999999991449</v>
      </c>
    </row>
    <row r="122" spans="1:2" x14ac:dyDescent="0.3">
      <c r="A122" s="1">
        <f ca="1">sub!S122</f>
        <v>1.3383576388888889E-2</v>
      </c>
      <c r="B122" s="3">
        <f ca="1">sub!Y121</f>
        <v>-6.5999999999982739E-2</v>
      </c>
    </row>
    <row r="123" spans="1:2" x14ac:dyDescent="0.3">
      <c r="A123" s="1">
        <f ca="1">sub!S123</f>
        <v>1.3444537037037038E-2</v>
      </c>
      <c r="B123" s="3">
        <f ca="1">sub!Y122</f>
        <v>-2.8329999999999744</v>
      </c>
    </row>
    <row r="124" spans="1:2" x14ac:dyDescent="0.3">
      <c r="A124" s="1">
        <f ca="1">sub!S124</f>
        <v>1.3573611111111113E-2</v>
      </c>
      <c r="B124" s="3">
        <f ca="1">sub!Y123</f>
        <v>-0.51399999999992008</v>
      </c>
    </row>
    <row r="125" spans="1:2" x14ac:dyDescent="0.3">
      <c r="A125" s="1">
        <f ca="1">sub!S125</f>
        <v>1.370013888888889E-2</v>
      </c>
      <c r="B125" s="3">
        <f ca="1">sub!Y124</f>
        <v>-0.63500000000011325</v>
      </c>
    </row>
    <row r="126" spans="1:2" x14ac:dyDescent="0.3">
      <c r="A126" s="1">
        <f ca="1">sub!S126</f>
        <v>1.3794641203703705E-2</v>
      </c>
      <c r="B126" s="3">
        <f ca="1">sub!Y125</f>
        <v>-0.73500000000001897</v>
      </c>
    </row>
    <row r="127" spans="1:2" x14ac:dyDescent="0.3">
      <c r="A127" s="1">
        <f ca="1">sub!S127</f>
        <v>1.3904409722222223E-2</v>
      </c>
      <c r="B127" s="3">
        <f ca="1">sub!Y126</f>
        <v>-1.548999999999956</v>
      </c>
    </row>
    <row r="128" spans="1:2" x14ac:dyDescent="0.3">
      <c r="A128" s="1">
        <f ca="1">sub!S128</f>
        <v>1.4004560185185186E-2</v>
      </c>
      <c r="B128" s="3">
        <f ca="1">sub!Y127</f>
        <v>-0.38100000000009793</v>
      </c>
    </row>
    <row r="129" spans="1:2" x14ac:dyDescent="0.3">
      <c r="A129" s="1">
        <f ca="1">sub!S129</f>
        <v>1.4144722222222223E-2</v>
      </c>
      <c r="B129" s="3">
        <f ca="1">sub!Y128</f>
        <v>-0.22299999999981224</v>
      </c>
    </row>
    <row r="130" spans="1:2" x14ac:dyDescent="0.3">
      <c r="A130" s="1">
        <f ca="1">sub!S130</f>
        <v>1.4218900462962963E-2</v>
      </c>
      <c r="B130" s="3">
        <f ca="1">sub!Y129</f>
        <v>-0.19100000000020212</v>
      </c>
    </row>
    <row r="131" spans="1:2" x14ac:dyDescent="0.3">
      <c r="A131" s="1">
        <f ca="1">sub!S131</f>
        <v>1.4343356481481481E-2</v>
      </c>
      <c r="B131" s="3">
        <f ca="1">sub!Y130</f>
        <v>-0.34700000000002507</v>
      </c>
    </row>
    <row r="132" spans="1:2" x14ac:dyDescent="0.3">
      <c r="A132" s="1">
        <f ca="1">sub!S132</f>
        <v>1.440443287037037E-2</v>
      </c>
      <c r="B132" s="3">
        <f ca="1">sub!Y131</f>
        <v>-4.2899999999999272</v>
      </c>
    </row>
    <row r="133" spans="1:2" x14ac:dyDescent="0.3">
      <c r="A133" s="1">
        <f ca="1">sub!S133</f>
        <v>1.4474652777777777E-2</v>
      </c>
      <c r="B133" s="3">
        <f ca="1">sub!Y132</f>
        <v>-0.33300000000023311</v>
      </c>
    </row>
    <row r="134" spans="1:2" x14ac:dyDescent="0.3">
      <c r="A134" s="1">
        <f ca="1">sub!S134</f>
        <v>1.4586689814814816E-2</v>
      </c>
      <c r="B134" s="3">
        <f ca="1">sub!Y133</f>
        <v>-1.9999999999531504E-2</v>
      </c>
    </row>
    <row r="135" spans="1:2" x14ac:dyDescent="0.3">
      <c r="A135" s="1">
        <f ca="1">sub!S135</f>
        <v>1.4676273148148148E-2</v>
      </c>
      <c r="B135" s="3">
        <f ca="1">sub!Y134</f>
        <v>-0.26000000000005463</v>
      </c>
    </row>
    <row r="136" spans="1:2" x14ac:dyDescent="0.3">
      <c r="A136" s="1">
        <f ca="1">sub!S136</f>
        <v>1.4808368055555556E-2</v>
      </c>
      <c r="B136" s="3">
        <f ca="1">sub!Y135</f>
        <v>-0.58700000000009855</v>
      </c>
    </row>
    <row r="137" spans="1:2" x14ac:dyDescent="0.3">
      <c r="A137" s="1">
        <f ca="1">sub!S137</f>
        <v>1.4861180555555555E-2</v>
      </c>
      <c r="B137" s="3">
        <f ca="1">sub!Y136</f>
        <v>-0.97000000000035946</v>
      </c>
    </row>
    <row r="138" spans="1:2" x14ac:dyDescent="0.3">
      <c r="A138" s="1">
        <f ca="1">sub!S138</f>
        <v>1.4988298611111112E-2</v>
      </c>
      <c r="B138" s="3">
        <f ca="1">sub!Y137</f>
        <v>-0.3499999999994452</v>
      </c>
    </row>
    <row r="139" spans="1:2" x14ac:dyDescent="0.3">
      <c r="A139" s="1">
        <f ca="1">sub!S139</f>
        <v>1.5084988425925925E-2</v>
      </c>
      <c r="B139" s="3">
        <f ca="1">sub!Y138</f>
        <v>-0.94600000000050199</v>
      </c>
    </row>
    <row r="140" spans="1:2" x14ac:dyDescent="0.3">
      <c r="A140" s="1">
        <f ca="1">sub!S140</f>
        <v>1.5196168981481481E-2</v>
      </c>
      <c r="B140" s="3">
        <f ca="1">sub!Y139</f>
        <v>-0.99399999999991717</v>
      </c>
    </row>
    <row r="141" spans="1:2" x14ac:dyDescent="0.3">
      <c r="A141" s="1">
        <f ca="1">sub!S141</f>
        <v>1.5310995370370371E-2</v>
      </c>
      <c r="B141" s="3">
        <f ca="1">sub!Y140</f>
        <v>-0.37899999999993494</v>
      </c>
    </row>
    <row r="142" spans="1:2" x14ac:dyDescent="0.3">
      <c r="A142" s="1">
        <f ca="1">sub!S142</f>
        <v>1.5415601851851852E-2</v>
      </c>
      <c r="B142" s="3">
        <f ca="1">sub!Y141</f>
        <v>-0.39599999999974655</v>
      </c>
    </row>
    <row r="143" spans="1:2" x14ac:dyDescent="0.3">
      <c r="A143" s="1">
        <f ca="1">sub!S143</f>
        <v>1.5572002314814816E-2</v>
      </c>
      <c r="B143" s="3">
        <f ca="1">sub!Y142</f>
        <v>-0.55300000000002569</v>
      </c>
    </row>
    <row r="144" spans="1:2" x14ac:dyDescent="0.3">
      <c r="A144" s="1">
        <f ca="1">sub!S144</f>
        <v>1.5693310185185185E-2</v>
      </c>
      <c r="B144" s="3">
        <f ca="1">sub!Y143</f>
        <v>-0.18600000000016936</v>
      </c>
    </row>
    <row r="145" spans="1:2" x14ac:dyDescent="0.3">
      <c r="A145" s="1">
        <f ca="1">sub!S145</f>
        <v>1.5824594907407407E-2</v>
      </c>
      <c r="B145" s="3">
        <f ca="1">sub!Y144</f>
        <v>-0.28999999999980153</v>
      </c>
    </row>
    <row r="146" spans="1:2" x14ac:dyDescent="0.3">
      <c r="A146" s="1">
        <f ca="1">sub!S146</f>
        <v>1.5938263888888887E-2</v>
      </c>
      <c r="B146" s="3">
        <f ca="1">sub!Y145</f>
        <v>-1.4790000000003967</v>
      </c>
    </row>
    <row r="147" spans="1:2" x14ac:dyDescent="0.3">
      <c r="A147" s="1">
        <f ca="1">sub!S147</f>
        <v>1.6050925925925923E-2</v>
      </c>
      <c r="B147" s="3">
        <f ca="1">sub!Y146</f>
        <v>-0.29999999999986704</v>
      </c>
    </row>
    <row r="148" spans="1:2" x14ac:dyDescent="0.3">
      <c r="A148" s="1">
        <f ca="1">sub!S148</f>
        <v>1.6142465277777778E-2</v>
      </c>
      <c r="B148" s="3">
        <f ca="1">sub!Y147</f>
        <v>-1.4909999999998758</v>
      </c>
    </row>
    <row r="149" spans="1:2" x14ac:dyDescent="0.3">
      <c r="A149" s="1">
        <f ca="1">sub!S149</f>
        <v>1.6214606481481479E-2</v>
      </c>
      <c r="B149" s="3">
        <f ca="1">sub!Y148</f>
        <v>-1.2000000000003674</v>
      </c>
    </row>
    <row r="150" spans="1:2" x14ac:dyDescent="0.3">
      <c r="A150" s="1">
        <f ca="1">sub!S150</f>
        <v>1.6326851851851849E-2</v>
      </c>
      <c r="B150" s="3">
        <f ca="1">sub!Y149</f>
        <v>-1.201999999999781</v>
      </c>
    </row>
    <row r="151" spans="1:2" x14ac:dyDescent="0.3">
      <c r="A151" s="1">
        <f ca="1">sub!S151</f>
        <v>1.6475173611111109E-2</v>
      </c>
      <c r="B151" s="3">
        <f ca="1">sub!Y150</f>
        <v>-0.2520000000001521</v>
      </c>
    </row>
    <row r="152" spans="1:2" x14ac:dyDescent="0.3">
      <c r="A152" s="1">
        <f ca="1">sub!S152</f>
        <v>1.6546388888888888E-2</v>
      </c>
      <c r="B152" s="3">
        <f ca="1">sub!Y151</f>
        <v>-3.6129999999996887</v>
      </c>
    </row>
    <row r="153" spans="1:2" x14ac:dyDescent="0.3">
      <c r="A153" s="1">
        <f ca="1">sub!S153</f>
        <v>1.6598344907407407E-2</v>
      </c>
      <c r="B153" s="3">
        <f ca="1">sub!Y152</f>
        <v>-1.1000000000072063E-2</v>
      </c>
    </row>
    <row r="154" spans="1:2" x14ac:dyDescent="0.3">
      <c r="A154" s="1">
        <f ca="1">sub!S154</f>
        <v>1.6693263888888889E-2</v>
      </c>
      <c r="B154" s="3">
        <f ca="1">sub!Y153</f>
        <v>-0.19900000000010465</v>
      </c>
    </row>
    <row r="155" spans="1:2" x14ac:dyDescent="0.3">
      <c r="A155" s="1">
        <f ca="1">sub!S155</f>
        <v>1.678986111111111E-2</v>
      </c>
      <c r="B155" s="3">
        <f ca="1">sub!Y154</f>
        <v>-0.55400000000003224</v>
      </c>
    </row>
    <row r="156" spans="1:2" x14ac:dyDescent="0.3">
      <c r="A156" s="1">
        <f ca="1">sub!S156</f>
        <v>1.689353009259259E-2</v>
      </c>
      <c r="B156" s="3">
        <f ca="1">sub!Y155</f>
        <v>-0.24300000000009314</v>
      </c>
    </row>
    <row r="157" spans="1:2" x14ac:dyDescent="0.3">
      <c r="A157" s="1">
        <f ca="1">sub!S157</f>
        <v>1.6995138888888886E-2</v>
      </c>
      <c r="B157" s="3">
        <f ca="1">sub!Y156</f>
        <v>-1.1210000000001497</v>
      </c>
    </row>
    <row r="158" spans="1:2" x14ac:dyDescent="0.3">
      <c r="A158" s="1">
        <f ca="1">sub!S158</f>
        <v>1.7082048611111109E-2</v>
      </c>
      <c r="B158" s="3">
        <f ca="1">sub!Y157</f>
        <v>-0.19099999999975248</v>
      </c>
    </row>
    <row r="159" spans="1:2" x14ac:dyDescent="0.3">
      <c r="A159" s="1">
        <f ca="1">sub!S159</f>
        <v>1.7125150462962962E-2</v>
      </c>
      <c r="B159" s="3">
        <f ca="1">sub!Y158</f>
        <v>-3.0760000000000676</v>
      </c>
    </row>
    <row r="160" spans="1:2" x14ac:dyDescent="0.3">
      <c r="A160" s="1">
        <f ca="1">sub!S160</f>
        <v>1.7228275462962961E-2</v>
      </c>
      <c r="B160" s="3">
        <f ca="1">sub!Y159</f>
        <v>-3.1899999999999151</v>
      </c>
    </row>
    <row r="161" spans="1:2" x14ac:dyDescent="0.3">
      <c r="A161" s="1">
        <f ca="1">sub!S161</f>
        <v>1.7359189814814813E-2</v>
      </c>
      <c r="B161" s="3">
        <f ca="1">sub!Y160</f>
        <v>-0.58899999999996178</v>
      </c>
    </row>
    <row r="162" spans="1:2" x14ac:dyDescent="0.3">
      <c r="A162" s="1">
        <f ca="1">sub!S162</f>
        <v>1.7480925925925924E-2</v>
      </c>
      <c r="B162" s="3">
        <f ca="1">sub!Y161</f>
        <v>-0.38200000000010448</v>
      </c>
    </row>
    <row r="163" spans="1:2" x14ac:dyDescent="0.3">
      <c r="A163" s="1">
        <f ca="1">sub!S163</f>
        <v>1.7591759259259258E-2</v>
      </c>
      <c r="B163" s="3">
        <f ca="1">sub!Y162</f>
        <v>-2.5240000000000484</v>
      </c>
    </row>
    <row r="164" spans="1:2" x14ac:dyDescent="0.3">
      <c r="A164" s="1">
        <f ca="1">sub!S164</f>
        <v>1.7671493055555557E-2</v>
      </c>
      <c r="B164" s="3">
        <f ca="1">sub!Y163</f>
        <v>-0.67799999999964555</v>
      </c>
    </row>
    <row r="165" spans="1:2" x14ac:dyDescent="0.3">
      <c r="A165" s="1">
        <f ca="1">sub!S165</f>
        <v>1.7783912037037036E-2</v>
      </c>
      <c r="B165" s="3">
        <f ca="1">sub!Y164</f>
        <v>-2.2870000000002944</v>
      </c>
    </row>
    <row r="166" spans="1:2" x14ac:dyDescent="0.3">
      <c r="A166" s="1">
        <f ca="1">sub!S166</f>
        <v>1.7891840277777776E-2</v>
      </c>
      <c r="B166" s="3">
        <f ca="1">sub!Y165</f>
        <v>-0.27500000000000302</v>
      </c>
    </row>
    <row r="167" spans="1:2" x14ac:dyDescent="0.3">
      <c r="A167" s="1">
        <f ca="1">sub!S167</f>
        <v>1.7967210648148147E-2</v>
      </c>
      <c r="B167" s="3">
        <f ca="1">sub!Y166</f>
        <v>-8.7999999999677225E-2</v>
      </c>
    </row>
    <row r="168" spans="1:2" x14ac:dyDescent="0.3">
      <c r="A168" s="1">
        <f ca="1">sub!S168</f>
        <v>1.8075949074074074E-2</v>
      </c>
      <c r="B168" s="3">
        <f ca="1">sub!Y167</f>
        <v>-1.6380000000002393</v>
      </c>
    </row>
    <row r="169" spans="1:2" x14ac:dyDescent="0.3">
      <c r="A169" s="1">
        <f ca="1">sub!S169</f>
        <v>1.8183483796296293E-2</v>
      </c>
      <c r="B169" s="3">
        <f ca="1">sub!Y168</f>
        <v>-0.6090000000000928</v>
      </c>
    </row>
    <row r="170" spans="1:2" x14ac:dyDescent="0.3">
      <c r="A170" s="1">
        <f ca="1">sub!S170</f>
        <v>1.8292974537037036E-2</v>
      </c>
      <c r="B170" s="3">
        <f ca="1">sub!Y169</f>
        <v>-0.43999999999988493</v>
      </c>
    </row>
    <row r="171" spans="1:2" x14ac:dyDescent="0.3">
      <c r="A171" s="1">
        <f ca="1">sub!S171</f>
        <v>1.8408472222222222E-2</v>
      </c>
      <c r="B171" s="3">
        <f ca="1">sub!Y170</f>
        <v>-0.22099999999994902</v>
      </c>
    </row>
    <row r="172" spans="1:2" x14ac:dyDescent="0.3">
      <c r="A172" s="1">
        <f ca="1">sub!S172</f>
        <v>1.8493229166666666E-2</v>
      </c>
      <c r="B172" s="3">
        <f ca="1">sub!Y171</f>
        <v>-0.2109999999998835</v>
      </c>
    </row>
    <row r="173" spans="1:2" x14ac:dyDescent="0.3">
      <c r="A173" s="1">
        <f ca="1">sub!S173</f>
        <v>1.8627569444444443E-2</v>
      </c>
      <c r="B173" s="3">
        <f ca="1">sub!Y172</f>
        <v>-0.39300000000017654</v>
      </c>
    </row>
    <row r="174" spans="1:2" x14ac:dyDescent="0.3">
      <c r="A174" s="1">
        <f ca="1">sub!S174</f>
        <v>1.8700624999999998E-2</v>
      </c>
      <c r="B174" s="3">
        <f ca="1">sub!Y173</f>
        <v>-1.3880000000001003</v>
      </c>
    </row>
    <row r="175" spans="1:2" x14ac:dyDescent="0.3">
      <c r="A175" s="1">
        <f ca="1">sub!S175</f>
        <v>1.8822939814814813E-2</v>
      </c>
      <c r="B175" s="3">
        <f ca="1">sub!Y174</f>
        <v>-0.63199999999994372</v>
      </c>
    </row>
    <row r="176" spans="1:2" x14ac:dyDescent="0.3">
      <c r="A176" s="1">
        <f ca="1">sub!S176</f>
        <v>1.8918530092592589E-2</v>
      </c>
      <c r="B176" s="3">
        <f ca="1">sub!Y175</f>
        <v>5.8999999999787001E-2</v>
      </c>
    </row>
    <row r="177" spans="1:2" x14ac:dyDescent="0.3">
      <c r="A177" s="1">
        <f ca="1">sub!S177</f>
        <v>1.9004687499999999E-2</v>
      </c>
      <c r="B177" s="3">
        <f ca="1">sub!Y176</f>
        <v>-0.75599999999985679</v>
      </c>
    </row>
    <row r="178" spans="1:2" x14ac:dyDescent="0.3">
      <c r="A178" s="1">
        <f ca="1">sub!S178</f>
        <v>1.9092349537037034E-2</v>
      </c>
      <c r="B178" s="3">
        <f ca="1">sub!Y177</f>
        <v>7.3999999999885269E-2</v>
      </c>
    </row>
    <row r="179" spans="1:2" x14ac:dyDescent="0.3">
      <c r="A179" s="1">
        <f ca="1">sub!S179</f>
        <v>1.9168807870370369E-2</v>
      </c>
      <c r="B179" s="3">
        <f ca="1">sub!Y178</f>
        <v>-0.39399999999988333</v>
      </c>
    </row>
    <row r="180" spans="1:2" x14ac:dyDescent="0.3">
      <c r="A180" s="1">
        <f ca="1">sub!S180</f>
        <v>1.9232905092592591E-2</v>
      </c>
      <c r="B180" s="3">
        <f ca="1">sub!Y179</f>
        <v>-2.9619999999999203</v>
      </c>
    </row>
    <row r="181" spans="1:2" x14ac:dyDescent="0.3">
      <c r="A181" s="1">
        <f ca="1">sub!S181</f>
        <v>1.9396215277777774E-2</v>
      </c>
      <c r="B181" s="3">
        <f ca="1">sub!Y180</f>
        <v>-0.35600000000023391</v>
      </c>
    </row>
    <row r="182" spans="1:2" x14ac:dyDescent="0.3">
      <c r="A182" s="1">
        <f ca="1">sub!S182</f>
        <v>1.9491782407407406E-2</v>
      </c>
      <c r="B182" s="3">
        <f ca="1">sub!Y181</f>
        <v>-0.64300000000001578</v>
      </c>
    </row>
    <row r="183" spans="1:2" x14ac:dyDescent="0.3">
      <c r="A183" s="1">
        <f ca="1">sub!S183</f>
        <v>1.9571122685185183E-2</v>
      </c>
      <c r="B183" s="3">
        <f ca="1">sub!Y182</f>
        <v>-4.4999999999695284E-2</v>
      </c>
    </row>
    <row r="184" spans="1:2" x14ac:dyDescent="0.3">
      <c r="A184" s="1">
        <f ca="1">sub!S184</f>
        <v>1.9671365740740739E-2</v>
      </c>
      <c r="B184" s="3">
        <f ca="1">sub!Y183</f>
        <v>-1.5390000000001902</v>
      </c>
    </row>
    <row r="185" spans="1:2" x14ac:dyDescent="0.3">
      <c r="A185" s="1">
        <f ca="1">sub!S185</f>
        <v>1.9796840277777776E-2</v>
      </c>
      <c r="B185" s="3">
        <f ca="1">sub!Y184</f>
        <v>-0.3589999999999538</v>
      </c>
    </row>
    <row r="186" spans="1:2" x14ac:dyDescent="0.3">
      <c r="A186" s="1">
        <f ca="1">sub!S186</f>
        <v>1.9884965277777777E-2</v>
      </c>
      <c r="B186" s="3">
        <f ca="1">sub!Y185</f>
        <v>-0.58599999999994212</v>
      </c>
    </row>
    <row r="187" spans="1:2" x14ac:dyDescent="0.3">
      <c r="A187" s="1">
        <f ca="1">sub!S187</f>
        <v>1.9972048611111112E-2</v>
      </c>
      <c r="B187" s="3">
        <f ca="1">sub!Y186</f>
        <v>-0.27599999999970981</v>
      </c>
    </row>
    <row r="188" spans="1:2" x14ac:dyDescent="0.3">
      <c r="A188" s="1">
        <f ca="1">sub!S188</f>
        <v>2.007037037037037E-2</v>
      </c>
      <c r="B188" s="3">
        <f ca="1">sub!Y187</f>
        <v>-0.7050000000001222</v>
      </c>
    </row>
    <row r="189" spans="1:2" x14ac:dyDescent="0.3">
      <c r="A189" s="1">
        <f ca="1">sub!S189</f>
        <v>2.015960648148148E-2</v>
      </c>
      <c r="B189" s="3">
        <f ca="1">sub!Y188</f>
        <v>-0.59000000000026809</v>
      </c>
    </row>
    <row r="190" spans="1:2" x14ac:dyDescent="0.3">
      <c r="A190" s="1">
        <f ca="1">sub!S190</f>
        <v>2.028722222222222E-2</v>
      </c>
      <c r="B190" s="3">
        <f ca="1">sub!Y189</f>
        <v>-0.47399999999980791</v>
      </c>
    </row>
    <row r="191" spans="1:2" x14ac:dyDescent="0.3">
      <c r="A191" s="1">
        <f ca="1">sub!S191</f>
        <v>2.0338645833333332E-2</v>
      </c>
      <c r="B191" s="3">
        <f ca="1">sub!Y190</f>
        <v>-0.15700000000012926</v>
      </c>
    </row>
    <row r="192" spans="1:2" x14ac:dyDescent="0.3">
      <c r="A192" s="1">
        <f ca="1">sub!S192</f>
        <v>2.0469594907407403E-2</v>
      </c>
      <c r="B192" s="3">
        <f ca="1">sub!Y191</f>
        <v>-0.58600000000024188</v>
      </c>
    </row>
    <row r="193" spans="1:2" x14ac:dyDescent="0.3">
      <c r="A193" s="1">
        <f ca="1">sub!S193</f>
        <v>2.0556493055555555E-2</v>
      </c>
      <c r="B193" s="3">
        <f ca="1">sub!Y192</f>
        <v>-0.69199999999973727</v>
      </c>
    </row>
    <row r="194" spans="1:2" x14ac:dyDescent="0.3">
      <c r="A194" s="1">
        <f ca="1">sub!S194</f>
        <v>2.0668240740740737E-2</v>
      </c>
      <c r="B194" s="3">
        <f ca="1">sub!Y193</f>
        <v>-0.14500000000005064</v>
      </c>
    </row>
    <row r="195" spans="1:2" x14ac:dyDescent="0.3">
      <c r="A195" s="1">
        <f ca="1">sub!S195</f>
        <v>2.0777048611111109E-2</v>
      </c>
      <c r="B195" s="3">
        <f ca="1">sub!Y194</f>
        <v>-2.5659999999997241</v>
      </c>
    </row>
    <row r="196" spans="1:2" x14ac:dyDescent="0.3">
      <c r="A196" s="1">
        <f ca="1">sub!S196</f>
        <v>2.083980324074074E-2</v>
      </c>
      <c r="B196" s="3">
        <f ca="1">sub!Y195</f>
        <v>-0.47800000000013387</v>
      </c>
    </row>
    <row r="197" spans="1:2" x14ac:dyDescent="0.3">
      <c r="A197" s="1">
        <f ca="1">sub!S197</f>
        <v>2.0946516203703702E-2</v>
      </c>
      <c r="B197" s="3">
        <f ca="1">sub!Y196</f>
        <v>-2.8470000000000661</v>
      </c>
    </row>
    <row r="198" spans="1:2" x14ac:dyDescent="0.3">
      <c r="A198" s="1">
        <f ca="1">sub!S198</f>
        <v>2.1056701388888887E-2</v>
      </c>
      <c r="B198" s="3">
        <f ca="1">sub!Y197</f>
        <v>-0.38000000000009138</v>
      </c>
    </row>
    <row r="199" spans="1:2" x14ac:dyDescent="0.3">
      <c r="A199" s="1">
        <f ca="1">sub!S199</f>
        <v>2.1189317129629629E-2</v>
      </c>
      <c r="B199" s="3">
        <f ca="1">sub!Y198</f>
        <v>-0.24199999999978683</v>
      </c>
    </row>
    <row r="200" spans="1:2" x14ac:dyDescent="0.3">
      <c r="A200" s="1">
        <f ca="1">sub!S200</f>
        <v>2.1287615740740739E-2</v>
      </c>
      <c r="B200" s="3">
        <f ca="1">sub!Y199</f>
        <v>-0.40700000000026826</v>
      </c>
    </row>
    <row r="201" spans="1:2" x14ac:dyDescent="0.3">
      <c r="A201" s="1">
        <f ca="1">sub!S201</f>
        <v>2.1419861111111108E-2</v>
      </c>
      <c r="B201" s="3">
        <f ca="1">sub!Y200</f>
        <v>-7.3999999999885269E-2</v>
      </c>
    </row>
    <row r="202" spans="1:2" x14ac:dyDescent="0.3">
      <c r="A202" s="1">
        <f ca="1">sub!S202</f>
        <v>2.155445601851852E-2</v>
      </c>
      <c r="B202" s="3">
        <f ca="1">sub!Y201</f>
        <v>-22.736999999999675</v>
      </c>
    </row>
    <row r="203" spans="1:2" x14ac:dyDescent="0.3">
      <c r="A203" s="1">
        <f ca="1">sub!S203</f>
        <v>2.1697002314814813E-2</v>
      </c>
      <c r="B203" s="3">
        <f ca="1">sub!Y202</f>
        <v>-1.2840000000003182</v>
      </c>
    </row>
    <row r="204" spans="1:2" x14ac:dyDescent="0.3">
      <c r="A204" s="1">
        <f ca="1">sub!S204</f>
        <v>2.1834479166666667E-2</v>
      </c>
      <c r="B204" s="3">
        <f ca="1">sub!Y203</f>
        <v>-1.7219999999995905</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E874F-749D-4257-BD1F-77D640032235}">
  <sheetPr filterMode="1"/>
  <dimension ref="A1:K47"/>
  <sheetViews>
    <sheetView tabSelected="1" workbookViewId="0">
      <selection activeCell="J1" sqref="J1:K20"/>
    </sheetView>
  </sheetViews>
  <sheetFormatPr defaultRowHeight="14" x14ac:dyDescent="0.3"/>
  <cols>
    <col min="1" max="1" width="39.25" customWidth="1"/>
    <col min="2" max="2" width="12.25" style="5" bestFit="1" customWidth="1"/>
    <col min="4" max="4" width="11.75" style="18" bestFit="1" customWidth="1"/>
    <col min="5" max="5" width="9" style="18"/>
    <col min="6" max="6" width="16.58203125" bestFit="1" customWidth="1"/>
    <col min="7" max="7" width="9" style="19"/>
    <col min="8" max="8" width="13.5" style="17" bestFit="1" customWidth="1"/>
    <col min="9" max="9" width="24.25" style="16" customWidth="1"/>
    <col min="10" max="10" width="8.6640625" style="16"/>
    <col min="11" max="11" width="11.5" bestFit="1" customWidth="1"/>
  </cols>
  <sheetData>
    <row r="1" spans="1:11" x14ac:dyDescent="0.3">
      <c r="A1" s="8" t="str">
        <f>A38</f>
        <v>00:00:00.000 点灯游戏的O(n²)解法</v>
      </c>
      <c r="B1" s="5" t="str">
        <f>LEFT(A1,12)</f>
        <v>00:00:00.000</v>
      </c>
      <c r="C1" t="str">
        <f>RIGHT(A1,LEN(A1)-13)</f>
        <v>点灯游戏的O(n²)解法</v>
      </c>
      <c r="D1" s="18">
        <f>B2-B1</f>
        <v>3.2214120370370366E-4</v>
      </c>
      <c r="E1" s="18">
        <f>D1+D2</f>
        <v>2.9675925925925924E-3</v>
      </c>
      <c r="F1" s="9" t="s">
        <v>900</v>
      </c>
      <c r="G1" s="19">
        <f>E25</f>
        <v>2.9544212962962961E-3</v>
      </c>
      <c r="H1" s="20">
        <f>(E1-G1)*86400</f>
        <v>1.1379999999999988</v>
      </c>
      <c r="I1" s="16" t="s">
        <v>1592</v>
      </c>
      <c r="J1" s="16" t="s">
        <v>1594</v>
      </c>
      <c r="K1" s="1" t="str">
        <f>B1</f>
        <v>00:00:00.000</v>
      </c>
    </row>
    <row r="2" spans="1:11" hidden="1" x14ac:dyDescent="0.3">
      <c r="A2" s="8" t="str">
        <f>A39</f>
        <v>00:00:27.833 首行叠加法（续上集）</v>
      </c>
      <c r="B2" s="5" t="str">
        <f>LEFT(A2,12)</f>
        <v>00:00:27.833</v>
      </c>
      <c r="C2" t="str">
        <f>RIGHT(A2,LEN(A2)-13)</f>
        <v>首行叠加法（续上集）</v>
      </c>
      <c r="D2" s="18">
        <f t="shared" ref="D2:D21" si="0">B3-B2</f>
        <v>2.6454513888888886E-3</v>
      </c>
    </row>
    <row r="3" spans="1:11" x14ac:dyDescent="0.3">
      <c r="A3" s="4" t="str">
        <f>sub!A22</f>
        <v>00:04:16.400 现在，如果我们把序号1—25用坐标x,y表示，则按钮和灯可写为以上公式。让我们以L7(2)=L(2,2,2)为例。</v>
      </c>
      <c r="B3" s="5" t="str">
        <f t="shared" ref="B3:B22" si="1">LEFT(A3,12)</f>
        <v>00:04:16.400</v>
      </c>
      <c r="C3" t="str">
        <f t="shared" ref="C3:C22" si="2">RIGHT(A3,LEN(A3)-13)</f>
        <v>现在，如果我们把序号1—25用坐标x,y表示，则按钮和灯可写为以上公式。让我们以L7(2)=L(2,2,2)为例。</v>
      </c>
      <c r="D3" s="18">
        <f t="shared" si="0"/>
        <v>1.9363425925925924E-3</v>
      </c>
      <c r="E3" s="18">
        <f>D3+D4</f>
        <v>2.8167476851851856E-3</v>
      </c>
      <c r="F3" s="9" t="s">
        <v>898</v>
      </c>
      <c r="G3" s="19">
        <f>E27</f>
        <v>2.7872222222222222E-3</v>
      </c>
      <c r="H3" s="20">
        <f>(E3-G3)*86400</f>
        <v>2.5510000000000379</v>
      </c>
      <c r="I3" s="16" t="s">
        <v>1589</v>
      </c>
      <c r="J3" s="16" t="s">
        <v>1595</v>
      </c>
      <c r="K3" s="1" t="str">
        <f>B3</f>
        <v>00:04:16.400</v>
      </c>
    </row>
    <row r="4" spans="1:11" hidden="1" x14ac:dyDescent="0.3">
      <c r="A4" s="4" t="str">
        <f>sub!A39</f>
        <v>00:07:03.700 事实上，按钮矩阵也可以用另一种更直观的方法推得。</v>
      </c>
      <c r="B4" s="5" t="str">
        <f t="shared" si="1"/>
        <v>00:07:03.700</v>
      </c>
      <c r="C4" t="str">
        <f t="shared" si="2"/>
        <v>事实上，按钮矩阵也可以用另一种更直观的方法推得。</v>
      </c>
      <c r="D4" s="18">
        <f t="shared" si="0"/>
        <v>8.8040509259259322E-4</v>
      </c>
    </row>
    <row r="5" spans="1:11" x14ac:dyDescent="0.3">
      <c r="A5" s="8" t="str">
        <f>A40</f>
        <v>00:08:19.767 优化生成矩阵（续上集）</v>
      </c>
      <c r="B5" s="5" t="str">
        <f t="shared" si="1"/>
        <v>00:08:19.767</v>
      </c>
      <c r="C5" t="str">
        <f t="shared" si="2"/>
        <v>优化生成矩阵（续上集）</v>
      </c>
      <c r="D5" s="18">
        <f t="shared" si="0"/>
        <v>1.2723726851851854E-3</v>
      </c>
      <c r="E5" s="18">
        <f>D5+D6</f>
        <v>1.734178240740741E-3</v>
      </c>
      <c r="F5" s="11" t="s">
        <v>905</v>
      </c>
      <c r="G5" s="19">
        <f>E33</f>
        <v>1.7102777777777778E-3</v>
      </c>
      <c r="H5" s="20">
        <f>(E5-G5)*86400</f>
        <v>2.0650000000000204</v>
      </c>
      <c r="J5" s="16" t="s">
        <v>1596</v>
      </c>
      <c r="K5" s="1" t="str">
        <f>B5</f>
        <v>00:08:19.767</v>
      </c>
    </row>
    <row r="6" spans="1:11" hidden="1" x14ac:dyDescent="0.3">
      <c r="A6" s="4" t="str">
        <f>sub!A60</f>
        <v>00:10:09.700 现在，我们只需要证明最左边的两个矩阵也满足这个性质即可。第一个矩阵是单位矩阵，显然满足这个性质。</v>
      </c>
      <c r="B6" s="5" t="str">
        <f t="shared" si="1"/>
        <v>00:10:09.700</v>
      </c>
      <c r="C6" t="str">
        <f t="shared" si="2"/>
        <v>现在，我们只需要证明最左边的两个矩阵也满足这个性质即可。第一个矩阵是单位矩阵，显然满足这个性质。</v>
      </c>
      <c r="D6" s="18">
        <f t="shared" si="0"/>
        <v>4.6180555555555558E-4</v>
      </c>
    </row>
    <row r="7" spans="1:11" x14ac:dyDescent="0.3">
      <c r="A7" s="8" t="str">
        <f>A41</f>
        <v>00:10:49.600 首行求逆法</v>
      </c>
      <c r="B7" s="5" t="str">
        <f t="shared" si="1"/>
        <v>00:10:49.600</v>
      </c>
      <c r="C7" t="str">
        <f t="shared" si="2"/>
        <v>首行求逆法</v>
      </c>
      <c r="D7" s="18">
        <f t="shared" si="0"/>
        <v>2.1585648148148154E-3</v>
      </c>
      <c r="E7" s="18">
        <f>D7+D8</f>
        <v>2.656631944444445E-3</v>
      </c>
      <c r="F7" s="9" t="s">
        <v>899</v>
      </c>
      <c r="G7" s="19">
        <f>E26</f>
        <v>2.6338888888888887E-3</v>
      </c>
      <c r="H7" s="20">
        <f>(E7-G7)*86400</f>
        <v>1.9650000000000585</v>
      </c>
      <c r="I7" s="16" t="s">
        <v>1588</v>
      </c>
      <c r="J7" s="16" t="s">
        <v>1597</v>
      </c>
      <c r="K7" s="1" t="str">
        <f>B7</f>
        <v>00:10:49.600</v>
      </c>
    </row>
    <row r="8" spans="1:11" hidden="1" x14ac:dyDescent="0.3">
      <c r="A8" s="4" t="str">
        <f>sub!A83</f>
        <v>00:13:56.100 现在，我们定义多项式p(x)。我们的目标是把B拆分成Hⁿ。</v>
      </c>
      <c r="B8" s="5" t="str">
        <f t="shared" si="1"/>
        <v>00:13:56.100</v>
      </c>
      <c r="C8" t="str">
        <f t="shared" si="2"/>
        <v>现在，我们定义多项式p(x)。我们的目标是把B拆分成Hⁿ。</v>
      </c>
      <c r="D8" s="18">
        <f t="shared" si="0"/>
        <v>4.9806712962962955E-4</v>
      </c>
    </row>
    <row r="9" spans="1:11" x14ac:dyDescent="0.3">
      <c r="A9" s="4" t="str">
        <f>sub!A88</f>
        <v>00:14:39.133 为了求得p，我们可以将两边同时乘以K的逆矩阵，记为F，又称反Krylov矩阵或解耦矩阵。</v>
      </c>
      <c r="B9" s="5" t="str">
        <f t="shared" si="1"/>
        <v>00:14:39.133</v>
      </c>
      <c r="C9" t="str">
        <f t="shared" si="2"/>
        <v>为了求得p，我们可以将两边同时乘以K的逆矩阵，记为F，又称反Krylov矩阵或解耦矩阵。</v>
      </c>
      <c r="D9" s="18">
        <f t="shared" si="0"/>
        <v>9.610416666666656E-4</v>
      </c>
      <c r="E9" s="18">
        <f>D9+D10+D11</f>
        <v>3.2137384259259237E-3</v>
      </c>
      <c r="F9" s="9" t="s">
        <v>906</v>
      </c>
      <c r="G9" s="19">
        <f>E24</f>
        <v>3.1975000000000003E-3</v>
      </c>
      <c r="H9" s="20">
        <f>(E9-G9)*86400</f>
        <v>1.4029999999997864</v>
      </c>
      <c r="J9" s="16" t="s">
        <v>1598</v>
      </c>
      <c r="K9" s="1" t="str">
        <f>B9</f>
        <v>00:14:39.133</v>
      </c>
    </row>
    <row r="10" spans="1:11" hidden="1" x14ac:dyDescent="0.3">
      <c r="A10" s="4" t="str">
        <f>sub!A96</f>
        <v>00:16:02.167 让我们继续求p。由于F和K互逆，于是我们有：Fb=FKp=p。将向量b和矩阵F相乘，我们便求出了p。</v>
      </c>
      <c r="B10" s="5" t="str">
        <f t="shared" si="1"/>
        <v>00:16:02.167</v>
      </c>
      <c r="C10" t="str">
        <f t="shared" si="2"/>
        <v>让我们继续求p。由于F和K互逆，于是我们有：Fb=FKp=p。将向量b和矩阵F相乘，我们便求出了p。</v>
      </c>
      <c r="D10" s="18">
        <f t="shared" si="0"/>
        <v>4.0277777777777794E-4</v>
      </c>
    </row>
    <row r="11" spans="1:11" hidden="1" x14ac:dyDescent="0.3">
      <c r="A11" s="4" t="str">
        <f>sub!A99</f>
        <v>00:16:36.967 有了p=Fb之后，后续的计算我们都不需要用到完整的B，而只需要B的第一行，即向量b。</v>
      </c>
      <c r="B11" s="5" t="str">
        <f t="shared" si="1"/>
        <v>00:16:36.967</v>
      </c>
      <c r="C11" t="str">
        <f t="shared" si="2"/>
        <v>有了p=Fb之后，后续的计算我们都不需要用到完整的B，而只需要B的第一行，即向量b。</v>
      </c>
      <c r="D11" s="18">
        <f t="shared" si="0"/>
        <v>1.8499189814814802E-3</v>
      </c>
      <c r="F11" s="11"/>
    </row>
    <row r="12" spans="1:11" x14ac:dyDescent="0.3">
      <c r="A12" s="8" t="str">
        <f>A42</f>
        <v>00:19:16.800 扩展欧几里得法</v>
      </c>
      <c r="B12" s="5" t="str">
        <f t="shared" si="1"/>
        <v>00:19:16.800</v>
      </c>
      <c r="C12" t="str">
        <f t="shared" si="2"/>
        <v>扩展欧几里得法</v>
      </c>
      <c r="D12" s="18">
        <f t="shared" si="0"/>
        <v>1.2322569444444455E-3</v>
      </c>
      <c r="E12" s="18">
        <f>D12+D13</f>
        <v>2.2785532407407424E-3</v>
      </c>
      <c r="F12" s="10" t="s">
        <v>901</v>
      </c>
      <c r="G12" s="19">
        <f>E28</f>
        <v>2.2547222222222222E-3</v>
      </c>
      <c r="H12" s="20">
        <f>(E12-G12)*86400</f>
        <v>2.0590000000001494</v>
      </c>
      <c r="J12" s="16" t="s">
        <v>1599</v>
      </c>
      <c r="K12" s="1" t="str">
        <f>B12</f>
        <v>00:19:16.800</v>
      </c>
    </row>
    <row r="13" spans="1:11" hidden="1" x14ac:dyDescent="0.3">
      <c r="A13" s="4" t="str">
        <f>sub!A123</f>
        <v>00:21:03.267 最后，剩下的p(x)为两个多项式的最大公因子，记为g(x)，同时，剩下的e(x)为p(x)的逆，也就是q(x)。</v>
      </c>
      <c r="B13" s="5" t="str">
        <f t="shared" si="1"/>
        <v>00:21:03.267</v>
      </c>
      <c r="C13" t="str">
        <f t="shared" si="2"/>
        <v>最后，剩下的p(x)为两个多项式的最大公因子，记为g(x)，同时，剩下的e(x)为p(x)的逆，也就是q(x)。</v>
      </c>
      <c r="D13" s="18">
        <f t="shared" si="0"/>
        <v>1.0462962962962969E-3</v>
      </c>
    </row>
    <row r="14" spans="1:11" x14ac:dyDescent="0.3">
      <c r="A14" s="8" t="str">
        <f>A43</f>
        <v>00:22:33.667 不可逆矩阵</v>
      </c>
      <c r="B14" s="5" t="str">
        <f t="shared" si="1"/>
        <v>00:22:33.667</v>
      </c>
      <c r="C14" t="str">
        <f t="shared" si="2"/>
        <v>不可逆矩阵</v>
      </c>
      <c r="D14" s="18">
        <f t="shared" si="0"/>
        <v>1.3742245370370366E-3</v>
      </c>
      <c r="E14" s="18">
        <f>D14</f>
        <v>1.3742245370370366E-3</v>
      </c>
      <c r="F14" s="10" t="s">
        <v>1593</v>
      </c>
      <c r="G14" s="19">
        <f>E29</f>
        <v>1.3513773148148148E-3</v>
      </c>
      <c r="H14" s="20">
        <f>(E14-G14)*86400</f>
        <v>1.9739999999999673</v>
      </c>
      <c r="J14" s="16" t="s">
        <v>1600</v>
      </c>
      <c r="K14" s="1" t="str">
        <f t="shared" ref="K14:K20" si="3">B14</f>
        <v>00:22:33.667</v>
      </c>
    </row>
    <row r="15" spans="1:11" x14ac:dyDescent="0.3">
      <c r="A15" s="4" t="str">
        <f>sub!A144</f>
        <v>00:24:32.400 可以发现，Q'不满足十字偶校验约束，因而无法通过公式递推求得。并且使用Q'第一行求得的x也不是原方程的解。</v>
      </c>
      <c r="B15" s="5" t="str">
        <f t="shared" ref="B15" si="4">LEFT(A15,12)</f>
        <v>00:24:32.400</v>
      </c>
      <c r="C15" t="str">
        <f t="shared" ref="C15" si="5">RIGHT(A15,LEN(A15)-13)</f>
        <v>可以发现，Q'不满足十字偶校验约束，因而无法通过公式递推求得。并且使用Q'第一行求得的x也不是原方程的解。</v>
      </c>
      <c r="D15" s="18">
        <f t="shared" si="0"/>
        <v>9.5061342592592593E-4</v>
      </c>
      <c r="E15" s="18">
        <f>D15</f>
        <v>9.5061342592592593E-4</v>
      </c>
      <c r="F15" s="11" t="s">
        <v>1590</v>
      </c>
      <c r="G15" s="19">
        <f>E30</f>
        <v>9.2833333333333331E-4</v>
      </c>
      <c r="H15" s="20">
        <f>(E15-G15)*86400</f>
        <v>1.9250000000000025</v>
      </c>
      <c r="J15" s="16" t="s">
        <v>1601</v>
      </c>
      <c r="K15" s="1" t="str">
        <f t="shared" si="3"/>
        <v>00:24:32.400</v>
      </c>
    </row>
    <row r="16" spans="1:11" x14ac:dyDescent="0.3">
      <c r="A16" s="8" t="str">
        <f>A44</f>
        <v>00:25:54.533 反向叠加法</v>
      </c>
      <c r="B16" s="5" t="str">
        <f t="shared" si="1"/>
        <v>00:25:54.533</v>
      </c>
      <c r="C16" t="str">
        <f t="shared" si="2"/>
        <v>反向叠加法</v>
      </c>
      <c r="D16" s="18">
        <f t="shared" si="0"/>
        <v>1.2013888888888907E-3</v>
      </c>
      <c r="E16" s="18">
        <f>D16</f>
        <v>1.2013888888888907E-3</v>
      </c>
      <c r="F16" s="11" t="s">
        <v>908</v>
      </c>
      <c r="G16" s="19">
        <f>E36</f>
        <v>1.1819444444444444E-3</v>
      </c>
      <c r="H16" s="20">
        <f t="shared" ref="H14:H19" si="6">(E16-G16)*86400</f>
        <v>1.6800000000001585</v>
      </c>
      <c r="J16" s="16" t="s">
        <v>1602</v>
      </c>
      <c r="K16" s="1" t="str">
        <f t="shared" si="3"/>
        <v>00:25:54.533</v>
      </c>
    </row>
    <row r="17" spans="1:11" x14ac:dyDescent="0.3">
      <c r="A17" s="4" t="str">
        <f>sub!A163</f>
        <v>00:27:38.333 这次，我们需要用反向叠加法来求x。我们以n=5为例。</v>
      </c>
      <c r="B17" s="5" t="str">
        <f t="shared" si="1"/>
        <v>00:27:38.333</v>
      </c>
      <c r="C17" t="str">
        <f t="shared" si="2"/>
        <v>这次，我们需要用反向叠加法来求x。我们以n=5为例。</v>
      </c>
      <c r="D17" s="18">
        <f t="shared" si="0"/>
        <v>1.7897453703703686E-3</v>
      </c>
      <c r="E17" s="18">
        <f>D17</f>
        <v>1.7897453703703686E-3</v>
      </c>
      <c r="F17" s="11" t="s">
        <v>902</v>
      </c>
      <c r="G17" s="19">
        <f>E31</f>
        <v>1.7671412037037035E-3</v>
      </c>
      <c r="H17" s="20">
        <f t="shared" si="6"/>
        <v>1.9529999999998673</v>
      </c>
      <c r="J17" s="16" t="s">
        <v>1603</v>
      </c>
      <c r="K17" s="1" t="str">
        <f t="shared" si="3"/>
        <v>00:27:38.333</v>
      </c>
    </row>
    <row r="18" spans="1:11" x14ac:dyDescent="0.3">
      <c r="A18" s="4" t="str">
        <f>sub!A180</f>
        <v>00:30:12.967 现在，我们有z=g(H)x=Dx。我们可以利用D的性质进行求解。接下来，我们需要将z拆解成矩阵D的若干行的叠加，从而表示出x。</v>
      </c>
      <c r="B18" s="5" t="str">
        <f t="shared" si="1"/>
        <v>00:30:12.967</v>
      </c>
      <c r="C18" t="str">
        <f t="shared" si="2"/>
        <v>现在，我们有z=g(H)x=Dx。我们可以利用D的性质进行求解。接下来，我们需要将z拆解成矩阵D的若干行的叠加，从而表示出x。</v>
      </c>
      <c r="D18" s="18">
        <f t="shared" si="0"/>
        <v>1.6566319444444415E-3</v>
      </c>
      <c r="E18" s="18">
        <f t="shared" ref="E18:E19" si="7">D18</f>
        <v>1.6566319444444415E-3</v>
      </c>
      <c r="F18" s="11" t="s">
        <v>903</v>
      </c>
      <c r="G18" s="19">
        <f>E32</f>
        <v>1.6333333333333334E-3</v>
      </c>
      <c r="H18" s="20">
        <f t="shared" si="6"/>
        <v>2.0129999999997357</v>
      </c>
      <c r="J18" s="16" t="s">
        <v>1604</v>
      </c>
      <c r="K18" s="1" t="str">
        <f t="shared" si="3"/>
        <v>00:30:12.967</v>
      </c>
    </row>
    <row r="19" spans="1:11" x14ac:dyDescent="0.3">
      <c r="A19" s="4" t="str">
        <f>sub!A195</f>
        <v>00:32:36.100 细心的小伙伴会发现，这两个式子具有相同的形式。</v>
      </c>
      <c r="B19" s="5" t="str">
        <f t="shared" si="1"/>
        <v>00:32:36.100</v>
      </c>
      <c r="C19" t="str">
        <f t="shared" si="2"/>
        <v>细心的小伙伴会发现，这两个式子具有相同的形式。</v>
      </c>
      <c r="D19" s="18">
        <f t="shared" si="0"/>
        <v>1.0489930555555582E-3</v>
      </c>
      <c r="E19" s="18">
        <f t="shared" si="7"/>
        <v>1.0489930555555582E-3</v>
      </c>
      <c r="F19" s="11" t="s">
        <v>904</v>
      </c>
      <c r="G19" s="19">
        <f>E34</f>
        <v>1.0327777777777779E-3</v>
      </c>
      <c r="H19" s="20">
        <f t="shared" si="6"/>
        <v>1.401000000000223</v>
      </c>
      <c r="J19" s="16" t="s">
        <v>1605</v>
      </c>
      <c r="K19" s="1" t="str">
        <f t="shared" si="3"/>
        <v>00:32:36.100</v>
      </c>
    </row>
    <row r="20" spans="1:11" x14ac:dyDescent="0.3">
      <c r="A20" s="8" t="str">
        <f>A45</f>
        <v>00:34:06.733 算法总结</v>
      </c>
      <c r="B20" s="5" t="str">
        <f t="shared" si="1"/>
        <v>00:34:06.733</v>
      </c>
      <c r="C20" t="str">
        <f t="shared" si="2"/>
        <v>算法总结</v>
      </c>
      <c r="D20" s="18">
        <f t="shared" si="0"/>
        <v>5.21990740740743E-4</v>
      </c>
      <c r="E20" s="18">
        <f>D20+D21</f>
        <v>7.9012731481481469E-4</v>
      </c>
      <c r="F20" s="11" t="s">
        <v>907</v>
      </c>
      <c r="G20" s="19">
        <f>E35</f>
        <v>7.8472222222222214E-4</v>
      </c>
      <c r="H20" s="20">
        <f>(E20-G20)*86400</f>
        <v>0.46699999999999625</v>
      </c>
      <c r="J20" s="16" t="s">
        <v>1606</v>
      </c>
      <c r="K20" s="1" t="str">
        <f t="shared" si="3"/>
        <v>00:34:06.733</v>
      </c>
    </row>
    <row r="21" spans="1:11" hidden="1" x14ac:dyDescent="0.3">
      <c r="A21" s="8" t="str">
        <f>A46</f>
        <v>00:34:51.833 参考文献</v>
      </c>
      <c r="B21" s="5" t="str">
        <f t="shared" si="1"/>
        <v>00:34:51.833</v>
      </c>
      <c r="C21" t="str">
        <f t="shared" si="2"/>
        <v>参考文献</v>
      </c>
      <c r="D21" s="18">
        <f t="shared" si="0"/>
        <v>2.6813657407407168E-4</v>
      </c>
    </row>
    <row r="22" spans="1:11" hidden="1" x14ac:dyDescent="0.3">
      <c r="A22" s="8" t="str">
        <f>A47</f>
        <v>00:35:15.000 结尾？</v>
      </c>
      <c r="B22" s="5" t="str">
        <f t="shared" si="1"/>
        <v>00:35:15.000</v>
      </c>
      <c r="C22" t="str">
        <f t="shared" si="2"/>
        <v>结尾？</v>
      </c>
      <c r="H22" s="17" t="s">
        <v>1591</v>
      </c>
    </row>
    <row r="24" spans="1:11" x14ac:dyDescent="0.3">
      <c r="A24" s="9" t="s">
        <v>906</v>
      </c>
      <c r="B24" s="5">
        <v>3.0366782407407413E-3</v>
      </c>
      <c r="C24" s="12">
        <v>3.1975000000000003E-3</v>
      </c>
      <c r="D24" s="18">
        <f t="shared" ref="D24:E26" si="8">B24</f>
        <v>3.0366782407407413E-3</v>
      </c>
      <c r="E24" s="19">
        <f t="shared" si="8"/>
        <v>3.1975000000000003E-3</v>
      </c>
      <c r="F24" s="21"/>
    </row>
    <row r="25" spans="1:11" x14ac:dyDescent="0.3">
      <c r="A25" s="9" t="s">
        <v>900</v>
      </c>
      <c r="B25" s="5">
        <v>4.178240740740741E-3</v>
      </c>
      <c r="C25" s="12">
        <v>2.9544212962962961E-3</v>
      </c>
      <c r="D25" s="18">
        <f t="shared" si="8"/>
        <v>4.178240740740741E-3</v>
      </c>
      <c r="E25" s="19">
        <f t="shared" si="8"/>
        <v>2.9544212962962961E-3</v>
      </c>
      <c r="F25" s="21"/>
    </row>
    <row r="26" spans="1:11" x14ac:dyDescent="0.3">
      <c r="A26" s="9" t="s">
        <v>899</v>
      </c>
      <c r="B26" s="5">
        <v>2.7643981481481482E-3</v>
      </c>
      <c r="C26" s="12">
        <v>2.6338888888888887E-3</v>
      </c>
      <c r="D26" s="18">
        <f t="shared" si="8"/>
        <v>2.7643981481481482E-3</v>
      </c>
      <c r="E26" s="19">
        <f t="shared" si="8"/>
        <v>2.6338888888888887E-3</v>
      </c>
      <c r="F26" s="21"/>
    </row>
    <row r="27" spans="1:11" x14ac:dyDescent="0.3">
      <c r="A27" s="9" t="s">
        <v>898</v>
      </c>
      <c r="B27" s="5">
        <v>3.0787037037037037E-3</v>
      </c>
      <c r="C27" s="12">
        <v>2.7872222222222222E-3</v>
      </c>
      <c r="D27" s="18">
        <f t="shared" ref="D27:D36" si="9">B27</f>
        <v>3.0787037037037037E-3</v>
      </c>
      <c r="E27" s="19">
        <f>C27</f>
        <v>2.7872222222222222E-3</v>
      </c>
      <c r="F27" s="21"/>
    </row>
    <row r="28" spans="1:11" x14ac:dyDescent="0.3">
      <c r="A28" s="10" t="s">
        <v>901</v>
      </c>
      <c r="B28" s="5">
        <v>2.1406597222222222E-3</v>
      </c>
      <c r="C28" s="12">
        <v>2.2547222222222222E-3</v>
      </c>
      <c r="D28" s="18">
        <f t="shared" si="9"/>
        <v>2.1406597222222222E-3</v>
      </c>
      <c r="E28" s="19">
        <f>C28</f>
        <v>2.2547222222222222E-3</v>
      </c>
      <c r="F28" s="21"/>
    </row>
    <row r="29" spans="1:11" x14ac:dyDescent="0.3">
      <c r="A29" s="10" t="s">
        <v>1593</v>
      </c>
      <c r="B29" s="5">
        <v>2.2137615740740742E-3</v>
      </c>
      <c r="C29" s="12">
        <v>1.3513773148148148E-3</v>
      </c>
      <c r="D29" s="18">
        <f>B29</f>
        <v>2.2137615740740742E-3</v>
      </c>
      <c r="E29" s="19">
        <f>C29</f>
        <v>1.3513773148148148E-3</v>
      </c>
      <c r="F29" s="21"/>
    </row>
    <row r="30" spans="1:11" x14ac:dyDescent="0.3">
      <c r="A30" s="11" t="s">
        <v>1590</v>
      </c>
      <c r="B30" s="5">
        <v>1.9733333333333334E-3</v>
      </c>
      <c r="C30" s="12">
        <v>9.2833333333333331E-4</v>
      </c>
      <c r="D30" s="18">
        <f t="shared" si="9"/>
        <v>1.9733333333333334E-3</v>
      </c>
      <c r="E30" s="19">
        <f>C30</f>
        <v>9.2833333333333331E-4</v>
      </c>
      <c r="F30" s="21"/>
    </row>
    <row r="31" spans="1:11" x14ac:dyDescent="0.3">
      <c r="A31" s="11" t="s">
        <v>902</v>
      </c>
      <c r="B31" s="5">
        <v>1.8409953703703704E-3</v>
      </c>
      <c r="C31" s="12">
        <v>1.7671412037037035E-3</v>
      </c>
      <c r="D31" s="18">
        <f t="shared" si="9"/>
        <v>1.8409953703703704E-3</v>
      </c>
      <c r="E31" s="19">
        <f>C31</f>
        <v>1.7671412037037035E-3</v>
      </c>
      <c r="F31" s="21"/>
    </row>
    <row r="32" spans="1:11" x14ac:dyDescent="0.3">
      <c r="A32" s="11" t="s">
        <v>903</v>
      </c>
      <c r="B32" s="5">
        <v>1.763564814814815E-3</v>
      </c>
      <c r="C32" s="12">
        <v>1.6333333333333334E-3</v>
      </c>
      <c r="D32" s="18">
        <f t="shared" si="9"/>
        <v>1.763564814814815E-3</v>
      </c>
      <c r="E32" s="19">
        <f>C32</f>
        <v>1.6333333333333334E-3</v>
      </c>
      <c r="F32" s="21"/>
    </row>
    <row r="33" spans="1:6" x14ac:dyDescent="0.3">
      <c r="A33" s="11" t="s">
        <v>905</v>
      </c>
      <c r="B33" s="5">
        <v>1.7436111111111111E-3</v>
      </c>
      <c r="C33" s="12">
        <v>1.7102777777777778E-3</v>
      </c>
      <c r="D33" s="18">
        <f t="shared" si="9"/>
        <v>1.7436111111111111E-3</v>
      </c>
      <c r="E33" s="19">
        <f>C33</f>
        <v>1.7102777777777778E-3</v>
      </c>
      <c r="F33" s="21"/>
    </row>
    <row r="34" spans="1:6" x14ac:dyDescent="0.3">
      <c r="A34" s="11" t="s">
        <v>904</v>
      </c>
      <c r="B34" s="5">
        <v>1.4236111111111112E-3</v>
      </c>
      <c r="C34" s="12">
        <v>1.0327777777777779E-3</v>
      </c>
      <c r="D34" s="18">
        <f t="shared" si="9"/>
        <v>1.4236111111111112E-3</v>
      </c>
      <c r="E34" s="19">
        <f>C34</f>
        <v>1.0327777777777779E-3</v>
      </c>
      <c r="F34" s="21"/>
    </row>
    <row r="35" spans="1:6" x14ac:dyDescent="0.3">
      <c r="A35" s="11" t="s">
        <v>907</v>
      </c>
      <c r="B35" s="5">
        <v>8.1527777777777772E-4</v>
      </c>
      <c r="C35" s="12">
        <v>7.8472222222222214E-4</v>
      </c>
      <c r="D35" s="18">
        <f t="shared" si="9"/>
        <v>8.1527777777777772E-4</v>
      </c>
      <c r="E35" s="19">
        <f>C35</f>
        <v>7.8472222222222214E-4</v>
      </c>
      <c r="F35" s="21"/>
    </row>
    <row r="36" spans="1:6" x14ac:dyDescent="0.3">
      <c r="A36" s="11" t="s">
        <v>908</v>
      </c>
      <c r="B36" s="5">
        <v>1.1577777777777778E-3</v>
      </c>
      <c r="C36" s="12">
        <v>1.1819444444444444E-3</v>
      </c>
      <c r="D36" s="18">
        <f t="shared" si="9"/>
        <v>1.1577777777777778E-3</v>
      </c>
      <c r="E36" s="19">
        <f>C36</f>
        <v>1.1819444444444444E-3</v>
      </c>
      <c r="F36" s="21"/>
    </row>
    <row r="38" spans="1:6" x14ac:dyDescent="0.3">
      <c r="A38" t="s">
        <v>896</v>
      </c>
    </row>
    <row r="39" spans="1:6" x14ac:dyDescent="0.3">
      <c r="A39" t="s">
        <v>897</v>
      </c>
    </row>
    <row r="40" spans="1:6" x14ac:dyDescent="0.3">
      <c r="A40" t="s">
        <v>1256</v>
      </c>
    </row>
    <row r="41" spans="1:6" x14ac:dyDescent="0.3">
      <c r="A41" t="s">
        <v>1257</v>
      </c>
    </row>
    <row r="42" spans="1:6" x14ac:dyDescent="0.3">
      <c r="A42" t="s">
        <v>1258</v>
      </c>
    </row>
    <row r="43" spans="1:6" x14ac:dyDescent="0.3">
      <c r="A43" t="s">
        <v>1580</v>
      </c>
    </row>
    <row r="44" spans="1:6" x14ac:dyDescent="0.3">
      <c r="A44" t="s">
        <v>1581</v>
      </c>
    </row>
    <row r="45" spans="1:6" x14ac:dyDescent="0.3">
      <c r="A45" t="s">
        <v>1585</v>
      </c>
    </row>
    <row r="46" spans="1:6" x14ac:dyDescent="0.3">
      <c r="A46" t="s">
        <v>1586</v>
      </c>
    </row>
    <row r="47" spans="1:6" x14ac:dyDescent="0.3">
      <c r="A47" s="4" t="s">
        <v>1587</v>
      </c>
    </row>
  </sheetData>
  <autoFilter ref="A1:J22" xr:uid="{7D4E874F-749D-4257-BD1F-77D640032235}">
    <filterColumn colId="9">
      <customFilters>
        <customFilter operator="notEqual" val=" "/>
      </customFilters>
    </filterColumn>
  </autoFilter>
  <sortState xmlns:xlrd2="http://schemas.microsoft.com/office/spreadsheetml/2017/richdata2" ref="A1:D44">
    <sortCondition ref="A1:A44"/>
  </sortState>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srt_raw</vt:lpstr>
      <vt:lpstr>srt</vt:lpstr>
      <vt:lpstr>sil</vt:lpstr>
      <vt:lpstr>sub</vt:lpstr>
      <vt:lpstr>sub_copy</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2026-01-21T08:54:28Z</dcterms:modified>
</cp:coreProperties>
</file>