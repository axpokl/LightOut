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3B7D2CEF-577B-4A9C-A580-66A81B1573F9}" xr6:coauthVersionLast="47" xr6:coauthVersionMax="47" xr10:uidLastSave="{00000000-0000-0000-0000-000000000000}"/>
  <bookViews>
    <workbookView xWindow="-120" yWindow="-120" windowWidth="38640" windowHeight="21120" activeTab="6" xr2:uid="{B0B0A297-E80A-46EC-8D14-DCFA6AB1B097}"/>
  </bookViews>
  <sheets>
    <sheet name="B1" sheetId="6" r:id="rId1"/>
    <sheet name="B2" sheetId="7" r:id="rId2"/>
    <sheet name="B3" sheetId="8" r:id="rId3"/>
    <sheet name="adjust" sheetId="10" r:id="rId4"/>
    <sheet name="srt_raw" sheetId="12" r:id="rId5"/>
    <sheet name="srt" sheetId="14" r:id="rId6"/>
    <sheet name="sub" sheetId="13" r:id="rId7"/>
  </sheets>
  <functionGroups builtInGroupCount="19"/>
  <definedNames>
    <definedName name="_xlnm._FilterDatabase" localSheetId="6" hidden="1">sub!$A$1:$U$205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6" i="13" l="1"/>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D580" i="6" s="1"/>
  <c r="C580" i="14"/>
  <c r="D581" i="6" s="1"/>
  <c r="C581" i="14"/>
  <c r="D582" i="6" s="1"/>
  <c r="C582" i="14"/>
  <c r="D583" i="6" s="1"/>
  <c r="D584" i="6"/>
  <c r="D585" i="6"/>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C130" i="14"/>
  <c r="D131" i="6" s="1"/>
  <c r="E131" i="6" s="1"/>
  <c r="F131" i="6" s="1"/>
  <c r="A131" i="14"/>
  <c r="B131" i="14"/>
  <c r="D131" i="14" s="1"/>
  <c r="C131" i="14"/>
  <c r="D132" i="6" s="1"/>
  <c r="E132" i="6" s="1"/>
  <c r="F132" i="6" s="1"/>
  <c r="K132" i="6" s="1"/>
  <c r="A132" i="14"/>
  <c r="B132" i="14"/>
  <c r="D132" i="14" s="1"/>
  <c r="C132" i="14"/>
  <c r="D133" i="6" s="1"/>
  <c r="E133" i="6" s="1"/>
  <c r="F133" i="6" s="1"/>
  <c r="A133" i="14"/>
  <c r="B133" i="14"/>
  <c r="D133" i="14" s="1"/>
  <c r="C133" i="14"/>
  <c r="D134" i="6" s="1"/>
  <c r="E134" i="6" s="1"/>
  <c r="F134" i="6" s="1"/>
  <c r="A134" i="14"/>
  <c r="B134" i="14"/>
  <c r="D134" i="14" s="1"/>
  <c r="C134" i="14"/>
  <c r="D135" i="6" s="1"/>
  <c r="E135" i="6" s="1"/>
  <c r="F135" i="6" s="1"/>
  <c r="A135" i="14"/>
  <c r="B135" i="14"/>
  <c r="D135" i="14" s="1"/>
  <c r="C135" i="14"/>
  <c r="D136" i="6" s="1"/>
  <c r="E136" i="6" s="1"/>
  <c r="F136" i="6" s="1"/>
  <c r="A136" i="14"/>
  <c r="B136" i="14"/>
  <c r="D136" i="14" s="1"/>
  <c r="C136" i="14"/>
  <c r="D137" i="6" s="1"/>
  <c r="E137" i="6" s="1"/>
  <c r="F137" i="6" s="1"/>
  <c r="K137" i="6" s="1"/>
  <c r="A137" i="14"/>
  <c r="B137" i="14"/>
  <c r="D137" i="14" s="1"/>
  <c r="C137" i="14"/>
  <c r="D138" i="6" s="1"/>
  <c r="E138" i="6" s="1"/>
  <c r="F138" i="6" s="1"/>
  <c r="A138" i="14"/>
  <c r="B138" i="14"/>
  <c r="D138" i="14" s="1"/>
  <c r="C138" i="14"/>
  <c r="D139" i="6" s="1"/>
  <c r="E139" i="6" s="1"/>
  <c r="F139" i="6" s="1"/>
  <c r="K139" i="6" s="1"/>
  <c r="A139" i="14"/>
  <c r="B139" i="14"/>
  <c r="D139" i="14" s="1"/>
  <c r="C139" i="14"/>
  <c r="D140" i="6" s="1"/>
  <c r="E140" i="6" s="1"/>
  <c r="F140" i="6" s="1"/>
  <c r="H140" i="6" s="1"/>
  <c r="A140" i="14"/>
  <c r="B140" i="14"/>
  <c r="D140" i="14" s="1"/>
  <c r="C140" i="14"/>
  <c r="D141" i="6" s="1"/>
  <c r="E141" i="6" s="1"/>
  <c r="F141" i="6" s="1"/>
  <c r="K141" i="6" s="1"/>
  <c r="A141" i="14"/>
  <c r="B141" i="14"/>
  <c r="D141" i="14" s="1"/>
  <c r="C141" i="14"/>
  <c r="D142" i="6" s="1"/>
  <c r="E142" i="6" s="1"/>
  <c r="F142" i="6" s="1"/>
  <c r="A142" i="14"/>
  <c r="B142" i="14"/>
  <c r="D142" i="14" s="1"/>
  <c r="C142" i="14"/>
  <c r="D143" i="6" s="1"/>
  <c r="E143" i="6" s="1"/>
  <c r="F143" i="6" s="1"/>
  <c r="A143" i="14"/>
  <c r="B143" i="14"/>
  <c r="D143" i="14" s="1"/>
  <c r="C143" i="14"/>
  <c r="D144" i="6" s="1"/>
  <c r="E144" i="6" s="1"/>
  <c r="F144" i="6" s="1"/>
  <c r="A144" i="14"/>
  <c r="B144" i="14"/>
  <c r="C144" i="14"/>
  <c r="D145" i="6" s="1"/>
  <c r="E145" i="6" s="1"/>
  <c r="F145" i="6" s="1"/>
  <c r="A145" i="14"/>
  <c r="B145" i="14"/>
  <c r="D145" i="14" s="1"/>
  <c r="C145" i="14"/>
  <c r="D146" i="6" s="1"/>
  <c r="E146" i="6" s="1"/>
  <c r="F146" i="6" s="1"/>
  <c r="A146" i="14"/>
  <c r="B146" i="14"/>
  <c r="C146" i="14"/>
  <c r="D147" i="6" s="1"/>
  <c r="E147" i="6" s="1"/>
  <c r="F147" i="6" s="1"/>
  <c r="A147" i="14"/>
  <c r="B147" i="14"/>
  <c r="C147" i="14"/>
  <c r="D148" i="6" s="1"/>
  <c r="E148" i="6" s="1"/>
  <c r="F148" i="6" s="1"/>
  <c r="A148" i="14"/>
  <c r="B148" i="14"/>
  <c r="C148" i="14"/>
  <c r="D149" i="6" s="1"/>
  <c r="E149" i="6" s="1"/>
  <c r="F149" i="6" s="1"/>
  <c r="A149" i="14"/>
  <c r="B149" i="14"/>
  <c r="D149" i="14" s="1"/>
  <c r="C149" i="14"/>
  <c r="D150" i="6" s="1"/>
  <c r="E150" i="6" s="1"/>
  <c r="F150" i="6" s="1"/>
  <c r="A150" i="14"/>
  <c r="B150" i="14"/>
  <c r="D150" i="14" s="1"/>
  <c r="C150" i="14"/>
  <c r="D151" i="6" s="1"/>
  <c r="E151" i="6" s="1"/>
  <c r="F151" i="6" s="1"/>
  <c r="A151" i="14"/>
  <c r="B151" i="14"/>
  <c r="D151" i="14" s="1"/>
  <c r="C151" i="14"/>
  <c r="D152" i="6" s="1"/>
  <c r="E152" i="6" s="1"/>
  <c r="F152" i="6" s="1"/>
  <c r="A152" i="14"/>
  <c r="B152" i="14"/>
  <c r="D152" i="14" s="1"/>
  <c r="C152" i="14"/>
  <c r="D153" i="6" s="1"/>
  <c r="E153" i="6" s="1"/>
  <c r="F153" i="6" s="1"/>
  <c r="A153" i="14"/>
  <c r="B153" i="14"/>
  <c r="D153" i="14" s="1"/>
  <c r="C153" i="14"/>
  <c r="D154" i="6" s="1"/>
  <c r="E154" i="6" s="1"/>
  <c r="F154" i="6" s="1"/>
  <c r="A154" i="14"/>
  <c r="B154" i="14"/>
  <c r="D154" i="14" s="1"/>
  <c r="C154" i="14"/>
  <c r="D155" i="6" s="1"/>
  <c r="E155" i="6" s="1"/>
  <c r="F155" i="6" s="1"/>
  <c r="A155" i="14"/>
  <c r="B155" i="14"/>
  <c r="D155" i="14" s="1"/>
  <c r="C155" i="14"/>
  <c r="D156" i="6" s="1"/>
  <c r="E156" i="6" s="1"/>
  <c r="F156" i="6" s="1"/>
  <c r="A156" i="14"/>
  <c r="B156" i="14"/>
  <c r="D156" i="14" s="1"/>
  <c r="C156" i="14"/>
  <c r="D157" i="6" s="1"/>
  <c r="E157" i="6" s="1"/>
  <c r="F157" i="6" s="1"/>
  <c r="A157" i="14"/>
  <c r="B157" i="14"/>
  <c r="D157" i="14" s="1"/>
  <c r="C157" i="14"/>
  <c r="D158" i="6" s="1"/>
  <c r="E158" i="6" s="1"/>
  <c r="F158" i="6" s="1"/>
  <c r="A158" i="14"/>
  <c r="B158" i="14"/>
  <c r="D158" i="14" s="1"/>
  <c r="C158" i="14"/>
  <c r="D159" i="6" s="1"/>
  <c r="E159" i="6" s="1"/>
  <c r="F159" i="6" s="1"/>
  <c r="H159" i="6" s="1"/>
  <c r="A159" i="14"/>
  <c r="B159" i="14"/>
  <c r="D159" i="14" s="1"/>
  <c r="C159" i="14"/>
  <c r="D160" i="6" s="1"/>
  <c r="E160" i="6" s="1"/>
  <c r="F160" i="6" s="1"/>
  <c r="A160" i="14"/>
  <c r="B160" i="14"/>
  <c r="D160" i="14" s="1"/>
  <c r="C160" i="14"/>
  <c r="D161" i="6" s="1"/>
  <c r="E161" i="6" s="1"/>
  <c r="F161" i="6" s="1"/>
  <c r="A161" i="14"/>
  <c r="B161" i="14"/>
  <c r="D161" i="14" s="1"/>
  <c r="C161" i="14"/>
  <c r="D162" i="6" s="1"/>
  <c r="E162" i="6" s="1"/>
  <c r="F162" i="6" s="1"/>
  <c r="A162" i="14"/>
  <c r="B162" i="14"/>
  <c r="D162" i="14" s="1"/>
  <c r="C162" i="14"/>
  <c r="D163" i="6" s="1"/>
  <c r="E163" i="6" s="1"/>
  <c r="F163" i="6" s="1"/>
  <c r="A163" i="14"/>
  <c r="B163" i="14"/>
  <c r="D163" i="14" s="1"/>
  <c r="C163" i="14"/>
  <c r="D164" i="6" s="1"/>
  <c r="E164" i="6" s="1"/>
  <c r="F164" i="6" s="1"/>
  <c r="K164" i="6" s="1"/>
  <c r="A164" i="14"/>
  <c r="B164" i="14"/>
  <c r="C164" i="14"/>
  <c r="D165" i="6" s="1"/>
  <c r="E165" i="6" s="1"/>
  <c r="F165" i="6" s="1"/>
  <c r="A165" i="14"/>
  <c r="B165" i="14"/>
  <c r="D165" i="14" s="1"/>
  <c r="C165" i="14"/>
  <c r="D166" i="6" s="1"/>
  <c r="E166" i="6" s="1"/>
  <c r="F166" i="6" s="1"/>
  <c r="K166" i="6" s="1"/>
  <c r="A166" i="14"/>
  <c r="B166" i="14"/>
  <c r="C166" i="14"/>
  <c r="D167" i="6" s="1"/>
  <c r="E167" i="6" s="1"/>
  <c r="F167" i="6" s="1"/>
  <c r="A167" i="14"/>
  <c r="B167" i="14"/>
  <c r="C167" i="14"/>
  <c r="D168" i="6" s="1"/>
  <c r="E168" i="6" s="1"/>
  <c r="F168" i="6" s="1"/>
  <c r="A168" i="14"/>
  <c r="B168" i="14"/>
  <c r="C168" i="14"/>
  <c r="D169" i="6" s="1"/>
  <c r="E169" i="6" s="1"/>
  <c r="F169" i="6" s="1"/>
  <c r="A169" i="14"/>
  <c r="B169" i="14"/>
  <c r="C169" i="14"/>
  <c r="D170" i="6" s="1"/>
  <c r="E170" i="6" s="1"/>
  <c r="F170" i="6" s="1"/>
  <c r="A170" i="14"/>
  <c r="B170" i="14"/>
  <c r="D170" i="14" s="1"/>
  <c r="C170" i="14"/>
  <c r="D171" i="6" s="1"/>
  <c r="E171" i="6" s="1"/>
  <c r="F171" i="6" s="1"/>
  <c r="A171" i="14"/>
  <c r="B171" i="14"/>
  <c r="D171" i="14" s="1"/>
  <c r="C171" i="14"/>
  <c r="D172" i="6" s="1"/>
  <c r="E172" i="6" s="1"/>
  <c r="F172" i="6" s="1"/>
  <c r="K172" i="6" s="1"/>
  <c r="A172" i="14"/>
  <c r="B172" i="14"/>
  <c r="D172" i="14" s="1"/>
  <c r="C172" i="14"/>
  <c r="D173" i="6" s="1"/>
  <c r="E173" i="6" s="1"/>
  <c r="F173" i="6" s="1"/>
  <c r="H173" i="6" s="1"/>
  <c r="A173" i="14"/>
  <c r="B173" i="14"/>
  <c r="D173" i="14" s="1"/>
  <c r="C173" i="14"/>
  <c r="D174" i="6" s="1"/>
  <c r="E174" i="6" s="1"/>
  <c r="F174" i="6" s="1"/>
  <c r="A174" i="14"/>
  <c r="B174" i="14"/>
  <c r="D174" i="14" s="1"/>
  <c r="C174" i="14"/>
  <c r="D175" i="6" s="1"/>
  <c r="E175" i="6" s="1"/>
  <c r="F175" i="6" s="1"/>
  <c r="A175" i="14"/>
  <c r="B175" i="14"/>
  <c r="D175" i="14" s="1"/>
  <c r="C175" i="14"/>
  <c r="D176" i="6" s="1"/>
  <c r="E176" i="6" s="1"/>
  <c r="F176" i="6" s="1"/>
  <c r="A176" i="14"/>
  <c r="B176" i="14"/>
  <c r="D176" i="14" s="1"/>
  <c r="C176" i="14"/>
  <c r="D177" i="6" s="1"/>
  <c r="E177" i="6" s="1"/>
  <c r="F177" i="6" s="1"/>
  <c r="A177" i="14"/>
  <c r="B177" i="14"/>
  <c r="D177" i="14" s="1"/>
  <c r="C177" i="14"/>
  <c r="D178" i="6" s="1"/>
  <c r="E178" i="6" s="1"/>
  <c r="F178" i="6" s="1"/>
  <c r="A178" i="14"/>
  <c r="B178" i="14"/>
  <c r="D178" i="14" s="1"/>
  <c r="C178" i="14"/>
  <c r="D179" i="6" s="1"/>
  <c r="E179" i="6" s="1"/>
  <c r="F179" i="6" s="1"/>
  <c r="A179" i="14"/>
  <c r="B179" i="14"/>
  <c r="D179" i="14" s="1"/>
  <c r="C179" i="14"/>
  <c r="D180" i="6" s="1"/>
  <c r="E180" i="6" s="1"/>
  <c r="F180" i="6" s="1"/>
  <c r="A180" i="14"/>
  <c r="B180" i="14"/>
  <c r="D180" i="14" s="1"/>
  <c r="C180" i="14"/>
  <c r="D181" i="6" s="1"/>
  <c r="E181" i="6" s="1"/>
  <c r="F181" i="6" s="1"/>
  <c r="A181" i="14"/>
  <c r="B181" i="14"/>
  <c r="D181" i="14" s="1"/>
  <c r="C181" i="14"/>
  <c r="D182" i="6" s="1"/>
  <c r="E182" i="6" s="1"/>
  <c r="F182" i="6" s="1"/>
  <c r="A182" i="14"/>
  <c r="B182" i="14"/>
  <c r="D182" i="14" s="1"/>
  <c r="C182" i="14"/>
  <c r="D183" i="6" s="1"/>
  <c r="E183" i="6" s="1"/>
  <c r="F183" i="6" s="1"/>
  <c r="A183" i="14"/>
  <c r="B183" i="14"/>
  <c r="D183" i="14" s="1"/>
  <c r="C183" i="14"/>
  <c r="D184" i="6" s="1"/>
  <c r="E184" i="6" s="1"/>
  <c r="F184" i="6" s="1"/>
  <c r="A184" i="14"/>
  <c r="B184" i="14"/>
  <c r="C184" i="14"/>
  <c r="D185" i="6" s="1"/>
  <c r="E185" i="6" s="1"/>
  <c r="F185" i="6" s="1"/>
  <c r="A185" i="14"/>
  <c r="B185" i="14"/>
  <c r="D185" i="14" s="1"/>
  <c r="C185" i="14"/>
  <c r="D186" i="6" s="1"/>
  <c r="E186" i="6" s="1"/>
  <c r="F186" i="6" s="1"/>
  <c r="A186" i="14"/>
  <c r="B186" i="14"/>
  <c r="C186" i="14"/>
  <c r="D187" i="6" s="1"/>
  <c r="E187" i="6" s="1"/>
  <c r="F187" i="6" s="1"/>
  <c r="A187" i="14"/>
  <c r="B187" i="14"/>
  <c r="C187" i="14"/>
  <c r="D188" i="6" s="1"/>
  <c r="E188" i="6" s="1"/>
  <c r="F188" i="6" s="1"/>
  <c r="A188" i="14"/>
  <c r="B188" i="14"/>
  <c r="C188" i="14"/>
  <c r="D189" i="6" s="1"/>
  <c r="E189" i="6" s="1"/>
  <c r="F189" i="6" s="1"/>
  <c r="A189" i="14"/>
  <c r="B189" i="14"/>
  <c r="D189" i="14" s="1"/>
  <c r="C189" i="14"/>
  <c r="D190" i="6" s="1"/>
  <c r="E190" i="6" s="1"/>
  <c r="F190" i="6" s="1"/>
  <c r="A190" i="14"/>
  <c r="B190" i="14"/>
  <c r="D190" i="14" s="1"/>
  <c r="C190" i="14"/>
  <c r="D191" i="6" s="1"/>
  <c r="E191" i="6" s="1"/>
  <c r="F191" i="6" s="1"/>
  <c r="A191" i="14"/>
  <c r="B191" i="14"/>
  <c r="D191" i="14" s="1"/>
  <c r="C191" i="14"/>
  <c r="D192" i="6" s="1"/>
  <c r="E192" i="6" s="1"/>
  <c r="F192" i="6" s="1"/>
  <c r="A192" i="14"/>
  <c r="B192" i="14"/>
  <c r="D192" i="14" s="1"/>
  <c r="C192" i="14"/>
  <c r="D193" i="6" s="1"/>
  <c r="E193" i="6" s="1"/>
  <c r="F193" i="6" s="1"/>
  <c r="A193" i="14"/>
  <c r="B193" i="14"/>
  <c r="D193" i="14" s="1"/>
  <c r="C193" i="14"/>
  <c r="D194" i="6" s="1"/>
  <c r="E194" i="6" s="1"/>
  <c r="F194" i="6" s="1"/>
  <c r="A194" i="14"/>
  <c r="B194" i="14"/>
  <c r="D194" i="14" s="1"/>
  <c r="C194" i="14"/>
  <c r="D195" i="6" s="1"/>
  <c r="E195" i="6" s="1"/>
  <c r="F195" i="6" s="1"/>
  <c r="A195" i="14"/>
  <c r="B195" i="14"/>
  <c r="D195" i="14" s="1"/>
  <c r="C195" i="14"/>
  <c r="D196" i="6" s="1"/>
  <c r="E196" i="6" s="1"/>
  <c r="F196" i="6" s="1"/>
  <c r="A196" i="14"/>
  <c r="B196" i="14"/>
  <c r="D196" i="14" s="1"/>
  <c r="C196" i="14"/>
  <c r="D197" i="6" s="1"/>
  <c r="E197" i="6" s="1"/>
  <c r="F197" i="6" s="1"/>
  <c r="K197" i="6" s="1"/>
  <c r="A197" i="14"/>
  <c r="B197" i="14"/>
  <c r="D197" i="14" s="1"/>
  <c r="C197" i="14"/>
  <c r="D198" i="6" s="1"/>
  <c r="E198" i="6" s="1"/>
  <c r="F198" i="6" s="1"/>
  <c r="K198" i="6" s="1"/>
  <c r="A198" i="14"/>
  <c r="B198" i="14"/>
  <c r="D198" i="14" s="1"/>
  <c r="C198" i="14"/>
  <c r="D199" i="6" s="1"/>
  <c r="E199" i="6" s="1"/>
  <c r="F199" i="6" s="1"/>
  <c r="A199" i="14"/>
  <c r="B199" i="14"/>
  <c r="D199" i="14" s="1"/>
  <c r="C199" i="14"/>
  <c r="D200" i="6" s="1"/>
  <c r="E200" i="6" s="1"/>
  <c r="F200" i="6" s="1"/>
  <c r="K200" i="6" s="1"/>
  <c r="A200" i="14"/>
  <c r="B200" i="14"/>
  <c r="D200" i="14" s="1"/>
  <c r="C200" i="14"/>
  <c r="D201" i="6" s="1"/>
  <c r="E201" i="6" s="1"/>
  <c r="F201" i="6" s="1"/>
  <c r="A201" i="14"/>
  <c r="B201" i="14"/>
  <c r="D201" i="14" s="1"/>
  <c r="C201" i="14"/>
  <c r="D202" i="6" s="1"/>
  <c r="E202" i="6" s="1"/>
  <c r="F202" i="6" s="1"/>
  <c r="A202" i="14"/>
  <c r="B202" i="14"/>
  <c r="D202" i="14" s="1"/>
  <c r="C202" i="14"/>
  <c r="D203" i="6" s="1"/>
  <c r="E203" i="6" s="1"/>
  <c r="F203" i="6" s="1"/>
  <c r="A203" i="14"/>
  <c r="B203" i="14"/>
  <c r="D203" i="14" s="1"/>
  <c r="C203" i="14"/>
  <c r="D204" i="6" s="1"/>
  <c r="E204" i="6" s="1"/>
  <c r="F204" i="6" s="1"/>
  <c r="A204" i="14"/>
  <c r="B204" i="14"/>
  <c r="C204" i="14"/>
  <c r="D205" i="6" s="1"/>
  <c r="E205" i="6" s="1"/>
  <c r="F205" i="6" s="1"/>
  <c r="A205" i="14"/>
  <c r="B205" i="14"/>
  <c r="D205" i="14" s="1"/>
  <c r="C205" i="14"/>
  <c r="D206" i="6" s="1"/>
  <c r="E206" i="6" s="1"/>
  <c r="F206" i="6" s="1"/>
  <c r="A206" i="14"/>
  <c r="B206" i="14"/>
  <c r="C206" i="14"/>
  <c r="D207" i="6" s="1"/>
  <c r="E207" i="6" s="1"/>
  <c r="F207" i="6" s="1"/>
  <c r="K207" i="6" s="1"/>
  <c r="A207" i="14"/>
  <c r="B207" i="14"/>
  <c r="C207" i="14"/>
  <c r="D208" i="6" s="1"/>
  <c r="E208" i="6" s="1"/>
  <c r="F208" i="6" s="1"/>
  <c r="A208" i="14"/>
  <c r="B208" i="14"/>
  <c r="C208" i="14"/>
  <c r="D209" i="6" s="1"/>
  <c r="E209" i="6" s="1"/>
  <c r="F209" i="6" s="1"/>
  <c r="A209" i="14"/>
  <c r="B209" i="14"/>
  <c r="D209" i="14" s="1"/>
  <c r="C209" i="14"/>
  <c r="D210" i="6" s="1"/>
  <c r="E210" i="6" s="1"/>
  <c r="F210" i="6" s="1"/>
  <c r="A210" i="14"/>
  <c r="B210" i="14"/>
  <c r="D210" i="14" s="1"/>
  <c r="C210" i="14"/>
  <c r="D211" i="6" s="1"/>
  <c r="E211" i="6" s="1"/>
  <c r="F211" i="6" s="1"/>
  <c r="A211" i="14"/>
  <c r="B211" i="14"/>
  <c r="D211" i="14" s="1"/>
  <c r="C211" i="14"/>
  <c r="D212" i="6" s="1"/>
  <c r="E212" i="6" s="1"/>
  <c r="F212" i="6" s="1"/>
  <c r="A212" i="14"/>
  <c r="B212" i="14"/>
  <c r="D212" i="14" s="1"/>
  <c r="C212" i="14"/>
  <c r="D213" i="6" s="1"/>
  <c r="E213" i="6" s="1"/>
  <c r="F213" i="6" s="1"/>
  <c r="H213" i="6" s="1"/>
  <c r="A213" i="14"/>
  <c r="B213" i="14"/>
  <c r="D213" i="14" s="1"/>
  <c r="C213" i="14"/>
  <c r="D214" i="6" s="1"/>
  <c r="E214" i="6" s="1"/>
  <c r="F214" i="6" s="1"/>
  <c r="H214" i="6" s="1"/>
  <c r="A214" i="14"/>
  <c r="B214" i="14"/>
  <c r="D214" i="14" s="1"/>
  <c r="C214" i="14"/>
  <c r="D215" i="6" s="1"/>
  <c r="E215" i="6" s="1"/>
  <c r="F215" i="6" s="1"/>
  <c r="A215" i="14"/>
  <c r="B215" i="14"/>
  <c r="D215" i="14" s="1"/>
  <c r="C215" i="14"/>
  <c r="D216" i="6" s="1"/>
  <c r="E216" i="6" s="1"/>
  <c r="F216" i="6" s="1"/>
  <c r="A216" i="14"/>
  <c r="B216" i="14"/>
  <c r="D216" i="14" s="1"/>
  <c r="C216" i="14"/>
  <c r="D217" i="6" s="1"/>
  <c r="E217" i="6" s="1"/>
  <c r="F217" i="6" s="1"/>
  <c r="K217" i="6" s="1"/>
  <c r="A217" i="14"/>
  <c r="B217" i="14"/>
  <c r="D217" i="14" s="1"/>
  <c r="C217" i="14"/>
  <c r="D218" i="6" s="1"/>
  <c r="E218" i="6" s="1"/>
  <c r="F218" i="6" s="1"/>
  <c r="A218" i="14"/>
  <c r="B218" i="14"/>
  <c r="E218" i="14" s="1"/>
  <c r="C218" i="14"/>
  <c r="D219" i="6" s="1"/>
  <c r="E219" i="6" s="1"/>
  <c r="F219" i="6" s="1"/>
  <c r="A219" i="14"/>
  <c r="B219" i="14"/>
  <c r="D219" i="14" s="1"/>
  <c r="C219" i="14"/>
  <c r="D220" i="6" s="1"/>
  <c r="E220" i="6" s="1"/>
  <c r="F220" i="6" s="1"/>
  <c r="A220" i="14"/>
  <c r="B220" i="14"/>
  <c r="E220" i="14" s="1"/>
  <c r="C220" i="14"/>
  <c r="D221" i="6" s="1"/>
  <c r="E221" i="6" s="1"/>
  <c r="F221" i="6" s="1"/>
  <c r="A221" i="14"/>
  <c r="B221" i="14"/>
  <c r="D221" i="14" s="1"/>
  <c r="C221" i="14"/>
  <c r="D222" i="6" s="1"/>
  <c r="E222" i="6" s="1"/>
  <c r="F222" i="6" s="1"/>
  <c r="H222" i="6" s="1"/>
  <c r="A222" i="14"/>
  <c r="B222" i="14"/>
  <c r="D222" i="14" s="1"/>
  <c r="C222" i="14"/>
  <c r="D223" i="6" s="1"/>
  <c r="E223" i="6" s="1"/>
  <c r="F223" i="6" s="1"/>
  <c r="A223" i="14"/>
  <c r="B223" i="14"/>
  <c r="D223" i="14" s="1"/>
  <c r="C223" i="14"/>
  <c r="D224" i="6" s="1"/>
  <c r="E224" i="6" s="1"/>
  <c r="F224" i="6" s="1"/>
  <c r="A224" i="14"/>
  <c r="B224" i="14"/>
  <c r="C224" i="14"/>
  <c r="D225" i="6" s="1"/>
  <c r="E225" i="6" s="1"/>
  <c r="F225" i="6" s="1"/>
  <c r="A225" i="14"/>
  <c r="B225" i="14"/>
  <c r="D225" i="14" s="1"/>
  <c r="C225" i="14"/>
  <c r="D226" i="6" s="1"/>
  <c r="E226" i="6" s="1"/>
  <c r="F226" i="6" s="1"/>
  <c r="A226" i="14"/>
  <c r="B226" i="14"/>
  <c r="C226" i="14"/>
  <c r="D227" i="6" s="1"/>
  <c r="E227" i="6" s="1"/>
  <c r="F227" i="6" s="1"/>
  <c r="K227" i="6" s="1"/>
  <c r="A227" i="14"/>
  <c r="B227" i="14"/>
  <c r="C227" i="14"/>
  <c r="D228" i="6" s="1"/>
  <c r="E228" i="6" s="1"/>
  <c r="F228" i="6" s="1"/>
  <c r="A228" i="14"/>
  <c r="B228" i="14"/>
  <c r="C228" i="14"/>
  <c r="D229" i="6" s="1"/>
  <c r="E229" i="6" s="1"/>
  <c r="F229" i="6" s="1"/>
  <c r="K229" i="6" s="1"/>
  <c r="A229" i="14"/>
  <c r="B229" i="14"/>
  <c r="D229" i="14" s="1"/>
  <c r="C229" i="14"/>
  <c r="D230" i="6" s="1"/>
  <c r="E230" i="6" s="1"/>
  <c r="F230" i="6" s="1"/>
  <c r="A230" i="14"/>
  <c r="B230" i="14"/>
  <c r="D230" i="14" s="1"/>
  <c r="C230" i="14"/>
  <c r="D231" i="6" s="1"/>
  <c r="E231" i="6" s="1"/>
  <c r="F231" i="6" s="1"/>
  <c r="A231" i="14"/>
  <c r="B231" i="14"/>
  <c r="D231" i="14" s="1"/>
  <c r="C231" i="14"/>
  <c r="D232" i="6" s="1"/>
  <c r="E232" i="6" s="1"/>
  <c r="F232" i="6" s="1"/>
  <c r="A232" i="14"/>
  <c r="B232" i="14"/>
  <c r="D232" i="14" s="1"/>
  <c r="C232" i="14"/>
  <c r="D233" i="6" s="1"/>
  <c r="E233" i="6" s="1"/>
  <c r="F233" i="6" s="1"/>
  <c r="A233" i="14"/>
  <c r="B233" i="14"/>
  <c r="D233" i="14" s="1"/>
  <c r="C233" i="14"/>
  <c r="D234" i="6" s="1"/>
  <c r="E234" i="6" s="1"/>
  <c r="F234" i="6" s="1"/>
  <c r="A234" i="14"/>
  <c r="B234" i="14"/>
  <c r="D234" i="14" s="1"/>
  <c r="C234" i="14"/>
  <c r="D235" i="6" s="1"/>
  <c r="E235" i="6" s="1"/>
  <c r="F235" i="6" s="1"/>
  <c r="A235" i="14"/>
  <c r="B235" i="14"/>
  <c r="D235" i="14" s="1"/>
  <c r="C235" i="14"/>
  <c r="D236" i="6" s="1"/>
  <c r="E236" i="6" s="1"/>
  <c r="F236" i="6" s="1"/>
  <c r="A236" i="14"/>
  <c r="B236" i="14"/>
  <c r="D236" i="14" s="1"/>
  <c r="C236" i="14"/>
  <c r="D237" i="6" s="1"/>
  <c r="E237" i="6" s="1"/>
  <c r="F237" i="6" s="1"/>
  <c r="A237" i="14"/>
  <c r="B237" i="14"/>
  <c r="D237" i="14" s="1"/>
  <c r="C237" i="14"/>
  <c r="D238" i="6" s="1"/>
  <c r="E238" i="6" s="1"/>
  <c r="F238" i="6" s="1"/>
  <c r="K238" i="6" s="1"/>
  <c r="A238" i="14"/>
  <c r="B238" i="14"/>
  <c r="D238" i="14" s="1"/>
  <c r="C238" i="14"/>
  <c r="D239" i="6" s="1"/>
  <c r="E239" i="6" s="1"/>
  <c r="F239" i="6" s="1"/>
  <c r="A239" i="14"/>
  <c r="B239" i="14"/>
  <c r="D239" i="14" s="1"/>
  <c r="C239" i="14"/>
  <c r="D240" i="6" s="1"/>
  <c r="E240" i="6" s="1"/>
  <c r="F240" i="6" s="1"/>
  <c r="K240" i="6" s="1"/>
  <c r="A240" i="14"/>
  <c r="B240" i="14"/>
  <c r="D240" i="14" s="1"/>
  <c r="C240" i="14"/>
  <c r="D241" i="6" s="1"/>
  <c r="E241" i="6" s="1"/>
  <c r="F241" i="6" s="1"/>
  <c r="A241" i="14"/>
  <c r="B241" i="14"/>
  <c r="D241" i="14" s="1"/>
  <c r="C241" i="14"/>
  <c r="D242" i="6" s="1"/>
  <c r="E242" i="6" s="1"/>
  <c r="F242" i="6" s="1"/>
  <c r="A242" i="14"/>
  <c r="B242" i="14"/>
  <c r="D242" i="14" s="1"/>
  <c r="C242" i="14"/>
  <c r="D243" i="6" s="1"/>
  <c r="E243" i="6" s="1"/>
  <c r="F243" i="6" s="1"/>
  <c r="A243" i="14"/>
  <c r="B243" i="14"/>
  <c r="D243" i="14" s="1"/>
  <c r="C243" i="14"/>
  <c r="D244" i="6" s="1"/>
  <c r="E244" i="6" s="1"/>
  <c r="F244" i="6" s="1"/>
  <c r="K244" i="6" s="1"/>
  <c r="A244" i="14"/>
  <c r="B244" i="14"/>
  <c r="C244" i="14"/>
  <c r="D245" i="6" s="1"/>
  <c r="E245" i="6" s="1"/>
  <c r="F245" i="6" s="1"/>
  <c r="A245" i="14"/>
  <c r="B245" i="14"/>
  <c r="D245" i="14" s="1"/>
  <c r="C245" i="14"/>
  <c r="D246" i="6" s="1"/>
  <c r="E246" i="6" s="1"/>
  <c r="F246" i="6" s="1"/>
  <c r="A246" i="14"/>
  <c r="B246" i="14"/>
  <c r="C246" i="14"/>
  <c r="D247" i="6" s="1"/>
  <c r="E247" i="6" s="1"/>
  <c r="F247" i="6" s="1"/>
  <c r="K247" i="6" s="1"/>
  <c r="A247" i="14"/>
  <c r="B247" i="14"/>
  <c r="C247" i="14"/>
  <c r="D248" i="6" s="1"/>
  <c r="E248" i="6" s="1"/>
  <c r="F248" i="6" s="1"/>
  <c r="A248" i="14"/>
  <c r="B248" i="14"/>
  <c r="C248" i="14"/>
  <c r="D249" i="6" s="1"/>
  <c r="E249" i="6" s="1"/>
  <c r="F249" i="6" s="1"/>
  <c r="A249" i="14"/>
  <c r="B249" i="14"/>
  <c r="D249" i="14" s="1"/>
  <c r="C249" i="14"/>
  <c r="D250" i="6" s="1"/>
  <c r="E250" i="6" s="1"/>
  <c r="F250" i="6" s="1"/>
  <c r="A250" i="14"/>
  <c r="B250" i="14"/>
  <c r="D250" i="14" s="1"/>
  <c r="C250" i="14"/>
  <c r="D251" i="6" s="1"/>
  <c r="E251" i="6" s="1"/>
  <c r="F251" i="6" s="1"/>
  <c r="A251" i="14"/>
  <c r="B251" i="14"/>
  <c r="D251" i="14" s="1"/>
  <c r="C251" i="14"/>
  <c r="D252" i="6" s="1"/>
  <c r="E252" i="6" s="1"/>
  <c r="F252" i="6" s="1"/>
  <c r="A252" i="14"/>
  <c r="B252" i="14"/>
  <c r="D252" i="14" s="1"/>
  <c r="C252" i="14"/>
  <c r="D253" i="6" s="1"/>
  <c r="E253" i="6" s="1"/>
  <c r="F253" i="6" s="1"/>
  <c r="A253" i="14"/>
  <c r="B253" i="14"/>
  <c r="D253" i="14" s="1"/>
  <c r="C253" i="14"/>
  <c r="D254" i="6" s="1"/>
  <c r="E254" i="6" s="1"/>
  <c r="F254" i="6" s="1"/>
  <c r="A254" i="14"/>
  <c r="B254" i="14"/>
  <c r="D254" i="14" s="1"/>
  <c r="C254" i="14"/>
  <c r="D255" i="6" s="1"/>
  <c r="E255" i="6" s="1"/>
  <c r="F255" i="6" s="1"/>
  <c r="A255" i="14"/>
  <c r="B255" i="14"/>
  <c r="D255" i="14" s="1"/>
  <c r="C255" i="14"/>
  <c r="D256" i="6" s="1"/>
  <c r="E256" i="6" s="1"/>
  <c r="F256" i="6" s="1"/>
  <c r="A256" i="14"/>
  <c r="B256" i="14"/>
  <c r="D256" i="14" s="1"/>
  <c r="C256" i="14"/>
  <c r="D257" i="6" s="1"/>
  <c r="E257" i="6" s="1"/>
  <c r="F257" i="6" s="1"/>
  <c r="A257" i="14"/>
  <c r="B257" i="14"/>
  <c r="D257" i="14" s="1"/>
  <c r="C257" i="14"/>
  <c r="D258" i="6" s="1"/>
  <c r="E258" i="6" s="1"/>
  <c r="F258" i="6" s="1"/>
  <c r="A258" i="14"/>
  <c r="B258" i="14"/>
  <c r="D258" i="14" s="1"/>
  <c r="C258" i="14"/>
  <c r="D259" i="6" s="1"/>
  <c r="E259" i="6" s="1"/>
  <c r="F259" i="6" s="1"/>
  <c r="A259" i="14"/>
  <c r="B259" i="14"/>
  <c r="D259" i="14" s="1"/>
  <c r="C259" i="14"/>
  <c r="D260" i="6" s="1"/>
  <c r="E260" i="6" s="1"/>
  <c r="F260" i="6" s="1"/>
  <c r="K260" i="6" s="1"/>
  <c r="A260" i="14"/>
  <c r="B260" i="14"/>
  <c r="E260" i="14" s="1"/>
  <c r="C260" i="14"/>
  <c r="D261" i="6" s="1"/>
  <c r="E261" i="6" s="1"/>
  <c r="F261" i="6" s="1"/>
  <c r="A261" i="14"/>
  <c r="B261" i="14"/>
  <c r="C261" i="14"/>
  <c r="D262" i="6" s="1"/>
  <c r="E262" i="6" s="1"/>
  <c r="F262" i="6" s="1"/>
  <c r="K262" i="6" s="1"/>
  <c r="A262" i="14"/>
  <c r="B262" i="14"/>
  <c r="D262" i="14" s="1"/>
  <c r="C262" i="14"/>
  <c r="D263" i="6" s="1"/>
  <c r="E263" i="6" s="1"/>
  <c r="F263" i="6" s="1"/>
  <c r="A263" i="14"/>
  <c r="B263" i="14"/>
  <c r="D263" i="14" s="1"/>
  <c r="C263" i="14"/>
  <c r="D264" i="6" s="1"/>
  <c r="E264" i="6" s="1"/>
  <c r="F264" i="6" s="1"/>
  <c r="A264" i="14"/>
  <c r="B264" i="14"/>
  <c r="C264" i="14"/>
  <c r="D265" i="6" s="1"/>
  <c r="E265" i="6" s="1"/>
  <c r="F265" i="6" s="1"/>
  <c r="A265" i="14"/>
  <c r="B265" i="14"/>
  <c r="D265" i="14" s="1"/>
  <c r="C265" i="14"/>
  <c r="D266" i="6" s="1"/>
  <c r="E266" i="6" s="1"/>
  <c r="F266" i="6" s="1"/>
  <c r="A266" i="14"/>
  <c r="B266" i="14"/>
  <c r="C266" i="14"/>
  <c r="D267" i="6" s="1"/>
  <c r="E267" i="6" s="1"/>
  <c r="F267" i="6" s="1"/>
  <c r="H267" i="6" s="1"/>
  <c r="A267" i="14"/>
  <c r="B267" i="14"/>
  <c r="C267" i="14"/>
  <c r="D268" i="6" s="1"/>
  <c r="E268" i="6" s="1"/>
  <c r="F268" i="6" s="1"/>
  <c r="A268" i="14"/>
  <c r="B268" i="14"/>
  <c r="C268" i="14"/>
  <c r="D269" i="6" s="1"/>
  <c r="E269" i="6" s="1"/>
  <c r="F269" i="6" s="1"/>
  <c r="A269" i="14"/>
  <c r="B269" i="14"/>
  <c r="D269" i="14" s="1"/>
  <c r="C269" i="14"/>
  <c r="D270" i="6" s="1"/>
  <c r="E270" i="6" s="1"/>
  <c r="F270" i="6" s="1"/>
  <c r="K270" i="6" s="1"/>
  <c r="A270" i="14"/>
  <c r="B270" i="14"/>
  <c r="D270" i="14" s="1"/>
  <c r="C270" i="14"/>
  <c r="D271" i="6" s="1"/>
  <c r="E271" i="6" s="1"/>
  <c r="F271" i="6" s="1"/>
  <c r="A271" i="14"/>
  <c r="B271" i="14"/>
  <c r="D271" i="14" s="1"/>
  <c r="C271" i="14"/>
  <c r="D272" i="6" s="1"/>
  <c r="E272" i="6" s="1"/>
  <c r="F272" i="6" s="1"/>
  <c r="A272" i="14"/>
  <c r="B272" i="14"/>
  <c r="D272" i="14" s="1"/>
  <c r="C272" i="14"/>
  <c r="D273" i="6" s="1"/>
  <c r="E273" i="6" s="1"/>
  <c r="F273" i="6" s="1"/>
  <c r="A273" i="14"/>
  <c r="B273" i="14"/>
  <c r="D273" i="14" s="1"/>
  <c r="C273" i="14"/>
  <c r="D274" i="6" s="1"/>
  <c r="E274" i="6" s="1"/>
  <c r="F274" i="6" s="1"/>
  <c r="A274" i="14"/>
  <c r="B274" i="14"/>
  <c r="D274" i="14" s="1"/>
  <c r="C274" i="14"/>
  <c r="D275" i="6" s="1"/>
  <c r="E275" i="6" s="1"/>
  <c r="F275" i="6" s="1"/>
  <c r="A275" i="14"/>
  <c r="B275" i="14"/>
  <c r="D275" i="14" s="1"/>
  <c r="C275" i="14"/>
  <c r="D276" i="6" s="1"/>
  <c r="E276" i="6" s="1"/>
  <c r="F276" i="6" s="1"/>
  <c r="A276" i="14"/>
  <c r="B276" i="14"/>
  <c r="D276" i="14" s="1"/>
  <c r="C276" i="14"/>
  <c r="D277" i="6" s="1"/>
  <c r="E277" i="6" s="1"/>
  <c r="F277" i="6" s="1"/>
  <c r="A277" i="14"/>
  <c r="B277" i="14"/>
  <c r="D277" i="14" s="1"/>
  <c r="C277" i="14"/>
  <c r="D278" i="6" s="1"/>
  <c r="E278" i="6" s="1"/>
  <c r="F278" i="6" s="1"/>
  <c r="A278" i="14"/>
  <c r="B278" i="14"/>
  <c r="D278" i="14" s="1"/>
  <c r="C278" i="14"/>
  <c r="D279" i="6" s="1"/>
  <c r="E279" i="6" s="1"/>
  <c r="F279" i="6" s="1"/>
  <c r="A279" i="14"/>
  <c r="B279" i="14"/>
  <c r="D279" i="14" s="1"/>
  <c r="C279" i="14"/>
  <c r="D280" i="6" s="1"/>
  <c r="E280" i="6" s="1"/>
  <c r="F280" i="6" s="1"/>
  <c r="A280" i="14"/>
  <c r="B280" i="14"/>
  <c r="D280" i="14" s="1"/>
  <c r="C280" i="14"/>
  <c r="D281" i="6" s="1"/>
  <c r="E281" i="6" s="1"/>
  <c r="F281" i="6" s="1"/>
  <c r="K281" i="6" s="1"/>
  <c r="A281" i="14"/>
  <c r="B281" i="14"/>
  <c r="D281" i="14" s="1"/>
  <c r="C281" i="14"/>
  <c r="D282" i="6" s="1"/>
  <c r="E282" i="6" s="1"/>
  <c r="F282" i="6" s="1"/>
  <c r="A282" i="14"/>
  <c r="B282" i="14"/>
  <c r="D282" i="14" s="1"/>
  <c r="C282" i="14"/>
  <c r="D283" i="6" s="1"/>
  <c r="E283" i="6" s="1"/>
  <c r="F283" i="6" s="1"/>
  <c r="A283" i="14"/>
  <c r="B283" i="14"/>
  <c r="D283" i="14" s="1"/>
  <c r="C283" i="14"/>
  <c r="D284" i="6" s="1"/>
  <c r="E284" i="6" s="1"/>
  <c r="F284" i="6" s="1"/>
  <c r="K284" i="6" s="1"/>
  <c r="A284" i="14"/>
  <c r="B284" i="14"/>
  <c r="C284" i="14"/>
  <c r="D285" i="6" s="1"/>
  <c r="E285" i="6" s="1"/>
  <c r="F285" i="6" s="1"/>
  <c r="A285" i="14"/>
  <c r="B285" i="14"/>
  <c r="D285" i="14" s="1"/>
  <c r="C285" i="14"/>
  <c r="D286" i="6" s="1"/>
  <c r="E286" i="6" s="1"/>
  <c r="F286" i="6" s="1"/>
  <c r="K286" i="6" s="1"/>
  <c r="A286" i="14"/>
  <c r="B286" i="14"/>
  <c r="C286" i="14"/>
  <c r="D287" i="6" s="1"/>
  <c r="E287" i="6" s="1"/>
  <c r="F287" i="6" s="1"/>
  <c r="A287" i="14"/>
  <c r="B287" i="14"/>
  <c r="C287" i="14"/>
  <c r="D288" i="6" s="1"/>
  <c r="E288" i="6" s="1"/>
  <c r="F288" i="6" s="1"/>
  <c r="A288" i="14"/>
  <c r="B288" i="14"/>
  <c r="C288" i="14"/>
  <c r="D289" i="6" s="1"/>
  <c r="E289" i="6" s="1"/>
  <c r="F289" i="6" s="1"/>
  <c r="A289" i="14"/>
  <c r="B289" i="14"/>
  <c r="D289" i="14" s="1"/>
  <c r="C289" i="14"/>
  <c r="D290" i="6" s="1"/>
  <c r="E290" i="6" s="1"/>
  <c r="F290" i="6" s="1"/>
  <c r="K290" i="6" s="1"/>
  <c r="A290" i="14"/>
  <c r="B290" i="14"/>
  <c r="D290" i="14" s="1"/>
  <c r="C290" i="14"/>
  <c r="D291" i="6" s="1"/>
  <c r="E291" i="6" s="1"/>
  <c r="F291" i="6" s="1"/>
  <c r="A291" i="14"/>
  <c r="B291" i="14"/>
  <c r="D291" i="14" s="1"/>
  <c r="C291" i="14"/>
  <c r="D292" i="6" s="1"/>
  <c r="E292" i="6" s="1"/>
  <c r="F292" i="6" s="1"/>
  <c r="A292" i="14"/>
  <c r="B292" i="14"/>
  <c r="D292" i="14" s="1"/>
  <c r="C292" i="14"/>
  <c r="D293" i="6" s="1"/>
  <c r="E293" i="6" s="1"/>
  <c r="F293" i="6" s="1"/>
  <c r="A293" i="14"/>
  <c r="B293" i="14"/>
  <c r="D293" i="14" s="1"/>
  <c r="C293" i="14"/>
  <c r="D294" i="6" s="1"/>
  <c r="E294" i="6" s="1"/>
  <c r="F294" i="6" s="1"/>
  <c r="A294" i="14"/>
  <c r="B294" i="14"/>
  <c r="D294" i="14" s="1"/>
  <c r="C294" i="14"/>
  <c r="D295" i="6" s="1"/>
  <c r="E295" i="6" s="1"/>
  <c r="F295" i="6" s="1"/>
  <c r="A295" i="14"/>
  <c r="B295" i="14"/>
  <c r="D295" i="14" s="1"/>
  <c r="C295" i="14"/>
  <c r="D296" i="6" s="1"/>
  <c r="E296" i="6" s="1"/>
  <c r="F296" i="6" s="1"/>
  <c r="A296" i="14"/>
  <c r="B296" i="14"/>
  <c r="D296" i="14" s="1"/>
  <c r="C296" i="14"/>
  <c r="D297" i="6" s="1"/>
  <c r="E297" i="6" s="1"/>
  <c r="F297" i="6" s="1"/>
  <c r="A297" i="14"/>
  <c r="B297" i="14"/>
  <c r="D297" i="14" s="1"/>
  <c r="C297" i="14"/>
  <c r="D298" i="6" s="1"/>
  <c r="E298" i="6" s="1"/>
  <c r="F298" i="6" s="1"/>
  <c r="A298" i="14"/>
  <c r="B298" i="14"/>
  <c r="D298" i="14" s="1"/>
  <c r="C298" i="14"/>
  <c r="D299" i="6" s="1"/>
  <c r="E299" i="6" s="1"/>
  <c r="F299" i="6" s="1"/>
  <c r="A299" i="14"/>
  <c r="B299" i="14"/>
  <c r="D299" i="14" s="1"/>
  <c r="C299" i="14"/>
  <c r="D300" i="6" s="1"/>
  <c r="E300" i="6" s="1"/>
  <c r="F300" i="6" s="1"/>
  <c r="A300" i="14"/>
  <c r="B300" i="14"/>
  <c r="D300" i="14" s="1"/>
  <c r="C300" i="14"/>
  <c r="D301" i="6" s="1"/>
  <c r="E301" i="6" s="1"/>
  <c r="F301" i="6" s="1"/>
  <c r="K301" i="6" s="1"/>
  <c r="A301" i="14"/>
  <c r="B301" i="14"/>
  <c r="D301" i="14" s="1"/>
  <c r="C301" i="14"/>
  <c r="D302" i="6" s="1"/>
  <c r="E302" i="6" s="1"/>
  <c r="F302" i="6" s="1"/>
  <c r="A302" i="14"/>
  <c r="B302" i="14"/>
  <c r="D302" i="14" s="1"/>
  <c r="C302" i="14"/>
  <c r="D303" i="6" s="1"/>
  <c r="E303" i="6" s="1"/>
  <c r="F303" i="6" s="1"/>
  <c r="A303" i="14"/>
  <c r="B303" i="14"/>
  <c r="D303" i="14" s="1"/>
  <c r="C303" i="14"/>
  <c r="D304" i="6" s="1"/>
  <c r="E304" i="6" s="1"/>
  <c r="F304" i="6" s="1"/>
  <c r="A304" i="14"/>
  <c r="B304" i="14"/>
  <c r="C304" i="14"/>
  <c r="D305" i="6" s="1"/>
  <c r="E305" i="6" s="1"/>
  <c r="F305" i="6" s="1"/>
  <c r="A305" i="14"/>
  <c r="B305" i="14"/>
  <c r="D305" i="14" s="1"/>
  <c r="C305" i="14"/>
  <c r="D306" i="6" s="1"/>
  <c r="E306" i="6" s="1"/>
  <c r="F306" i="6" s="1"/>
  <c r="A306" i="14"/>
  <c r="B306" i="14"/>
  <c r="C306" i="14"/>
  <c r="D307" i="6" s="1"/>
  <c r="E307" i="6" s="1"/>
  <c r="F307" i="6" s="1"/>
  <c r="K307" i="6" s="1"/>
  <c r="A307" i="14"/>
  <c r="B307" i="14"/>
  <c r="C307" i="14"/>
  <c r="D308" i="6" s="1"/>
  <c r="E308" i="6" s="1"/>
  <c r="F308" i="6" s="1"/>
  <c r="A308" i="14"/>
  <c r="B308" i="14"/>
  <c r="C308" i="14"/>
  <c r="D309" i="6" s="1"/>
  <c r="E309" i="6" s="1"/>
  <c r="F309" i="6" s="1"/>
  <c r="A309" i="14"/>
  <c r="B309" i="14"/>
  <c r="D309" i="14" s="1"/>
  <c r="C309" i="14"/>
  <c r="D310" i="6" s="1"/>
  <c r="E310" i="6" s="1"/>
  <c r="F310" i="6" s="1"/>
  <c r="A310" i="14"/>
  <c r="B310" i="14"/>
  <c r="D310" i="14" s="1"/>
  <c r="C310" i="14"/>
  <c r="D311" i="6" s="1"/>
  <c r="E311" i="6" s="1"/>
  <c r="F311" i="6" s="1"/>
  <c r="A311" i="14"/>
  <c r="B311" i="14"/>
  <c r="D311" i="14" s="1"/>
  <c r="C311" i="14"/>
  <c r="D312" i="6" s="1"/>
  <c r="E312" i="6" s="1"/>
  <c r="F312" i="6" s="1"/>
  <c r="A312" i="14"/>
  <c r="B312" i="14"/>
  <c r="D312" i="14" s="1"/>
  <c r="C312" i="14"/>
  <c r="D313" i="6" s="1"/>
  <c r="E313" i="6" s="1"/>
  <c r="F313" i="6" s="1"/>
  <c r="K313" i="6" s="1"/>
  <c r="A313" i="14"/>
  <c r="B313" i="14"/>
  <c r="D313" i="14" s="1"/>
  <c r="C313" i="14"/>
  <c r="D314" i="6" s="1"/>
  <c r="E314" i="6" s="1"/>
  <c r="F314" i="6" s="1"/>
  <c r="A314" i="14"/>
  <c r="B314" i="14"/>
  <c r="D314" i="14" s="1"/>
  <c r="C314" i="14"/>
  <c r="D315" i="6" s="1"/>
  <c r="E315" i="6" s="1"/>
  <c r="F315" i="6" s="1"/>
  <c r="A315" i="14"/>
  <c r="B315" i="14"/>
  <c r="D315" i="14" s="1"/>
  <c r="C315" i="14"/>
  <c r="D316" i="6" s="1"/>
  <c r="E316" i="6" s="1"/>
  <c r="F316" i="6" s="1"/>
  <c r="A316" i="14"/>
  <c r="B316" i="14"/>
  <c r="D316" i="14" s="1"/>
  <c r="C316" i="14"/>
  <c r="D317" i="6" s="1"/>
  <c r="E317" i="6" s="1"/>
  <c r="F317" i="6" s="1"/>
  <c r="K317" i="6" s="1"/>
  <c r="A317" i="14"/>
  <c r="B317" i="14"/>
  <c r="D317" i="14" s="1"/>
  <c r="C317" i="14"/>
  <c r="D318" i="6" s="1"/>
  <c r="E318" i="6" s="1"/>
  <c r="F318" i="6" s="1"/>
  <c r="K318" i="6" s="1"/>
  <c r="A318" i="14"/>
  <c r="B318" i="14"/>
  <c r="D318" i="14" s="1"/>
  <c r="C318" i="14"/>
  <c r="D319" i="6" s="1"/>
  <c r="E319" i="6" s="1"/>
  <c r="F319" i="6" s="1"/>
  <c r="A319" i="14"/>
  <c r="B319" i="14"/>
  <c r="D319" i="14" s="1"/>
  <c r="C319" i="14"/>
  <c r="D320" i="6" s="1"/>
  <c r="E320" i="6" s="1"/>
  <c r="F320" i="6" s="1"/>
  <c r="A320" i="14"/>
  <c r="B320" i="14"/>
  <c r="D320" i="14" s="1"/>
  <c r="C320" i="14"/>
  <c r="D321" i="6" s="1"/>
  <c r="E321" i="6" s="1"/>
  <c r="F321" i="6" s="1"/>
  <c r="A321" i="14"/>
  <c r="B321" i="14"/>
  <c r="D321" i="14" s="1"/>
  <c r="C321" i="14"/>
  <c r="D322" i="6" s="1"/>
  <c r="E322" i="6" s="1"/>
  <c r="F322" i="6" s="1"/>
  <c r="A322" i="14"/>
  <c r="B322" i="14"/>
  <c r="D322" i="14" s="1"/>
  <c r="C322" i="14"/>
  <c r="D323" i="6" s="1"/>
  <c r="E323" i="6" s="1"/>
  <c r="F323" i="6" s="1"/>
  <c r="A323" i="14"/>
  <c r="B323" i="14"/>
  <c r="D323" i="14" s="1"/>
  <c r="C323" i="14"/>
  <c r="A324" i="14"/>
  <c r="B324" i="14"/>
  <c r="C324" i="14"/>
  <c r="D325" i="6" s="1"/>
  <c r="A325" i="14"/>
  <c r="B325" i="14"/>
  <c r="D325" i="14" s="1"/>
  <c r="C325" i="14"/>
  <c r="D326" i="6" s="1"/>
  <c r="A326" i="14"/>
  <c r="B326" i="14"/>
  <c r="C326" i="14"/>
  <c r="D327" i="6" s="1"/>
  <c r="A327" i="14"/>
  <c r="B327" i="14"/>
  <c r="C327" i="14"/>
  <c r="D328" i="6" s="1"/>
  <c r="A328" i="14"/>
  <c r="B328" i="14"/>
  <c r="C328" i="14"/>
  <c r="D329" i="6" s="1"/>
  <c r="A329" i="14"/>
  <c r="B329" i="14"/>
  <c r="C329" i="14"/>
  <c r="D330" i="6" s="1"/>
  <c r="A330" i="14"/>
  <c r="B330" i="14"/>
  <c r="D330" i="14" s="1"/>
  <c r="C330" i="14"/>
  <c r="D331" i="6" s="1"/>
  <c r="A331" i="14"/>
  <c r="B331" i="14"/>
  <c r="D331" i="14" s="1"/>
  <c r="C331" i="14"/>
  <c r="D332" i="6" s="1"/>
  <c r="A332" i="14"/>
  <c r="B332" i="14"/>
  <c r="D332" i="14" s="1"/>
  <c r="C332" i="14"/>
  <c r="D333" i="6" s="1"/>
  <c r="A333" i="14"/>
  <c r="B333" i="14"/>
  <c r="D333" i="14" s="1"/>
  <c r="C333" i="14"/>
  <c r="D334" i="6" s="1"/>
  <c r="A334" i="14"/>
  <c r="B334" i="14"/>
  <c r="D334" i="14" s="1"/>
  <c r="C334" i="14"/>
  <c r="D335" i="6" s="1"/>
  <c r="A335" i="14"/>
  <c r="B335" i="14"/>
  <c r="C335" i="14"/>
  <c r="D336" i="6" s="1"/>
  <c r="A336" i="14"/>
  <c r="B336" i="14"/>
  <c r="D336" i="14" s="1"/>
  <c r="C336" i="14"/>
  <c r="D337" i="6" s="1"/>
  <c r="A337" i="14"/>
  <c r="B337" i="14"/>
  <c r="D337" i="14" s="1"/>
  <c r="C337" i="14"/>
  <c r="D338" i="6" s="1"/>
  <c r="A338" i="14"/>
  <c r="B338" i="14"/>
  <c r="D338" i="14" s="1"/>
  <c r="C338" i="14"/>
  <c r="D339" i="6" s="1"/>
  <c r="A339" i="14"/>
  <c r="B339" i="14"/>
  <c r="D339" i="14" s="1"/>
  <c r="C339" i="14"/>
  <c r="D340" i="6" s="1"/>
  <c r="A340" i="14"/>
  <c r="B340" i="14"/>
  <c r="D340" i="14" s="1"/>
  <c r="C340" i="14"/>
  <c r="D341" i="6" s="1"/>
  <c r="A341" i="14"/>
  <c r="B341" i="14"/>
  <c r="D341" i="14" s="1"/>
  <c r="C341" i="14"/>
  <c r="D342" i="6" s="1"/>
  <c r="A342" i="14"/>
  <c r="B342" i="14"/>
  <c r="D342" i="14" s="1"/>
  <c r="C342" i="14"/>
  <c r="D343" i="6" s="1"/>
  <c r="A343" i="14"/>
  <c r="B343" i="14"/>
  <c r="D343" i="14" s="1"/>
  <c r="C343" i="14"/>
  <c r="D344" i="6" s="1"/>
  <c r="A344" i="14"/>
  <c r="B344" i="14"/>
  <c r="C344" i="14"/>
  <c r="D345" i="6" s="1"/>
  <c r="A345" i="14"/>
  <c r="B345" i="14"/>
  <c r="D345" i="14" s="1"/>
  <c r="C345" i="14"/>
  <c r="D346" i="6" s="1"/>
  <c r="A346" i="14"/>
  <c r="B346" i="14"/>
  <c r="C346" i="14"/>
  <c r="D347" i="6" s="1"/>
  <c r="A347" i="14"/>
  <c r="B347" i="14"/>
  <c r="C347" i="14"/>
  <c r="D348" i="6" s="1"/>
  <c r="A348" i="14"/>
  <c r="B348" i="14"/>
  <c r="C348" i="14"/>
  <c r="D349" i="6" s="1"/>
  <c r="A349" i="14"/>
  <c r="B349" i="14"/>
  <c r="D349" i="14" s="1"/>
  <c r="C349" i="14"/>
  <c r="D350" i="6" s="1"/>
  <c r="A350" i="14"/>
  <c r="B350" i="14"/>
  <c r="D350" i="14" s="1"/>
  <c r="C350" i="14"/>
  <c r="D351" i="6" s="1"/>
  <c r="A351" i="14"/>
  <c r="B351" i="14"/>
  <c r="D351" i="14" s="1"/>
  <c r="C351" i="14"/>
  <c r="D352" i="6" s="1"/>
  <c r="A352" i="14"/>
  <c r="B352" i="14"/>
  <c r="D352" i="14" s="1"/>
  <c r="C352" i="14"/>
  <c r="D353" i="6" s="1"/>
  <c r="A353" i="14"/>
  <c r="B353" i="14"/>
  <c r="D353" i="14" s="1"/>
  <c r="C353" i="14"/>
  <c r="D354" i="6" s="1"/>
  <c r="A354" i="14"/>
  <c r="B354" i="14"/>
  <c r="D354" i="14" s="1"/>
  <c r="C354" i="14"/>
  <c r="D355" i="6" s="1"/>
  <c r="A355" i="14"/>
  <c r="B355" i="14"/>
  <c r="D355" i="14" s="1"/>
  <c r="C355" i="14"/>
  <c r="D356" i="6" s="1"/>
  <c r="A356" i="14"/>
  <c r="B356" i="14"/>
  <c r="D356" i="14" s="1"/>
  <c r="C356" i="14"/>
  <c r="D357" i="6" s="1"/>
  <c r="A357" i="14"/>
  <c r="B357" i="14"/>
  <c r="D357" i="14" s="1"/>
  <c r="C357" i="14"/>
  <c r="D358" i="6" s="1"/>
  <c r="A358" i="14"/>
  <c r="B358" i="14"/>
  <c r="D358" i="14" s="1"/>
  <c r="C358" i="14"/>
  <c r="D359" i="6" s="1"/>
  <c r="A359" i="14"/>
  <c r="B359" i="14"/>
  <c r="D359" i="14" s="1"/>
  <c r="C359" i="14"/>
  <c r="D360" i="6" s="1"/>
  <c r="A360" i="14"/>
  <c r="B360" i="14"/>
  <c r="D360" i="14" s="1"/>
  <c r="C360" i="14"/>
  <c r="D361" i="6" s="1"/>
  <c r="A361" i="14"/>
  <c r="B361" i="14"/>
  <c r="D361" i="14" s="1"/>
  <c r="C361" i="14"/>
  <c r="D362" i="6" s="1"/>
  <c r="A362" i="14"/>
  <c r="B362" i="14"/>
  <c r="D362" i="14" s="1"/>
  <c r="C362" i="14"/>
  <c r="D363" i="6" s="1"/>
  <c r="A363" i="14"/>
  <c r="B363" i="14"/>
  <c r="D363" i="14" s="1"/>
  <c r="C363" i="14"/>
  <c r="D364" i="6" s="1"/>
  <c r="A364" i="14"/>
  <c r="B364" i="14"/>
  <c r="C364" i="14"/>
  <c r="D365" i="6" s="1"/>
  <c r="A365" i="14"/>
  <c r="B365" i="14"/>
  <c r="D365" i="14" s="1"/>
  <c r="C365" i="14"/>
  <c r="D366" i="6" s="1"/>
  <c r="A366" i="14"/>
  <c r="B366" i="14"/>
  <c r="C366" i="14"/>
  <c r="D367" i="6" s="1"/>
  <c r="A367" i="14"/>
  <c r="B367" i="14"/>
  <c r="C367" i="14"/>
  <c r="D368" i="6" s="1"/>
  <c r="A368" i="14"/>
  <c r="B368" i="14"/>
  <c r="C368" i="14"/>
  <c r="D369" i="6" s="1"/>
  <c r="A369" i="14"/>
  <c r="B369" i="14"/>
  <c r="D369" i="14" s="1"/>
  <c r="C369" i="14"/>
  <c r="D370" i="6" s="1"/>
  <c r="A370" i="14"/>
  <c r="B370" i="14"/>
  <c r="D370" i="14" s="1"/>
  <c r="C370" i="14"/>
  <c r="D371" i="6" s="1"/>
  <c r="A371" i="14"/>
  <c r="B371" i="14"/>
  <c r="D371" i="14" s="1"/>
  <c r="C371" i="14"/>
  <c r="D372" i="6" s="1"/>
  <c r="A372" i="14"/>
  <c r="B372" i="14"/>
  <c r="D372" i="14" s="1"/>
  <c r="C372" i="14"/>
  <c r="D373" i="6" s="1"/>
  <c r="A373" i="14"/>
  <c r="B373" i="14"/>
  <c r="D373" i="14" s="1"/>
  <c r="C373" i="14"/>
  <c r="D374" i="6" s="1"/>
  <c r="A374" i="14"/>
  <c r="B374" i="14"/>
  <c r="D374" i="14" s="1"/>
  <c r="C374" i="14"/>
  <c r="D375" i="6" s="1"/>
  <c r="A375" i="14"/>
  <c r="B375" i="14"/>
  <c r="D375" i="14" s="1"/>
  <c r="C375" i="14"/>
  <c r="D376" i="6" s="1"/>
  <c r="A376" i="14"/>
  <c r="B376" i="14"/>
  <c r="D376" i="14" s="1"/>
  <c r="C376" i="14"/>
  <c r="D377" i="6" s="1"/>
  <c r="A377" i="14"/>
  <c r="B377" i="14"/>
  <c r="D377" i="14" s="1"/>
  <c r="C377" i="14"/>
  <c r="D378" i="6" s="1"/>
  <c r="A378" i="14"/>
  <c r="B378" i="14"/>
  <c r="D378" i="14" s="1"/>
  <c r="C378" i="14"/>
  <c r="D379" i="6" s="1"/>
  <c r="A379" i="14"/>
  <c r="B379" i="14"/>
  <c r="D379" i="14" s="1"/>
  <c r="C379" i="14"/>
  <c r="D380" i="6" s="1"/>
  <c r="A380" i="14"/>
  <c r="B380" i="14"/>
  <c r="D380" i="14" s="1"/>
  <c r="C380" i="14"/>
  <c r="D381" i="6" s="1"/>
  <c r="A381" i="14"/>
  <c r="B381" i="14"/>
  <c r="D381" i="14" s="1"/>
  <c r="C381" i="14"/>
  <c r="D382" i="6" s="1"/>
  <c r="A382" i="14"/>
  <c r="B382" i="14"/>
  <c r="D382" i="14" s="1"/>
  <c r="C382" i="14"/>
  <c r="D383" i="6" s="1"/>
  <c r="A383" i="14"/>
  <c r="B383" i="14"/>
  <c r="D383" i="14" s="1"/>
  <c r="C383" i="14"/>
  <c r="D384" i="6" s="1"/>
  <c r="A384" i="14"/>
  <c r="B384" i="14"/>
  <c r="C384" i="14"/>
  <c r="D385" i="6" s="1"/>
  <c r="A385" i="14"/>
  <c r="B385" i="14"/>
  <c r="D385" i="14" s="1"/>
  <c r="C385" i="14"/>
  <c r="D386" i="6" s="1"/>
  <c r="A386" i="14"/>
  <c r="B386" i="14"/>
  <c r="C386" i="14"/>
  <c r="D387" i="6" s="1"/>
  <c r="A387" i="14"/>
  <c r="B387" i="14"/>
  <c r="C387" i="14"/>
  <c r="D388" i="6" s="1"/>
  <c r="A388" i="14"/>
  <c r="B388" i="14"/>
  <c r="C388" i="14"/>
  <c r="D389" i="6" s="1"/>
  <c r="A389" i="14"/>
  <c r="B389" i="14"/>
  <c r="D389" i="14" s="1"/>
  <c r="C389" i="14"/>
  <c r="D390" i="6" s="1"/>
  <c r="A390" i="14"/>
  <c r="B390" i="14"/>
  <c r="D390" i="14" s="1"/>
  <c r="C390" i="14"/>
  <c r="D391" i="6" s="1"/>
  <c r="A391" i="14"/>
  <c r="B391" i="14"/>
  <c r="D391" i="14" s="1"/>
  <c r="C391" i="14"/>
  <c r="D392" i="6" s="1"/>
  <c r="A392" i="14"/>
  <c r="B392" i="14"/>
  <c r="D392" i="14" s="1"/>
  <c r="C392" i="14"/>
  <c r="D393" i="6" s="1"/>
  <c r="A393" i="14"/>
  <c r="B393" i="14"/>
  <c r="D393" i="14" s="1"/>
  <c r="C393" i="14"/>
  <c r="D394" i="6" s="1"/>
  <c r="A394" i="14"/>
  <c r="B394" i="14"/>
  <c r="D394" i="14" s="1"/>
  <c r="C394" i="14"/>
  <c r="D395" i="6" s="1"/>
  <c r="A395" i="14"/>
  <c r="B395" i="14"/>
  <c r="D395" i="14" s="1"/>
  <c r="C395" i="14"/>
  <c r="D396" i="6" s="1"/>
  <c r="A396" i="14"/>
  <c r="B396" i="14"/>
  <c r="D396" i="14" s="1"/>
  <c r="C396" i="14"/>
  <c r="D397" i="6" s="1"/>
  <c r="A397" i="14"/>
  <c r="B397" i="14"/>
  <c r="D397" i="14" s="1"/>
  <c r="C397" i="14"/>
  <c r="D398" i="6" s="1"/>
  <c r="A398" i="14"/>
  <c r="B398" i="14"/>
  <c r="D398" i="14" s="1"/>
  <c r="C398" i="14"/>
  <c r="D399" i="6" s="1"/>
  <c r="A399" i="14"/>
  <c r="B399" i="14"/>
  <c r="D399" i="14" s="1"/>
  <c r="C399" i="14"/>
  <c r="D400" i="6" s="1"/>
  <c r="A400" i="14"/>
  <c r="B400" i="14"/>
  <c r="D400" i="14" s="1"/>
  <c r="C400" i="14"/>
  <c r="D401" i="6" s="1"/>
  <c r="A401" i="14"/>
  <c r="B401" i="14"/>
  <c r="D401" i="14" s="1"/>
  <c r="C401" i="14"/>
  <c r="D402" i="6" s="1"/>
  <c r="A402" i="14"/>
  <c r="B402" i="14"/>
  <c r="D402" i="14" s="1"/>
  <c r="C402" i="14"/>
  <c r="D403" i="6" s="1"/>
  <c r="A403" i="14"/>
  <c r="B403" i="14"/>
  <c r="D403" i="14" s="1"/>
  <c r="C403" i="14"/>
  <c r="D404" i="6" s="1"/>
  <c r="A404" i="14"/>
  <c r="B404" i="14"/>
  <c r="C404" i="14"/>
  <c r="D405" i="6" s="1"/>
  <c r="A405" i="14"/>
  <c r="B405" i="14"/>
  <c r="D405" i="14" s="1"/>
  <c r="C405" i="14"/>
  <c r="D406" i="6" s="1"/>
  <c r="A406" i="14"/>
  <c r="B406" i="14"/>
  <c r="C406" i="14"/>
  <c r="D407" i="6" s="1"/>
  <c r="A407" i="14"/>
  <c r="B407" i="14"/>
  <c r="C407" i="14"/>
  <c r="D408" i="6" s="1"/>
  <c r="A408" i="14"/>
  <c r="B408" i="14"/>
  <c r="C408" i="14"/>
  <c r="D409" i="6" s="1"/>
  <c r="A409" i="14"/>
  <c r="B409" i="14"/>
  <c r="D409" i="14" s="1"/>
  <c r="C409" i="14"/>
  <c r="D410" i="6" s="1"/>
  <c r="A410" i="14"/>
  <c r="B410" i="14"/>
  <c r="D410" i="14" s="1"/>
  <c r="C410" i="14"/>
  <c r="D411" i="6" s="1"/>
  <c r="A411" i="14"/>
  <c r="B411" i="14"/>
  <c r="D411" i="14" s="1"/>
  <c r="C411" i="14"/>
  <c r="D412" i="6" s="1"/>
  <c r="A412" i="14"/>
  <c r="B412" i="14"/>
  <c r="D412" i="14" s="1"/>
  <c r="C412" i="14"/>
  <c r="D413" i="6" s="1"/>
  <c r="A413" i="14"/>
  <c r="B413" i="14"/>
  <c r="D413" i="14" s="1"/>
  <c r="C413" i="14"/>
  <c r="D414" i="6" s="1"/>
  <c r="A414" i="14"/>
  <c r="B414" i="14"/>
  <c r="D414" i="14" s="1"/>
  <c r="C414" i="14"/>
  <c r="D415" i="6" s="1"/>
  <c r="A415" i="14"/>
  <c r="B415" i="14"/>
  <c r="D415" i="14" s="1"/>
  <c r="C415" i="14"/>
  <c r="D416" i="6" s="1"/>
  <c r="A416" i="14"/>
  <c r="B416" i="14"/>
  <c r="D416" i="14" s="1"/>
  <c r="C416" i="14"/>
  <c r="D417" i="6" s="1"/>
  <c r="A417" i="14"/>
  <c r="B417" i="14"/>
  <c r="D417" i="14" s="1"/>
  <c r="C417" i="14"/>
  <c r="D418" i="6" s="1"/>
  <c r="A418" i="14"/>
  <c r="B418" i="14"/>
  <c r="E418" i="14" s="1"/>
  <c r="C418" i="14"/>
  <c r="D419" i="6" s="1"/>
  <c r="A419" i="14"/>
  <c r="B419" i="14"/>
  <c r="D419" i="14" s="1"/>
  <c r="C419" i="14"/>
  <c r="D420" i="6" s="1"/>
  <c r="A420" i="14"/>
  <c r="B420" i="14"/>
  <c r="D420" i="14" s="1"/>
  <c r="C420" i="14"/>
  <c r="D421" i="6" s="1"/>
  <c r="A421" i="14"/>
  <c r="B421" i="14"/>
  <c r="D421" i="14" s="1"/>
  <c r="C421" i="14"/>
  <c r="D422" i="6" s="1"/>
  <c r="A422" i="14"/>
  <c r="B422" i="14"/>
  <c r="D422" i="14" s="1"/>
  <c r="C422" i="14"/>
  <c r="D423" i="6" s="1"/>
  <c r="A423" i="14"/>
  <c r="B423" i="14"/>
  <c r="D423" i="14" s="1"/>
  <c r="C423" i="14"/>
  <c r="D424" i="6" s="1"/>
  <c r="A424" i="14"/>
  <c r="B424" i="14"/>
  <c r="C424" i="14"/>
  <c r="D425" i="6" s="1"/>
  <c r="A425" i="14"/>
  <c r="B425" i="14"/>
  <c r="D425" i="14" s="1"/>
  <c r="C425" i="14"/>
  <c r="D426" i="6" s="1"/>
  <c r="A426" i="14"/>
  <c r="B426" i="14"/>
  <c r="C426" i="14"/>
  <c r="D427" i="6" s="1"/>
  <c r="A427" i="14"/>
  <c r="B427" i="14"/>
  <c r="C427" i="14"/>
  <c r="D428" i="6" s="1"/>
  <c r="A428" i="14"/>
  <c r="B428" i="14"/>
  <c r="C428" i="14"/>
  <c r="D429" i="6" s="1"/>
  <c r="A429" i="14"/>
  <c r="B429" i="14"/>
  <c r="D429" i="14" s="1"/>
  <c r="C429" i="14"/>
  <c r="D430" i="6" s="1"/>
  <c r="A430" i="14"/>
  <c r="B430" i="14"/>
  <c r="D430" i="14" s="1"/>
  <c r="C430" i="14"/>
  <c r="D431" i="6" s="1"/>
  <c r="A431" i="14"/>
  <c r="B431" i="14"/>
  <c r="D431" i="14" s="1"/>
  <c r="C431" i="14"/>
  <c r="D432" i="6" s="1"/>
  <c r="A432" i="14"/>
  <c r="B432" i="14"/>
  <c r="D432" i="14" s="1"/>
  <c r="C432" i="14"/>
  <c r="D433" i="6" s="1"/>
  <c r="A433" i="14"/>
  <c r="B433" i="14"/>
  <c r="D433" i="14" s="1"/>
  <c r="C433" i="14"/>
  <c r="D434" i="6" s="1"/>
  <c r="A434" i="14"/>
  <c r="B434" i="14"/>
  <c r="D434" i="14" s="1"/>
  <c r="C434" i="14"/>
  <c r="D435" i="6" s="1"/>
  <c r="A435" i="14"/>
  <c r="B435" i="14"/>
  <c r="D435" i="14" s="1"/>
  <c r="C435" i="14"/>
  <c r="D436" i="6" s="1"/>
  <c r="A436" i="14"/>
  <c r="B436" i="14"/>
  <c r="D436" i="14" s="1"/>
  <c r="C436" i="14"/>
  <c r="D437" i="6" s="1"/>
  <c r="A437" i="14"/>
  <c r="B437" i="14"/>
  <c r="D437" i="14" s="1"/>
  <c r="C437" i="14"/>
  <c r="D438" i="6" s="1"/>
  <c r="A438" i="14"/>
  <c r="B438" i="14"/>
  <c r="D438" i="14" s="1"/>
  <c r="C438" i="14"/>
  <c r="D439" i="6" s="1"/>
  <c r="A439" i="14"/>
  <c r="B439" i="14"/>
  <c r="D439" i="14" s="1"/>
  <c r="C439" i="14"/>
  <c r="D440" i="6" s="1"/>
  <c r="A440" i="14"/>
  <c r="B440" i="14"/>
  <c r="D440" i="14" s="1"/>
  <c r="C440" i="14"/>
  <c r="D441" i="6" s="1"/>
  <c r="A441" i="14"/>
  <c r="B441" i="14"/>
  <c r="D441" i="14" s="1"/>
  <c r="C441" i="14"/>
  <c r="D442" i="6" s="1"/>
  <c r="A442" i="14"/>
  <c r="B442" i="14"/>
  <c r="D442" i="14" s="1"/>
  <c r="C442" i="14"/>
  <c r="D443" i="6" s="1"/>
  <c r="A443" i="14"/>
  <c r="B443" i="14"/>
  <c r="D443" i="14" s="1"/>
  <c r="C443" i="14"/>
  <c r="D444" i="6" s="1"/>
  <c r="A444" i="14"/>
  <c r="B444" i="14"/>
  <c r="C444" i="14"/>
  <c r="D445" i="6" s="1"/>
  <c r="A445" i="14"/>
  <c r="B445" i="14"/>
  <c r="D445" i="14" s="1"/>
  <c r="C445" i="14"/>
  <c r="D446" i="6" s="1"/>
  <c r="A446" i="14"/>
  <c r="B446" i="14"/>
  <c r="C446" i="14"/>
  <c r="D447" i="6" s="1"/>
  <c r="A447" i="14"/>
  <c r="B447" i="14"/>
  <c r="C447" i="14"/>
  <c r="D448" i="6" s="1"/>
  <c r="A448" i="14"/>
  <c r="B448" i="14"/>
  <c r="C448" i="14"/>
  <c r="D449" i="6" s="1"/>
  <c r="A449" i="14"/>
  <c r="B449" i="14"/>
  <c r="D449" i="14" s="1"/>
  <c r="C449" i="14"/>
  <c r="D450" i="6" s="1"/>
  <c r="A450" i="14"/>
  <c r="B450" i="14"/>
  <c r="D450" i="14" s="1"/>
  <c r="C450" i="14"/>
  <c r="D451" i="6" s="1"/>
  <c r="A451" i="14"/>
  <c r="B451" i="14"/>
  <c r="D451" i="14" s="1"/>
  <c r="C451" i="14"/>
  <c r="D452" i="6" s="1"/>
  <c r="A452" i="14"/>
  <c r="B452" i="14"/>
  <c r="D452" i="14" s="1"/>
  <c r="C452" i="14"/>
  <c r="D453" i="6" s="1"/>
  <c r="A453" i="14"/>
  <c r="B453" i="14"/>
  <c r="D453" i="14" s="1"/>
  <c r="C453" i="14"/>
  <c r="D454" i="6" s="1"/>
  <c r="A454" i="14"/>
  <c r="B454" i="14"/>
  <c r="D454" i="14" s="1"/>
  <c r="C454" i="14"/>
  <c r="D455" i="6" s="1"/>
  <c r="A455" i="14"/>
  <c r="B455" i="14"/>
  <c r="D455" i="14" s="1"/>
  <c r="C455" i="14"/>
  <c r="D456" i="6" s="1"/>
  <c r="A456" i="14"/>
  <c r="B456" i="14"/>
  <c r="D456" i="14" s="1"/>
  <c r="C456" i="14"/>
  <c r="D457" i="6" s="1"/>
  <c r="A457" i="14"/>
  <c r="B457" i="14"/>
  <c r="D457" i="14" s="1"/>
  <c r="C457" i="14"/>
  <c r="D458" i="6" s="1"/>
  <c r="A458" i="14"/>
  <c r="B458" i="14"/>
  <c r="D458" i="14" s="1"/>
  <c r="C458" i="14"/>
  <c r="D459" i="6" s="1"/>
  <c r="A459" i="14"/>
  <c r="B459" i="14"/>
  <c r="D459" i="14" s="1"/>
  <c r="C459" i="14"/>
  <c r="D460" i="6" s="1"/>
  <c r="A460" i="14"/>
  <c r="B460" i="14"/>
  <c r="E460" i="14" s="1"/>
  <c r="C460" i="14"/>
  <c r="D461" i="6" s="1"/>
  <c r="A461" i="14"/>
  <c r="B461" i="14"/>
  <c r="D461" i="14" s="1"/>
  <c r="C461" i="14"/>
  <c r="D462" i="6" s="1"/>
  <c r="A462" i="14"/>
  <c r="B462" i="14"/>
  <c r="D462" i="14" s="1"/>
  <c r="C462" i="14"/>
  <c r="D463" i="6" s="1"/>
  <c r="A463" i="14"/>
  <c r="B463" i="14"/>
  <c r="D463" i="14" s="1"/>
  <c r="C463" i="14"/>
  <c r="D464" i="6" s="1"/>
  <c r="A464" i="14"/>
  <c r="B464" i="14"/>
  <c r="C464" i="14"/>
  <c r="D465" i="6" s="1"/>
  <c r="A465" i="14"/>
  <c r="B465" i="14"/>
  <c r="D465" i="14" s="1"/>
  <c r="C465" i="14"/>
  <c r="D466" i="6" s="1"/>
  <c r="A466" i="14"/>
  <c r="B466" i="14"/>
  <c r="C466" i="14"/>
  <c r="D467" i="6" s="1"/>
  <c r="A467" i="14"/>
  <c r="B467" i="14"/>
  <c r="C467" i="14"/>
  <c r="D468" i="6" s="1"/>
  <c r="A468" i="14"/>
  <c r="B468" i="14"/>
  <c r="C468" i="14"/>
  <c r="D469" i="6" s="1"/>
  <c r="A469" i="14"/>
  <c r="B469" i="14"/>
  <c r="D469" i="14" s="1"/>
  <c r="C469" i="14"/>
  <c r="D470" i="6" s="1"/>
  <c r="A470" i="14"/>
  <c r="B470" i="14"/>
  <c r="D470" i="14" s="1"/>
  <c r="C470" i="14"/>
  <c r="D471" i="6" s="1"/>
  <c r="A471" i="14"/>
  <c r="B471" i="14"/>
  <c r="D471" i="14" s="1"/>
  <c r="C471" i="14"/>
  <c r="D472" i="6" s="1"/>
  <c r="A472" i="14"/>
  <c r="B472" i="14"/>
  <c r="D472" i="14" s="1"/>
  <c r="C472" i="14"/>
  <c r="D473" i="6" s="1"/>
  <c r="A473" i="14"/>
  <c r="B473" i="14"/>
  <c r="D473" i="14" s="1"/>
  <c r="C473" i="14"/>
  <c r="D474" i="6" s="1"/>
  <c r="A474" i="14"/>
  <c r="B474" i="14"/>
  <c r="D474" i="14" s="1"/>
  <c r="C474" i="14"/>
  <c r="D475" i="6" s="1"/>
  <c r="A475" i="14"/>
  <c r="B475" i="14"/>
  <c r="D475" i="14" s="1"/>
  <c r="C475" i="14"/>
  <c r="D476" i="6" s="1"/>
  <c r="A476" i="14"/>
  <c r="B476" i="14"/>
  <c r="D476" i="14" s="1"/>
  <c r="C476" i="14"/>
  <c r="D477" i="6" s="1"/>
  <c r="A477" i="14"/>
  <c r="B477" i="14"/>
  <c r="D477" i="14" s="1"/>
  <c r="C477" i="14"/>
  <c r="D478" i="6" s="1"/>
  <c r="A478" i="14"/>
  <c r="B478" i="14"/>
  <c r="D478" i="14" s="1"/>
  <c r="C478" i="14"/>
  <c r="D479" i="6" s="1"/>
  <c r="A479" i="14"/>
  <c r="B479" i="14"/>
  <c r="D479" i="14" s="1"/>
  <c r="C479" i="14"/>
  <c r="D480" i="6" s="1"/>
  <c r="A480" i="14"/>
  <c r="B480" i="14"/>
  <c r="D480" i="14" s="1"/>
  <c r="C480" i="14"/>
  <c r="D481" i="6" s="1"/>
  <c r="A481" i="14"/>
  <c r="B481" i="14"/>
  <c r="D481" i="14" s="1"/>
  <c r="C481" i="14"/>
  <c r="D482" i="6" s="1"/>
  <c r="A482" i="14"/>
  <c r="B482" i="14"/>
  <c r="D482" i="14" s="1"/>
  <c r="C482" i="14"/>
  <c r="D483" i="6" s="1"/>
  <c r="A483" i="14"/>
  <c r="B483" i="14"/>
  <c r="D483" i="14" s="1"/>
  <c r="C483" i="14"/>
  <c r="D484" i="6" s="1"/>
  <c r="A484" i="14"/>
  <c r="B484" i="14"/>
  <c r="C484" i="14"/>
  <c r="D485" i="6" s="1"/>
  <c r="A485" i="14"/>
  <c r="B485" i="14"/>
  <c r="D485" i="14" s="1"/>
  <c r="C485" i="14"/>
  <c r="D486" i="6" s="1"/>
  <c r="A486" i="14"/>
  <c r="B486" i="14"/>
  <c r="C486" i="14"/>
  <c r="D487" i="6" s="1"/>
  <c r="A487" i="14"/>
  <c r="B487" i="14"/>
  <c r="C487" i="14"/>
  <c r="D488" i="6" s="1"/>
  <c r="A488" i="14"/>
  <c r="B488" i="14"/>
  <c r="C488" i="14"/>
  <c r="D489" i="6" s="1"/>
  <c r="A489" i="14"/>
  <c r="B489" i="14"/>
  <c r="D489" i="14" s="1"/>
  <c r="C489" i="14"/>
  <c r="D490" i="6" s="1"/>
  <c r="A490" i="14"/>
  <c r="B490" i="14"/>
  <c r="D490" i="14" s="1"/>
  <c r="C490" i="14"/>
  <c r="D491" i="6" s="1"/>
  <c r="A491" i="14"/>
  <c r="B491" i="14"/>
  <c r="D491" i="14" s="1"/>
  <c r="C491" i="14"/>
  <c r="D492" i="6" s="1"/>
  <c r="A492" i="14"/>
  <c r="B492" i="14"/>
  <c r="D492" i="14" s="1"/>
  <c r="C492" i="14"/>
  <c r="D493" i="6" s="1"/>
  <c r="A493" i="14"/>
  <c r="B493" i="14"/>
  <c r="D493" i="14" s="1"/>
  <c r="C493" i="14"/>
  <c r="D494" i="6" s="1"/>
  <c r="A494" i="14"/>
  <c r="B494" i="14"/>
  <c r="D494" i="14" s="1"/>
  <c r="C494" i="14"/>
  <c r="D495" i="6" s="1"/>
  <c r="A495" i="14"/>
  <c r="B495" i="14"/>
  <c r="D495" i="14" s="1"/>
  <c r="C495" i="14"/>
  <c r="D496" i="6" s="1"/>
  <c r="A496" i="14"/>
  <c r="B496" i="14"/>
  <c r="D496" i="14" s="1"/>
  <c r="C496" i="14"/>
  <c r="D497" i="6" s="1"/>
  <c r="A497" i="14"/>
  <c r="B497" i="14"/>
  <c r="D497" i="14" s="1"/>
  <c r="C497" i="14"/>
  <c r="D498" i="6" s="1"/>
  <c r="A498" i="14"/>
  <c r="B498" i="14"/>
  <c r="D498" i="14" s="1"/>
  <c r="C498" i="14"/>
  <c r="D499" i="6" s="1"/>
  <c r="A499" i="14"/>
  <c r="B499" i="14"/>
  <c r="D499" i="14" s="1"/>
  <c r="C499" i="14"/>
  <c r="D500" i="6" s="1"/>
  <c r="A500" i="14"/>
  <c r="B500" i="14"/>
  <c r="D500" i="14" s="1"/>
  <c r="C500" i="14"/>
  <c r="D501" i="6" s="1"/>
  <c r="A501" i="14"/>
  <c r="B501" i="14"/>
  <c r="D501" i="14" s="1"/>
  <c r="C501" i="14"/>
  <c r="D502" i="6" s="1"/>
  <c r="A502" i="14"/>
  <c r="B502" i="14"/>
  <c r="D502" i="14" s="1"/>
  <c r="C502" i="14"/>
  <c r="D503" i="6" s="1"/>
  <c r="A503" i="14"/>
  <c r="B503" i="14"/>
  <c r="D503" i="14" s="1"/>
  <c r="C503" i="14"/>
  <c r="D504" i="6" s="1"/>
  <c r="A504" i="14"/>
  <c r="B504" i="14"/>
  <c r="C504" i="14"/>
  <c r="D505" i="6" s="1"/>
  <c r="A505" i="14"/>
  <c r="B505" i="14"/>
  <c r="D505" i="14" s="1"/>
  <c r="C505" i="14"/>
  <c r="D506" i="6" s="1"/>
  <c r="A506" i="14"/>
  <c r="B506" i="14"/>
  <c r="C506" i="14"/>
  <c r="D507" i="6" s="1"/>
  <c r="A507" i="14"/>
  <c r="B507" i="14"/>
  <c r="C507" i="14"/>
  <c r="D508" i="6" s="1"/>
  <c r="A508" i="14"/>
  <c r="B508" i="14"/>
  <c r="D508" i="14" s="1"/>
  <c r="C508" i="14"/>
  <c r="D509" i="6" s="1"/>
  <c r="A509" i="14"/>
  <c r="B509" i="14"/>
  <c r="D509" i="14" s="1"/>
  <c r="C509" i="14"/>
  <c r="D510" i="6" s="1"/>
  <c r="A510" i="14"/>
  <c r="B510" i="14"/>
  <c r="D510" i="14" s="1"/>
  <c r="C510" i="14"/>
  <c r="D511" i="6" s="1"/>
  <c r="A511" i="14"/>
  <c r="B511" i="14"/>
  <c r="D511" i="14" s="1"/>
  <c r="C511" i="14"/>
  <c r="D512" i="6" s="1"/>
  <c r="A512" i="14"/>
  <c r="B512" i="14"/>
  <c r="D512" i="14" s="1"/>
  <c r="C512" i="14"/>
  <c r="D513" i="6" s="1"/>
  <c r="A513" i="14"/>
  <c r="B513" i="14"/>
  <c r="D513" i="14" s="1"/>
  <c r="C513" i="14"/>
  <c r="D514" i="6" s="1"/>
  <c r="A514" i="14"/>
  <c r="B514" i="14"/>
  <c r="D514" i="14" s="1"/>
  <c r="C514" i="14"/>
  <c r="D515" i="6" s="1"/>
  <c r="A515" i="14"/>
  <c r="B515" i="14"/>
  <c r="D515" i="14" s="1"/>
  <c r="C515" i="14"/>
  <c r="D516" i="6" s="1"/>
  <c r="A516" i="14"/>
  <c r="B516" i="14"/>
  <c r="D516" i="14" s="1"/>
  <c r="C516" i="14"/>
  <c r="D517" i="6" s="1"/>
  <c r="A517" i="14"/>
  <c r="B517" i="14"/>
  <c r="D517" i="14" s="1"/>
  <c r="C517" i="14"/>
  <c r="D518" i="6" s="1"/>
  <c r="A518" i="14"/>
  <c r="B518" i="14"/>
  <c r="D518" i="14" s="1"/>
  <c r="C518" i="14"/>
  <c r="D519" i="6" s="1"/>
  <c r="A519" i="14"/>
  <c r="B519" i="14"/>
  <c r="D519" i="14" s="1"/>
  <c r="C519" i="14"/>
  <c r="D520" i="6" s="1"/>
  <c r="A520" i="14"/>
  <c r="B520" i="14"/>
  <c r="D520" i="14" s="1"/>
  <c r="C520" i="14"/>
  <c r="D521" i="6" s="1"/>
  <c r="A521" i="14"/>
  <c r="B521" i="14"/>
  <c r="D521" i="14" s="1"/>
  <c r="C521" i="14"/>
  <c r="D522" i="6" s="1"/>
  <c r="A522" i="14"/>
  <c r="B522" i="14"/>
  <c r="D522" i="14" s="1"/>
  <c r="C522" i="14"/>
  <c r="D523" i="6" s="1"/>
  <c r="A523" i="14"/>
  <c r="B523" i="14"/>
  <c r="D523" i="14" s="1"/>
  <c r="C523" i="14"/>
  <c r="D524" i="6" s="1"/>
  <c r="A524" i="14"/>
  <c r="B524" i="14"/>
  <c r="C524" i="14"/>
  <c r="D525" i="6" s="1"/>
  <c r="A525" i="14"/>
  <c r="B525" i="14"/>
  <c r="D525" i="14" s="1"/>
  <c r="C525" i="14"/>
  <c r="D526" i="6" s="1"/>
  <c r="A526" i="14"/>
  <c r="B526" i="14"/>
  <c r="C526" i="14"/>
  <c r="D527" i="6" s="1"/>
  <c r="A527" i="14"/>
  <c r="B527" i="14"/>
  <c r="C527" i="14"/>
  <c r="D528" i="6" s="1"/>
  <c r="A528" i="14"/>
  <c r="B528" i="14"/>
  <c r="D528" i="14" s="1"/>
  <c r="C528" i="14"/>
  <c r="D529" i="6" s="1"/>
  <c r="A529" i="14"/>
  <c r="B529" i="14"/>
  <c r="D529" i="14" s="1"/>
  <c r="C529" i="14"/>
  <c r="D530" i="6" s="1"/>
  <c r="A530" i="14"/>
  <c r="B530" i="14"/>
  <c r="D530" i="14" s="1"/>
  <c r="C530" i="14"/>
  <c r="D531" i="6" s="1"/>
  <c r="A531" i="14"/>
  <c r="B531" i="14"/>
  <c r="D531" i="14" s="1"/>
  <c r="C531" i="14"/>
  <c r="D532" i="6" s="1"/>
  <c r="A532" i="14"/>
  <c r="B532" i="14"/>
  <c r="D532" i="14" s="1"/>
  <c r="C532" i="14"/>
  <c r="D533" i="6" s="1"/>
  <c r="A533" i="14"/>
  <c r="B533" i="14"/>
  <c r="D533" i="14" s="1"/>
  <c r="C533" i="14"/>
  <c r="D534" i="6" s="1"/>
  <c r="A534" i="14"/>
  <c r="B534" i="14"/>
  <c r="D534" i="14" s="1"/>
  <c r="C534" i="14"/>
  <c r="D535" i="6" s="1"/>
  <c r="A535" i="14"/>
  <c r="B535" i="14"/>
  <c r="D535" i="14" s="1"/>
  <c r="C535" i="14"/>
  <c r="D536" i="6" s="1"/>
  <c r="A536" i="14"/>
  <c r="B536" i="14"/>
  <c r="D536" i="14" s="1"/>
  <c r="C536" i="14"/>
  <c r="D537" i="6" s="1"/>
  <c r="A537" i="14"/>
  <c r="B537" i="14"/>
  <c r="D537" i="14" s="1"/>
  <c r="C537" i="14"/>
  <c r="D538" i="6" s="1"/>
  <c r="A538" i="14"/>
  <c r="B538" i="14"/>
  <c r="D538" i="14" s="1"/>
  <c r="C538" i="14"/>
  <c r="D539" i="6" s="1"/>
  <c r="A539" i="14"/>
  <c r="B539" i="14"/>
  <c r="D539" i="14" s="1"/>
  <c r="C539" i="14"/>
  <c r="D540" i="6" s="1"/>
  <c r="A540" i="14"/>
  <c r="B540" i="14"/>
  <c r="D540" i="14" s="1"/>
  <c r="C540" i="14"/>
  <c r="D541" i="6" s="1"/>
  <c r="A541" i="14"/>
  <c r="B541" i="14"/>
  <c r="D541" i="14" s="1"/>
  <c r="C541" i="14"/>
  <c r="D542" i="6" s="1"/>
  <c r="A542" i="14"/>
  <c r="B542" i="14"/>
  <c r="D542" i="14" s="1"/>
  <c r="C542" i="14"/>
  <c r="D543" i="6" s="1"/>
  <c r="A543" i="14"/>
  <c r="B543" i="14"/>
  <c r="D543" i="14" s="1"/>
  <c r="C543" i="14"/>
  <c r="D544" i="6" s="1"/>
  <c r="A544" i="14"/>
  <c r="B544" i="14"/>
  <c r="C544" i="14"/>
  <c r="D545" i="6" s="1"/>
  <c r="A545" i="14"/>
  <c r="B545" i="14"/>
  <c r="D545" i="14" s="1"/>
  <c r="C545" i="14"/>
  <c r="D546" i="6" s="1"/>
  <c r="A546" i="14"/>
  <c r="B546" i="14"/>
  <c r="C546" i="14"/>
  <c r="D547" i="6" s="1"/>
  <c r="A547" i="14"/>
  <c r="B547" i="14"/>
  <c r="C547" i="14"/>
  <c r="D548" i="6" s="1"/>
  <c r="A548" i="14"/>
  <c r="B548" i="14"/>
  <c r="D548" i="14" s="1"/>
  <c r="C548" i="14"/>
  <c r="D549" i="6" s="1"/>
  <c r="A549" i="14"/>
  <c r="B549" i="14"/>
  <c r="D549" i="14" s="1"/>
  <c r="C549" i="14"/>
  <c r="D550" i="6" s="1"/>
  <c r="A550" i="14"/>
  <c r="B550" i="14"/>
  <c r="D550" i="14" s="1"/>
  <c r="C550" i="14"/>
  <c r="D551" i="6" s="1"/>
  <c r="A551" i="14"/>
  <c r="B551" i="14"/>
  <c r="D551" i="14" s="1"/>
  <c r="C551" i="14"/>
  <c r="D552" i="6" s="1"/>
  <c r="A552" i="14"/>
  <c r="B552" i="14"/>
  <c r="D552" i="14" s="1"/>
  <c r="C552" i="14"/>
  <c r="D553" i="6" s="1"/>
  <c r="A553" i="14"/>
  <c r="B553" i="14"/>
  <c r="D553" i="14" s="1"/>
  <c r="C553" i="14"/>
  <c r="D554" i="6" s="1"/>
  <c r="A554" i="14"/>
  <c r="B554" i="14"/>
  <c r="D554" i="14" s="1"/>
  <c r="C554" i="14"/>
  <c r="D555" i="6" s="1"/>
  <c r="A555" i="14"/>
  <c r="B555" i="14"/>
  <c r="D555" i="14" s="1"/>
  <c r="C555" i="14"/>
  <c r="D556" i="6" s="1"/>
  <c r="A556" i="14"/>
  <c r="B556" i="14"/>
  <c r="D556" i="14" s="1"/>
  <c r="C556" i="14"/>
  <c r="D557" i="6" s="1"/>
  <c r="A557" i="14"/>
  <c r="B557" i="14"/>
  <c r="D557" i="14" s="1"/>
  <c r="C557" i="14"/>
  <c r="D558" i="6" s="1"/>
  <c r="A558" i="14"/>
  <c r="B558" i="14"/>
  <c r="D558" i="14" s="1"/>
  <c r="C558" i="14"/>
  <c r="D559" i="6" s="1"/>
  <c r="A559" i="14"/>
  <c r="B559" i="14"/>
  <c r="D559" i="14" s="1"/>
  <c r="C559" i="14"/>
  <c r="D560" i="6" s="1"/>
  <c r="A560" i="14"/>
  <c r="B560" i="14"/>
  <c r="D560" i="14" s="1"/>
  <c r="C560" i="14"/>
  <c r="D561" i="6" s="1"/>
  <c r="A561" i="14"/>
  <c r="B561" i="14"/>
  <c r="D561" i="14" s="1"/>
  <c r="C561" i="14"/>
  <c r="D562" i="6" s="1"/>
  <c r="A562" i="14"/>
  <c r="B562" i="14"/>
  <c r="D562" i="14" s="1"/>
  <c r="C562" i="14"/>
  <c r="D563" i="6" s="1"/>
  <c r="A563" i="14"/>
  <c r="B563" i="14"/>
  <c r="D563" i="14" s="1"/>
  <c r="C563" i="14"/>
  <c r="D564" i="6" s="1"/>
  <c r="A564" i="14"/>
  <c r="B564" i="14"/>
  <c r="C564" i="14"/>
  <c r="D565" i="6" s="1"/>
  <c r="A565" i="14"/>
  <c r="B565" i="14"/>
  <c r="D565" i="14" s="1"/>
  <c r="C565" i="14"/>
  <c r="D566" i="6" s="1"/>
  <c r="A566" i="14"/>
  <c r="B566" i="14"/>
  <c r="C566" i="14"/>
  <c r="D567" i="6" s="1"/>
  <c r="A567" i="14"/>
  <c r="B567" i="14"/>
  <c r="C567" i="14"/>
  <c r="D568" i="6" s="1"/>
  <c r="A568" i="14"/>
  <c r="B568" i="14"/>
  <c r="D568" i="14" s="1"/>
  <c r="C568" i="14"/>
  <c r="D569" i="6" s="1"/>
  <c r="A569" i="14"/>
  <c r="B569" i="14"/>
  <c r="D569" i="14" s="1"/>
  <c r="C569" i="14"/>
  <c r="D570" i="6" s="1"/>
  <c r="A570" i="14"/>
  <c r="B570" i="14"/>
  <c r="D570" i="14" s="1"/>
  <c r="C570" i="14"/>
  <c r="D571" i="6" s="1"/>
  <c r="A571" i="14"/>
  <c r="B571" i="14"/>
  <c r="D571" i="14" s="1"/>
  <c r="C571" i="14"/>
  <c r="D572" i="6" s="1"/>
  <c r="A572" i="14"/>
  <c r="B572" i="14"/>
  <c r="D572" i="14" s="1"/>
  <c r="C572" i="14"/>
  <c r="D573" i="6" s="1"/>
  <c r="A573" i="14"/>
  <c r="B573" i="14"/>
  <c r="D573" i="14" s="1"/>
  <c r="C573" i="14"/>
  <c r="D574" i="6" s="1"/>
  <c r="A574" i="14"/>
  <c r="B574" i="14"/>
  <c r="D574" i="14" s="1"/>
  <c r="C574" i="14"/>
  <c r="D575" i="6" s="1"/>
  <c r="A575" i="14"/>
  <c r="B575" i="14"/>
  <c r="D575" i="14" s="1"/>
  <c r="C575" i="14"/>
  <c r="D576" i="6" s="1"/>
  <c r="A576" i="14"/>
  <c r="B576" i="14"/>
  <c r="D576" i="14" s="1"/>
  <c r="C576" i="14"/>
  <c r="D577" i="6" s="1"/>
  <c r="A577" i="14"/>
  <c r="B577" i="14"/>
  <c r="D577" i="14" s="1"/>
  <c r="C577" i="14"/>
  <c r="D578" i="6" s="1"/>
  <c r="A578" i="14"/>
  <c r="B578" i="14"/>
  <c r="D578" i="14" s="1"/>
  <c r="C578" i="14"/>
  <c r="D579" i="6" s="1"/>
  <c r="A579" i="14"/>
  <c r="B579" i="14"/>
  <c r="D579" i="14" s="1"/>
  <c r="A580" i="14"/>
  <c r="B580" i="14"/>
  <c r="D580" i="14" s="1"/>
  <c r="A581" i="14"/>
  <c r="B581" i="14"/>
  <c r="D581" i="14" s="1"/>
  <c r="A582" i="14"/>
  <c r="B582" i="14"/>
  <c r="D582" i="14" s="1"/>
  <c r="A28" i="14"/>
  <c r="B28" i="14"/>
  <c r="C28" i="14"/>
  <c r="D29" i="6" s="1"/>
  <c r="E29" i="6" s="1"/>
  <c r="F29" i="6" s="1"/>
  <c r="K29" i="6" s="1"/>
  <c r="A29" i="14"/>
  <c r="B29" i="14"/>
  <c r="D29" i="14" s="1"/>
  <c r="C29" i="14"/>
  <c r="D30" i="6" s="1"/>
  <c r="E30" i="6" s="1"/>
  <c r="F30" i="6" s="1"/>
  <c r="K30" i="6" s="1"/>
  <c r="A30" i="14"/>
  <c r="B30" i="14"/>
  <c r="D30" i="14" s="1"/>
  <c r="C30" i="14"/>
  <c r="D31" i="6" s="1"/>
  <c r="E31" i="6" s="1"/>
  <c r="F31" i="6" s="1"/>
  <c r="A31" i="14"/>
  <c r="B31" i="14"/>
  <c r="D31" i="14" s="1"/>
  <c r="C31" i="14"/>
  <c r="D32" i="6" s="1"/>
  <c r="E32" i="6" s="1"/>
  <c r="F32" i="6" s="1"/>
  <c r="A32" i="14"/>
  <c r="B32" i="14"/>
  <c r="D32" i="14" s="1"/>
  <c r="C32" i="14"/>
  <c r="D33" i="6" s="1"/>
  <c r="E33" i="6" s="1"/>
  <c r="F33" i="6" s="1"/>
  <c r="A33" i="14"/>
  <c r="B33" i="14"/>
  <c r="D33" i="14" s="1"/>
  <c r="C33" i="14"/>
  <c r="D34" i="6" s="1"/>
  <c r="E34" i="6" s="1"/>
  <c r="F34" i="6" s="1"/>
  <c r="A34" i="14"/>
  <c r="B34" i="14"/>
  <c r="D34" i="14" s="1"/>
  <c r="C34" i="14"/>
  <c r="D35" i="6" s="1"/>
  <c r="E35" i="6" s="1"/>
  <c r="F35" i="6" s="1"/>
  <c r="K35" i="6" s="1"/>
  <c r="A35" i="14"/>
  <c r="B35" i="14"/>
  <c r="D35" i="14" s="1"/>
  <c r="C35" i="14"/>
  <c r="D36" i="6" s="1"/>
  <c r="E36" i="6" s="1"/>
  <c r="F36" i="6" s="1"/>
  <c r="A36" i="14"/>
  <c r="B36" i="14"/>
  <c r="D36" i="14" s="1"/>
  <c r="C36" i="14"/>
  <c r="D37" i="6" s="1"/>
  <c r="E37" i="6" s="1"/>
  <c r="F37" i="6" s="1"/>
  <c r="A37" i="14"/>
  <c r="B37" i="14"/>
  <c r="D37" i="14" s="1"/>
  <c r="C37" i="14"/>
  <c r="D38" i="6" s="1"/>
  <c r="E38" i="6" s="1"/>
  <c r="F38" i="6" s="1"/>
  <c r="A38" i="14"/>
  <c r="B38" i="14"/>
  <c r="D38" i="14" s="1"/>
  <c r="C38" i="14"/>
  <c r="D39" i="6" s="1"/>
  <c r="E39" i="6" s="1"/>
  <c r="F39" i="6" s="1"/>
  <c r="A39" i="14"/>
  <c r="B39" i="14"/>
  <c r="D39" i="14" s="1"/>
  <c r="C39" i="14"/>
  <c r="D40" i="6" s="1"/>
  <c r="E40" i="6" s="1"/>
  <c r="F40" i="6" s="1"/>
  <c r="A40" i="14"/>
  <c r="B40" i="14"/>
  <c r="D40" i="14" s="1"/>
  <c r="C40" i="14"/>
  <c r="D41" i="6" s="1"/>
  <c r="E41" i="6" s="1"/>
  <c r="F41" i="6" s="1"/>
  <c r="K41" i="6" s="1"/>
  <c r="A41" i="14"/>
  <c r="B41" i="14"/>
  <c r="D41" i="14" s="1"/>
  <c r="C41" i="14"/>
  <c r="D42" i="6" s="1"/>
  <c r="E42" i="6" s="1"/>
  <c r="F42" i="6" s="1"/>
  <c r="A42" i="14"/>
  <c r="B42" i="14"/>
  <c r="C42" i="14"/>
  <c r="D43" i="6" s="1"/>
  <c r="E43" i="6" s="1"/>
  <c r="F43" i="6" s="1"/>
  <c r="A43" i="14"/>
  <c r="B43" i="14"/>
  <c r="C43" i="14"/>
  <c r="D44" i="6" s="1"/>
  <c r="E44" i="6" s="1"/>
  <c r="F44" i="6" s="1"/>
  <c r="A44" i="14"/>
  <c r="B44" i="14"/>
  <c r="C44" i="14"/>
  <c r="D45" i="6" s="1"/>
  <c r="E45" i="6" s="1"/>
  <c r="F45" i="6" s="1"/>
  <c r="A45" i="14"/>
  <c r="B45" i="14"/>
  <c r="D45" i="14" s="1"/>
  <c r="C45" i="14"/>
  <c r="D46" i="6" s="1"/>
  <c r="E46" i="6" s="1"/>
  <c r="F46" i="6" s="1"/>
  <c r="A46" i="14"/>
  <c r="B46" i="14"/>
  <c r="D46" i="14" s="1"/>
  <c r="C46" i="14"/>
  <c r="D47" i="6" s="1"/>
  <c r="E47" i="6" s="1"/>
  <c r="F47" i="6" s="1"/>
  <c r="A47" i="14"/>
  <c r="B47" i="14"/>
  <c r="C47" i="14"/>
  <c r="D48" i="6" s="1"/>
  <c r="E48" i="6" s="1"/>
  <c r="F48" i="6" s="1"/>
  <c r="A48" i="14"/>
  <c r="B48" i="14"/>
  <c r="C48" i="14"/>
  <c r="D49" i="6" s="1"/>
  <c r="E49" i="6" s="1"/>
  <c r="F49" i="6" s="1"/>
  <c r="A49" i="14"/>
  <c r="B49" i="14"/>
  <c r="D49" i="14" s="1"/>
  <c r="C49" i="14"/>
  <c r="D50" i="6" s="1"/>
  <c r="E50" i="6" s="1"/>
  <c r="F50" i="6" s="1"/>
  <c r="A50" i="14"/>
  <c r="B50" i="14"/>
  <c r="D50" i="14" s="1"/>
  <c r="C50" i="14"/>
  <c r="D51" i="6" s="1"/>
  <c r="E51" i="6" s="1"/>
  <c r="F51" i="6" s="1"/>
  <c r="A51" i="14"/>
  <c r="B51" i="14"/>
  <c r="D51" i="14" s="1"/>
  <c r="C51" i="14"/>
  <c r="D52" i="6" s="1"/>
  <c r="E52" i="6" s="1"/>
  <c r="F52" i="6" s="1"/>
  <c r="A52" i="14"/>
  <c r="B52" i="14"/>
  <c r="D52" i="14" s="1"/>
  <c r="C52" i="14"/>
  <c r="D53" i="6" s="1"/>
  <c r="E53" i="6" s="1"/>
  <c r="F53" i="6" s="1"/>
  <c r="K53" i="6" s="1"/>
  <c r="A53" i="14"/>
  <c r="B53" i="14"/>
  <c r="D53" i="14" s="1"/>
  <c r="C53" i="14"/>
  <c r="D54" i="6" s="1"/>
  <c r="E54" i="6" s="1"/>
  <c r="F54" i="6" s="1"/>
  <c r="A54" i="14"/>
  <c r="B54" i="14"/>
  <c r="D54" i="14" s="1"/>
  <c r="C54" i="14"/>
  <c r="D55" i="6" s="1"/>
  <c r="E55" i="6" s="1"/>
  <c r="F55" i="6" s="1"/>
  <c r="K55" i="6" s="1"/>
  <c r="A55" i="14"/>
  <c r="B55" i="14"/>
  <c r="D55" i="14" s="1"/>
  <c r="C55" i="14"/>
  <c r="D56" i="6" s="1"/>
  <c r="E56" i="6" s="1"/>
  <c r="F56" i="6" s="1"/>
  <c r="A56" i="14"/>
  <c r="B56" i="14"/>
  <c r="D56" i="14" s="1"/>
  <c r="C56" i="14"/>
  <c r="D57" i="6" s="1"/>
  <c r="E57" i="6" s="1"/>
  <c r="F57" i="6" s="1"/>
  <c r="A57" i="14"/>
  <c r="B57" i="14"/>
  <c r="D57" i="14" s="1"/>
  <c r="C57" i="14"/>
  <c r="D58" i="6" s="1"/>
  <c r="E58" i="6" s="1"/>
  <c r="F58" i="6" s="1"/>
  <c r="K58" i="6" s="1"/>
  <c r="A58" i="14"/>
  <c r="B58" i="14"/>
  <c r="D58" i="14" s="1"/>
  <c r="C58" i="14"/>
  <c r="D59" i="6" s="1"/>
  <c r="E59" i="6" s="1"/>
  <c r="F59" i="6" s="1"/>
  <c r="A59" i="14"/>
  <c r="B59" i="14"/>
  <c r="D59" i="14" s="1"/>
  <c r="C59" i="14"/>
  <c r="D60" i="6" s="1"/>
  <c r="E60" i="6" s="1"/>
  <c r="F60" i="6" s="1"/>
  <c r="A60" i="14"/>
  <c r="B60" i="14"/>
  <c r="D60" i="14" s="1"/>
  <c r="C60" i="14"/>
  <c r="D61" i="6" s="1"/>
  <c r="E61" i="6" s="1"/>
  <c r="F61" i="6" s="1"/>
  <c r="A61" i="14"/>
  <c r="B61" i="14"/>
  <c r="D61" i="14" s="1"/>
  <c r="C61" i="14"/>
  <c r="D62" i="6" s="1"/>
  <c r="E62" i="6" s="1"/>
  <c r="F62" i="6" s="1"/>
  <c r="A62" i="14"/>
  <c r="B62" i="14"/>
  <c r="C62" i="14"/>
  <c r="D63" i="6" s="1"/>
  <c r="E63" i="6" s="1"/>
  <c r="F63" i="6" s="1"/>
  <c r="A63" i="14"/>
  <c r="B63" i="14"/>
  <c r="C63" i="14"/>
  <c r="D64" i="6" s="1"/>
  <c r="E64" i="6" s="1"/>
  <c r="F64" i="6" s="1"/>
  <c r="A64" i="14"/>
  <c r="B64" i="14"/>
  <c r="C64" i="14"/>
  <c r="D65" i="6" s="1"/>
  <c r="E65" i="6" s="1"/>
  <c r="F65" i="6" s="1"/>
  <c r="A65" i="14"/>
  <c r="B65" i="14"/>
  <c r="D65" i="14" s="1"/>
  <c r="C65" i="14"/>
  <c r="D66" i="6" s="1"/>
  <c r="E66" i="6" s="1"/>
  <c r="F66" i="6" s="1"/>
  <c r="A66" i="14"/>
  <c r="B66" i="14"/>
  <c r="D66" i="14" s="1"/>
  <c r="C66" i="14"/>
  <c r="D67" i="6" s="1"/>
  <c r="E67" i="6" s="1"/>
  <c r="F67" i="6" s="1"/>
  <c r="A67" i="14"/>
  <c r="B67" i="14"/>
  <c r="C67" i="14"/>
  <c r="D68" i="6" s="1"/>
  <c r="E68" i="6" s="1"/>
  <c r="F68" i="6" s="1"/>
  <c r="A68" i="14"/>
  <c r="B68" i="14"/>
  <c r="C68" i="14"/>
  <c r="D69" i="6" s="1"/>
  <c r="E69" i="6" s="1"/>
  <c r="F69" i="6" s="1"/>
  <c r="A69" i="14"/>
  <c r="B69" i="14"/>
  <c r="D69" i="14" s="1"/>
  <c r="C69" i="14"/>
  <c r="D70" i="6" s="1"/>
  <c r="E70" i="6" s="1"/>
  <c r="F70" i="6" s="1"/>
  <c r="A70" i="14"/>
  <c r="B70" i="14"/>
  <c r="D70" i="14" s="1"/>
  <c r="C70" i="14"/>
  <c r="D71" i="6" s="1"/>
  <c r="E71" i="6" s="1"/>
  <c r="F71" i="6" s="1"/>
  <c r="A71" i="14"/>
  <c r="B71" i="14"/>
  <c r="D71" i="14" s="1"/>
  <c r="C71" i="14"/>
  <c r="D72" i="6" s="1"/>
  <c r="E72" i="6" s="1"/>
  <c r="F72" i="6" s="1"/>
  <c r="A72" i="14"/>
  <c r="B72" i="14"/>
  <c r="D72" i="14" s="1"/>
  <c r="C72" i="14"/>
  <c r="D73" i="6" s="1"/>
  <c r="E73" i="6" s="1"/>
  <c r="F73" i="6" s="1"/>
  <c r="A73" i="14"/>
  <c r="B73" i="14"/>
  <c r="D73" i="14" s="1"/>
  <c r="C73" i="14"/>
  <c r="D74" i="6" s="1"/>
  <c r="E74" i="6" s="1"/>
  <c r="F74" i="6" s="1"/>
  <c r="A74" i="14"/>
  <c r="B74" i="14"/>
  <c r="D74" i="14" s="1"/>
  <c r="C74" i="14"/>
  <c r="D75" i="6" s="1"/>
  <c r="E75" i="6" s="1"/>
  <c r="F75" i="6" s="1"/>
  <c r="A75" i="14"/>
  <c r="B75" i="14"/>
  <c r="D75" i="14" s="1"/>
  <c r="C75" i="14"/>
  <c r="D76" i="6" s="1"/>
  <c r="E76" i="6" s="1"/>
  <c r="F76" i="6" s="1"/>
  <c r="A76" i="14"/>
  <c r="B76" i="14"/>
  <c r="D76" i="14" s="1"/>
  <c r="C76" i="14"/>
  <c r="D77" i="6" s="1"/>
  <c r="E77" i="6" s="1"/>
  <c r="F77" i="6" s="1"/>
  <c r="K77" i="6" s="1"/>
  <c r="A77" i="14"/>
  <c r="B77" i="14"/>
  <c r="D77" i="14" s="1"/>
  <c r="C77" i="14"/>
  <c r="D78" i="6" s="1"/>
  <c r="E78" i="6" s="1"/>
  <c r="F78" i="6" s="1"/>
  <c r="A78" i="14"/>
  <c r="B78" i="14"/>
  <c r="D78" i="14" s="1"/>
  <c r="C78" i="14"/>
  <c r="D79" i="6" s="1"/>
  <c r="E79" i="6" s="1"/>
  <c r="F79" i="6" s="1"/>
  <c r="A79" i="14"/>
  <c r="B79" i="14"/>
  <c r="D79" i="14" s="1"/>
  <c r="C79" i="14"/>
  <c r="D80" i="6" s="1"/>
  <c r="E80" i="6" s="1"/>
  <c r="F80" i="6" s="1"/>
  <c r="A80" i="14"/>
  <c r="B80" i="14"/>
  <c r="D80" i="14" s="1"/>
  <c r="C80" i="14"/>
  <c r="D81" i="6" s="1"/>
  <c r="E81" i="6" s="1"/>
  <c r="F81" i="6" s="1"/>
  <c r="A81" i="14"/>
  <c r="B81" i="14"/>
  <c r="D81" i="14" s="1"/>
  <c r="C81" i="14"/>
  <c r="D82" i="6" s="1"/>
  <c r="E82" i="6" s="1"/>
  <c r="F82" i="6" s="1"/>
  <c r="A82" i="14"/>
  <c r="B82" i="14"/>
  <c r="C82" i="14"/>
  <c r="D83" i="6" s="1"/>
  <c r="E83" i="6" s="1"/>
  <c r="F83" i="6" s="1"/>
  <c r="A83" i="14"/>
  <c r="B83" i="14"/>
  <c r="C83" i="14"/>
  <c r="D84" i="6" s="1"/>
  <c r="E84" i="6" s="1"/>
  <c r="F84" i="6" s="1"/>
  <c r="H84" i="6" s="1"/>
  <c r="A84" i="14"/>
  <c r="B84" i="14"/>
  <c r="C84" i="14"/>
  <c r="D85" i="6" s="1"/>
  <c r="E85" i="6" s="1"/>
  <c r="F85" i="6" s="1"/>
  <c r="A85" i="14"/>
  <c r="B85" i="14"/>
  <c r="D85" i="14" s="1"/>
  <c r="C85" i="14"/>
  <c r="D86" i="6" s="1"/>
  <c r="E86" i="6" s="1"/>
  <c r="F86" i="6" s="1"/>
  <c r="A86" i="14"/>
  <c r="B86" i="14"/>
  <c r="D86" i="14" s="1"/>
  <c r="C86" i="14"/>
  <c r="D87" i="6" s="1"/>
  <c r="E87" i="6" s="1"/>
  <c r="F87" i="6" s="1"/>
  <c r="A87" i="14"/>
  <c r="B87" i="14"/>
  <c r="C87" i="14"/>
  <c r="D88" i="6" s="1"/>
  <c r="E88" i="6" s="1"/>
  <c r="F88" i="6" s="1"/>
  <c r="A88" i="14"/>
  <c r="B88" i="14"/>
  <c r="C88" i="14"/>
  <c r="D89" i="6" s="1"/>
  <c r="E89" i="6" s="1"/>
  <c r="F89" i="6" s="1"/>
  <c r="A89" i="14"/>
  <c r="B89" i="14"/>
  <c r="D89" i="14" s="1"/>
  <c r="C89" i="14"/>
  <c r="D90" i="6" s="1"/>
  <c r="E90" i="6" s="1"/>
  <c r="F90" i="6" s="1"/>
  <c r="A90" i="14"/>
  <c r="B90" i="14"/>
  <c r="D90" i="14" s="1"/>
  <c r="C90" i="14"/>
  <c r="D91" i="6" s="1"/>
  <c r="E91" i="6" s="1"/>
  <c r="F91" i="6" s="1"/>
  <c r="A91" i="14"/>
  <c r="B91" i="14"/>
  <c r="C91" i="14"/>
  <c r="D92" i="6" s="1"/>
  <c r="E92" i="6" s="1"/>
  <c r="F92" i="6" s="1"/>
  <c r="A92" i="14"/>
  <c r="B92" i="14"/>
  <c r="D92" i="14" s="1"/>
  <c r="C92" i="14"/>
  <c r="D93" i="6" s="1"/>
  <c r="E93" i="6" s="1"/>
  <c r="F93" i="6" s="1"/>
  <c r="A93" i="14"/>
  <c r="B93" i="14"/>
  <c r="D93" i="14" s="1"/>
  <c r="C93" i="14"/>
  <c r="D94" i="6" s="1"/>
  <c r="E94" i="6" s="1"/>
  <c r="F94" i="6" s="1"/>
  <c r="A94" i="14"/>
  <c r="B94" i="14"/>
  <c r="D94" i="14" s="1"/>
  <c r="C94" i="14"/>
  <c r="D95" i="6" s="1"/>
  <c r="E95" i="6" s="1"/>
  <c r="F95" i="6" s="1"/>
  <c r="A95" i="14"/>
  <c r="B95" i="14"/>
  <c r="E95" i="14" s="1"/>
  <c r="C95" i="14"/>
  <c r="D96" i="6" s="1"/>
  <c r="E96" i="6" s="1"/>
  <c r="F96" i="6" s="1"/>
  <c r="A96" i="14"/>
  <c r="B96" i="14"/>
  <c r="D96" i="14" s="1"/>
  <c r="C96" i="14"/>
  <c r="D97" i="6" s="1"/>
  <c r="E97" i="6" s="1"/>
  <c r="F97" i="6" s="1"/>
  <c r="K97" i="6" s="1"/>
  <c r="A97" i="14"/>
  <c r="B97" i="14"/>
  <c r="D97" i="14" s="1"/>
  <c r="C97" i="14"/>
  <c r="D98" i="6" s="1"/>
  <c r="E98" i="6" s="1"/>
  <c r="F98" i="6" s="1"/>
  <c r="A98" i="14"/>
  <c r="B98" i="14"/>
  <c r="D98" i="14" s="1"/>
  <c r="C98" i="14"/>
  <c r="D99" i="6" s="1"/>
  <c r="E99" i="6" s="1"/>
  <c r="F99" i="6" s="1"/>
  <c r="A99" i="14"/>
  <c r="B99" i="14"/>
  <c r="D99" i="14" s="1"/>
  <c r="C99" i="14"/>
  <c r="D100" i="6" s="1"/>
  <c r="E100" i="6" s="1"/>
  <c r="F100" i="6" s="1"/>
  <c r="A100" i="14"/>
  <c r="B100" i="14"/>
  <c r="D100" i="14" s="1"/>
  <c r="C100" i="14"/>
  <c r="D101" i="6" s="1"/>
  <c r="E101" i="6" s="1"/>
  <c r="F101" i="6" s="1"/>
  <c r="K101" i="6" s="1"/>
  <c r="A101" i="14"/>
  <c r="B101" i="14"/>
  <c r="D101" i="14" s="1"/>
  <c r="C101" i="14"/>
  <c r="D102" i="6" s="1"/>
  <c r="E102" i="6" s="1"/>
  <c r="F102" i="6" s="1"/>
  <c r="A102" i="14"/>
  <c r="B102" i="14"/>
  <c r="C102" i="14"/>
  <c r="D103" i="6" s="1"/>
  <c r="E103" i="6" s="1"/>
  <c r="F103" i="6" s="1"/>
  <c r="A103" i="14"/>
  <c r="B103" i="14"/>
  <c r="C103" i="14"/>
  <c r="D104" i="6" s="1"/>
  <c r="E104" i="6" s="1"/>
  <c r="F104" i="6" s="1"/>
  <c r="A104" i="14"/>
  <c r="B104" i="14"/>
  <c r="C104" i="14"/>
  <c r="D105" i="6" s="1"/>
  <c r="E105" i="6" s="1"/>
  <c r="F105" i="6" s="1"/>
  <c r="A105" i="14"/>
  <c r="B105" i="14"/>
  <c r="D105" i="14" s="1"/>
  <c r="C105" i="14"/>
  <c r="D106" i="6" s="1"/>
  <c r="E106" i="6" s="1"/>
  <c r="F106" i="6" s="1"/>
  <c r="K106" i="6" s="1"/>
  <c r="A106" i="14"/>
  <c r="B106" i="14"/>
  <c r="D106" i="14" s="1"/>
  <c r="C106" i="14"/>
  <c r="D107" i="6" s="1"/>
  <c r="E107" i="6" s="1"/>
  <c r="F107" i="6" s="1"/>
  <c r="A107" i="14"/>
  <c r="B107" i="14"/>
  <c r="C107" i="14"/>
  <c r="D108" i="6" s="1"/>
  <c r="E108" i="6" s="1"/>
  <c r="F108" i="6" s="1"/>
  <c r="K108" i="6" s="1"/>
  <c r="A108" i="14"/>
  <c r="B108" i="14"/>
  <c r="C108" i="14"/>
  <c r="D109" i="6" s="1"/>
  <c r="E109" i="6" s="1"/>
  <c r="F109" i="6" s="1"/>
  <c r="A109" i="14"/>
  <c r="B109" i="14"/>
  <c r="D109" i="14" s="1"/>
  <c r="C109" i="14"/>
  <c r="D110" i="6" s="1"/>
  <c r="E110" i="6" s="1"/>
  <c r="F110" i="6" s="1"/>
  <c r="A110" i="14"/>
  <c r="B110" i="14"/>
  <c r="D110" i="14" s="1"/>
  <c r="C110" i="14"/>
  <c r="D111" i="6" s="1"/>
  <c r="E111" i="6" s="1"/>
  <c r="F111" i="6" s="1"/>
  <c r="A111" i="14"/>
  <c r="B111" i="14"/>
  <c r="C111" i="14"/>
  <c r="D112" i="6" s="1"/>
  <c r="E112" i="6" s="1"/>
  <c r="F112" i="6" s="1"/>
  <c r="H112" i="6" s="1"/>
  <c r="A112" i="14"/>
  <c r="B112" i="14"/>
  <c r="C112" i="14"/>
  <c r="D113" i="6" s="1"/>
  <c r="E113" i="6" s="1"/>
  <c r="F113" i="6" s="1"/>
  <c r="A113" i="14"/>
  <c r="B113" i="14"/>
  <c r="D113" i="14" s="1"/>
  <c r="C113" i="14"/>
  <c r="D114" i="6" s="1"/>
  <c r="E114" i="6" s="1"/>
  <c r="F114" i="6" s="1"/>
  <c r="A114" i="14"/>
  <c r="B114" i="14"/>
  <c r="D114" i="14" s="1"/>
  <c r="C114" i="14"/>
  <c r="D115" i="6" s="1"/>
  <c r="E115" i="6" s="1"/>
  <c r="F115" i="6" s="1"/>
  <c r="A115" i="14"/>
  <c r="B115" i="14"/>
  <c r="D115" i="14" s="1"/>
  <c r="C115" i="14"/>
  <c r="D116" i="6" s="1"/>
  <c r="E116" i="6" s="1"/>
  <c r="F116" i="6" s="1"/>
  <c r="A116" i="14"/>
  <c r="B116" i="14"/>
  <c r="D116" i="14" s="1"/>
  <c r="C116" i="14"/>
  <c r="D117" i="6" s="1"/>
  <c r="E117" i="6" s="1"/>
  <c r="F117" i="6" s="1"/>
  <c r="A117" i="14"/>
  <c r="B117" i="14"/>
  <c r="D117" i="14" s="1"/>
  <c r="C117" i="14"/>
  <c r="D118" i="6" s="1"/>
  <c r="E118" i="6" s="1"/>
  <c r="F118" i="6" s="1"/>
  <c r="A118" i="14"/>
  <c r="B118" i="14"/>
  <c r="D118" i="14" s="1"/>
  <c r="C118" i="14"/>
  <c r="D119" i="6" s="1"/>
  <c r="E119" i="6" s="1"/>
  <c r="F119" i="6" s="1"/>
  <c r="A119" i="14"/>
  <c r="B119" i="14"/>
  <c r="D119" i="14" s="1"/>
  <c r="C119" i="14"/>
  <c r="D120" i="6" s="1"/>
  <c r="E120" i="6" s="1"/>
  <c r="F120" i="6" s="1"/>
  <c r="A120" i="14"/>
  <c r="B120" i="14"/>
  <c r="D120" i="14" s="1"/>
  <c r="C120" i="14"/>
  <c r="D121" i="6" s="1"/>
  <c r="E121" i="6" s="1"/>
  <c r="F121" i="6" s="1"/>
  <c r="K121" i="6" s="1"/>
  <c r="A121" i="14"/>
  <c r="B121" i="14"/>
  <c r="D121" i="14" s="1"/>
  <c r="C121" i="14"/>
  <c r="D122" i="6" s="1"/>
  <c r="E122" i="6" s="1"/>
  <c r="F122" i="6" s="1"/>
  <c r="A122" i="14"/>
  <c r="B122" i="14"/>
  <c r="C122" i="14"/>
  <c r="D123" i="6" s="1"/>
  <c r="E123" i="6" s="1"/>
  <c r="F123" i="6" s="1"/>
  <c r="A123" i="14"/>
  <c r="B123" i="14"/>
  <c r="C123" i="14"/>
  <c r="D124" i="6" s="1"/>
  <c r="E124" i="6" s="1"/>
  <c r="F124" i="6" s="1"/>
  <c r="A124" i="14"/>
  <c r="B124" i="14"/>
  <c r="C124" i="14"/>
  <c r="D125" i="6" s="1"/>
  <c r="E125" i="6" s="1"/>
  <c r="F125" i="6" s="1"/>
  <c r="A125" i="14"/>
  <c r="B125" i="14"/>
  <c r="D125" i="14" s="1"/>
  <c r="C125" i="14"/>
  <c r="D126" i="6" s="1"/>
  <c r="E126" i="6" s="1"/>
  <c r="F126" i="6" s="1"/>
  <c r="A126" i="14"/>
  <c r="B126" i="14"/>
  <c r="D126" i="14" s="1"/>
  <c r="C126" i="14"/>
  <c r="D127" i="6" s="1"/>
  <c r="E127" i="6" s="1"/>
  <c r="F127" i="6" s="1"/>
  <c r="A127" i="14"/>
  <c r="B127" i="14"/>
  <c r="C127" i="14"/>
  <c r="D128" i="6" s="1"/>
  <c r="E128" i="6" s="1"/>
  <c r="F128" i="6" s="1"/>
  <c r="A128" i="14"/>
  <c r="B128" i="14"/>
  <c r="C128" i="14"/>
  <c r="D129" i="6" s="1"/>
  <c r="E129" i="6" s="1"/>
  <c r="F129" i="6" s="1"/>
  <c r="K129" i="6" s="1"/>
  <c r="A129" i="14"/>
  <c r="B129" i="14"/>
  <c r="D129" i="14" s="1"/>
  <c r="C129" i="14"/>
  <c r="D130" i="6" s="1"/>
  <c r="E130" i="6" s="1"/>
  <c r="F130" i="6" s="1"/>
  <c r="H130" i="6" s="1"/>
  <c r="A2" i="14"/>
  <c r="B2" i="14"/>
  <c r="C2" i="14"/>
  <c r="A3" i="14"/>
  <c r="B3" i="14"/>
  <c r="C3" i="14"/>
  <c r="A4" i="14"/>
  <c r="B4" i="14"/>
  <c r="D4" i="14" s="1"/>
  <c r="C4" i="14"/>
  <c r="A5" i="14"/>
  <c r="B5" i="14"/>
  <c r="D5" i="14" s="1"/>
  <c r="C5" i="14"/>
  <c r="A6" i="14"/>
  <c r="B6" i="14"/>
  <c r="C6" i="14"/>
  <c r="A7" i="14"/>
  <c r="B7" i="14"/>
  <c r="C7" i="14"/>
  <c r="A8" i="14"/>
  <c r="B8" i="14"/>
  <c r="C8" i="14"/>
  <c r="A9" i="14"/>
  <c r="B9" i="14"/>
  <c r="D9" i="14" s="1"/>
  <c r="C9" i="14"/>
  <c r="A10" i="14"/>
  <c r="B10" i="14"/>
  <c r="D10" i="14" s="1"/>
  <c r="C10" i="14"/>
  <c r="A11" i="14"/>
  <c r="B11" i="14"/>
  <c r="D11" i="14" s="1"/>
  <c r="C11" i="14"/>
  <c r="A12" i="14"/>
  <c r="B12" i="14"/>
  <c r="D12" i="14" s="1"/>
  <c r="C12" i="14"/>
  <c r="A13" i="14"/>
  <c r="B13" i="14"/>
  <c r="D13" i="14" s="1"/>
  <c r="C13" i="14"/>
  <c r="A14" i="14"/>
  <c r="B14" i="14"/>
  <c r="D14" i="14" s="1"/>
  <c r="C14" i="14"/>
  <c r="A15" i="14"/>
  <c r="B15" i="14"/>
  <c r="D15" i="14" s="1"/>
  <c r="C15" i="14"/>
  <c r="A16" i="14"/>
  <c r="B16" i="14"/>
  <c r="D16" i="14" s="1"/>
  <c r="C16" i="14"/>
  <c r="D17" i="6" s="1"/>
  <c r="E17" i="6" s="1"/>
  <c r="F17" i="6" s="1"/>
  <c r="A17" i="14"/>
  <c r="B17" i="14"/>
  <c r="D17" i="14" s="1"/>
  <c r="C17" i="14"/>
  <c r="D18" i="6" s="1"/>
  <c r="E18" i="6" s="1"/>
  <c r="F18" i="6" s="1"/>
  <c r="H18" i="6" s="1"/>
  <c r="A18" i="14"/>
  <c r="B18" i="14"/>
  <c r="D18" i="14" s="1"/>
  <c r="C18" i="14"/>
  <c r="D19" i="6" s="1"/>
  <c r="E19" i="6" s="1"/>
  <c r="F19" i="6" s="1"/>
  <c r="K19" i="6" s="1"/>
  <c r="A19" i="14"/>
  <c r="B19" i="14"/>
  <c r="D19" i="14" s="1"/>
  <c r="C19" i="14"/>
  <c r="D20" i="6" s="1"/>
  <c r="E20" i="6" s="1"/>
  <c r="F20" i="6" s="1"/>
  <c r="A20" i="14"/>
  <c r="B20" i="14"/>
  <c r="D20" i="14" s="1"/>
  <c r="C20" i="14"/>
  <c r="D21" i="6" s="1"/>
  <c r="E21" i="6" s="1"/>
  <c r="F21" i="6" s="1"/>
  <c r="A21" i="14"/>
  <c r="B21" i="14"/>
  <c r="D21" i="14" s="1"/>
  <c r="C21" i="14"/>
  <c r="D22" i="6" s="1"/>
  <c r="E22" i="6" s="1"/>
  <c r="F22" i="6" s="1"/>
  <c r="A22" i="14"/>
  <c r="B22" i="14"/>
  <c r="C22" i="14"/>
  <c r="D23" i="6" s="1"/>
  <c r="E23" i="6" s="1"/>
  <c r="F23" i="6" s="1"/>
  <c r="A23" i="14"/>
  <c r="B23" i="14"/>
  <c r="C23" i="14"/>
  <c r="D24" i="6" s="1"/>
  <c r="E24" i="6" s="1"/>
  <c r="F24" i="6" s="1"/>
  <c r="A24" i="14"/>
  <c r="B24" i="14"/>
  <c r="D24" i="14" s="1"/>
  <c r="C24" i="14"/>
  <c r="D25" i="6" s="1"/>
  <c r="E25" i="6" s="1"/>
  <c r="F25" i="6" s="1"/>
  <c r="A25" i="14"/>
  <c r="B25" i="14"/>
  <c r="D25" i="14" s="1"/>
  <c r="C25" i="14"/>
  <c r="D26" i="6" s="1"/>
  <c r="E26" i="6" s="1"/>
  <c r="F26" i="6" s="1"/>
  <c r="H26" i="6" s="1"/>
  <c r="A26" i="14"/>
  <c r="B26" i="14"/>
  <c r="C26" i="14"/>
  <c r="D27" i="6" s="1"/>
  <c r="E27" i="6" s="1"/>
  <c r="F27" i="6" s="1"/>
  <c r="A27" i="14"/>
  <c r="B27" i="14"/>
  <c r="C27" i="14"/>
  <c r="D28" i="6" s="1"/>
  <c r="E28" i="6" s="1"/>
  <c r="F28" i="6" s="1"/>
  <c r="C1" i="14"/>
  <c r="D2" i="6" s="1"/>
  <c r="E2" i="6" s="1"/>
  <c r="F2" i="6" s="1"/>
  <c r="B1" i="14"/>
  <c r="D1" i="14" s="1"/>
  <c r="J2" i="6" s="1"/>
  <c r="A1" i="14"/>
  <c r="B2" i="13"/>
  <c r="B3" i="13"/>
  <c r="B4" i="13"/>
  <c r="B5" i="13"/>
  <c r="B6" i="13"/>
  <c r="B7" i="13"/>
  <c r="B8" i="13"/>
  <c r="B9" i="13"/>
  <c r="B10" i="13"/>
  <c r="B11" i="13"/>
  <c r="B12" i="13"/>
  <c r="B13" i="13"/>
  <c r="B14" i="13"/>
  <c r="B15" i="13"/>
  <c r="B16" i="13"/>
  <c r="B17" i="13"/>
  <c r="R16" i="13" s="1"/>
  <c r="B18" i="13"/>
  <c r="B19" i="13"/>
  <c r="B20" i="13"/>
  <c r="B21" i="13"/>
  <c r="B22" i="13"/>
  <c r="B23" i="13"/>
  <c r="B24" i="13"/>
  <c r="B25" i="13"/>
  <c r="B26" i="13"/>
  <c r="B27" i="13"/>
  <c r="B28" i="13"/>
  <c r="B29" i="13"/>
  <c r="B30" i="13"/>
  <c r="B31" i="13"/>
  <c r="B32" i="13"/>
  <c r="B33" i="13"/>
  <c r="B34" i="13"/>
  <c r="B35" i="13"/>
  <c r="B36" i="13"/>
  <c r="B37" i="13"/>
  <c r="R36" i="13" s="1"/>
  <c r="B38" i="13"/>
  <c r="B39" i="13"/>
  <c r="B40" i="13"/>
  <c r="B41" i="13"/>
  <c r="B42" i="13"/>
  <c r="B43" i="13"/>
  <c r="B44" i="13"/>
  <c r="B45" i="13"/>
  <c r="B46" i="13"/>
  <c r="B47" i="13"/>
  <c r="B48" i="13"/>
  <c r="B49" i="13"/>
  <c r="B50" i="13"/>
  <c r="B51" i="13"/>
  <c r="B52" i="13"/>
  <c r="B53" i="13"/>
  <c r="B54" i="13"/>
  <c r="B55" i="13"/>
  <c r="B56" i="13"/>
  <c r="B57" i="13"/>
  <c r="R56" i="13" s="1"/>
  <c r="B58" i="13"/>
  <c r="B59" i="13"/>
  <c r="B60" i="13"/>
  <c r="B61" i="13"/>
  <c r="B62" i="13"/>
  <c r="B63" i="13"/>
  <c r="B64" i="13"/>
  <c r="B65" i="13"/>
  <c r="B66" i="13"/>
  <c r="B67" i="13"/>
  <c r="B68" i="13"/>
  <c r="B69" i="13"/>
  <c r="B70" i="13"/>
  <c r="B71" i="13"/>
  <c r="B72" i="13"/>
  <c r="B73" i="13"/>
  <c r="B74" i="13"/>
  <c r="B75" i="13"/>
  <c r="B76" i="13"/>
  <c r="B77" i="13"/>
  <c r="R76" i="13" s="1"/>
  <c r="B78" i="13"/>
  <c r="B79" i="13"/>
  <c r="B80" i="13"/>
  <c r="B81" i="13"/>
  <c r="B82" i="13"/>
  <c r="B83" i="13"/>
  <c r="B84" i="13"/>
  <c r="B85" i="13"/>
  <c r="B86" i="13"/>
  <c r="B87" i="13"/>
  <c r="B88" i="13"/>
  <c r="B89" i="13"/>
  <c r="B90" i="13"/>
  <c r="B91" i="13"/>
  <c r="B92" i="13"/>
  <c r="B93" i="13"/>
  <c r="B94" i="13"/>
  <c r="B95" i="13"/>
  <c r="B96" i="13"/>
  <c r="B97" i="13"/>
  <c r="R96" i="13" s="1"/>
  <c r="B98" i="13"/>
  <c r="B99" i="13"/>
  <c r="B100" i="13"/>
  <c r="B101" i="13"/>
  <c r="B102" i="13"/>
  <c r="B103" i="13"/>
  <c r="B104" i="13"/>
  <c r="B105" i="13"/>
  <c r="B106" i="13"/>
  <c r="B107" i="13"/>
  <c r="B108" i="13"/>
  <c r="B109" i="13"/>
  <c r="B110" i="13"/>
  <c r="B111" i="13"/>
  <c r="B112" i="13"/>
  <c r="B113" i="13"/>
  <c r="B114" i="13"/>
  <c r="B115" i="13"/>
  <c r="B116" i="13"/>
  <c r="B117" i="13"/>
  <c r="R116" i="13" s="1"/>
  <c r="B118" i="13"/>
  <c r="B119" i="13"/>
  <c r="B120" i="13"/>
  <c r="B121" i="13"/>
  <c r="B122" i="13"/>
  <c r="B123" i="13"/>
  <c r="B124" i="13"/>
  <c r="B125" i="13"/>
  <c r="B126" i="13"/>
  <c r="B127" i="13"/>
  <c r="B128" i="13"/>
  <c r="B129" i="13"/>
  <c r="B130" i="13"/>
  <c r="B131" i="13"/>
  <c r="B132" i="13"/>
  <c r="B133" i="13"/>
  <c r="B134" i="13"/>
  <c r="B135" i="13"/>
  <c r="B136" i="13"/>
  <c r="B137" i="13"/>
  <c r="R136" i="13" s="1"/>
  <c r="B138" i="13"/>
  <c r="B139" i="13"/>
  <c r="B140" i="13"/>
  <c r="B141" i="13"/>
  <c r="B142" i="13"/>
  <c r="B143" i="13"/>
  <c r="B144" i="13"/>
  <c r="B145" i="13"/>
  <c r="B146" i="13"/>
  <c r="B147" i="13"/>
  <c r="B148" i="13"/>
  <c r="B149" i="13"/>
  <c r="B150" i="13"/>
  <c r="B151" i="13"/>
  <c r="B152" i="13"/>
  <c r="B153" i="13"/>
  <c r="B154" i="13"/>
  <c r="B155" i="13"/>
  <c r="B156" i="13"/>
  <c r="B157" i="13"/>
  <c r="R156" i="13" s="1"/>
  <c r="B158" i="13"/>
  <c r="B159" i="13"/>
  <c r="B160" i="13"/>
  <c r="B161" i="13"/>
  <c r="B162" i="13"/>
  <c r="B163" i="13"/>
  <c r="B164" i="13"/>
  <c r="B165" i="13"/>
  <c r="B166" i="13"/>
  <c r="B167" i="13"/>
  <c r="B168" i="13"/>
  <c r="B169" i="13"/>
  <c r="B170" i="13"/>
  <c r="B171" i="13"/>
  <c r="B172" i="13"/>
  <c r="B173" i="13"/>
  <c r="B174" i="13"/>
  <c r="B175" i="13"/>
  <c r="B176" i="13"/>
  <c r="B177" i="13"/>
  <c r="R176" i="13" s="1"/>
  <c r="B178" i="13"/>
  <c r="B179" i="13"/>
  <c r="B180" i="13"/>
  <c r="B181" i="13"/>
  <c r="B182" i="13"/>
  <c r="B183" i="13"/>
  <c r="B184" i="13"/>
  <c r="B185" i="13"/>
  <c r="B186" i="13"/>
  <c r="B187" i="13"/>
  <c r="B188" i="13"/>
  <c r="B189" i="13"/>
  <c r="B190" i="13"/>
  <c r="B191" i="13"/>
  <c r="B192" i="13"/>
  <c r="B193" i="13"/>
  <c r="B194" i="13"/>
  <c r="B195" i="13"/>
  <c r="B196" i="13"/>
  <c r="B197" i="13"/>
  <c r="R196" i="13" s="1"/>
  <c r="B198" i="13"/>
  <c r="B199" i="13"/>
  <c r="B200" i="13"/>
  <c r="B201" i="13"/>
  <c r="B202" i="13"/>
  <c r="B203" i="13"/>
  <c r="B204" i="13"/>
  <c r="C1" i="13"/>
  <c r="B1" i="13"/>
  <c r="H3" i="10"/>
  <c r="H4" i="10" s="1"/>
  <c r="H5" i="10" s="1"/>
  <c r="H6" i="10" s="1"/>
  <c r="H7" i="10" s="1"/>
  <c r="H8" i="10" s="1"/>
  <c r="H9" i="10" s="1"/>
  <c r="H10" i="10" s="1"/>
  <c r="H11" i="10" s="1"/>
  <c r="H12" i="10" s="1"/>
  <c r="H13" i="10" s="1"/>
  <c r="H14" i="10" s="1"/>
  <c r="H15" i="10" s="1"/>
  <c r="H16" i="10" s="1"/>
  <c r="H17" i="10" s="1"/>
  <c r="H18" i="10" s="1"/>
  <c r="H19" i="10" s="1"/>
  <c r="H20" i="10" s="1"/>
  <c r="H21" i="10" s="1"/>
  <c r="H22" i="10" s="1"/>
  <c r="H23" i="10" s="1"/>
  <c r="H24" i="10" s="1"/>
  <c r="H25" i="10" s="1"/>
  <c r="H26" i="10" s="1"/>
  <c r="H27" i="10" s="1"/>
  <c r="H28" i="10" s="1"/>
  <c r="H29" i="10" s="1"/>
  <c r="H30" i="10" s="1"/>
  <c r="H31" i="10" s="1"/>
  <c r="H32" i="10" s="1"/>
  <c r="H33" i="10" s="1"/>
  <c r="H34" i="10" s="1"/>
  <c r="H35" i="10" s="1"/>
  <c r="H36" i="10" s="1"/>
  <c r="H37" i="10" s="1"/>
  <c r="H38" i="10" s="1"/>
  <c r="H39" i="10" s="1"/>
  <c r="H40" i="10" s="1"/>
  <c r="H41" i="10" s="1"/>
  <c r="H42" i="10" s="1"/>
  <c r="H43" i="10" s="1"/>
  <c r="H44" i="10" s="1"/>
  <c r="H45" i="10" s="1"/>
  <c r="H46" i="10" s="1"/>
  <c r="H47" i="10" s="1"/>
  <c r="H48" i="10" s="1"/>
  <c r="H49" i="10" s="1"/>
  <c r="H50" i="10" s="1"/>
  <c r="H51" i="10" s="1"/>
  <c r="H52" i="10" s="1"/>
  <c r="H53" i="10" s="1"/>
  <c r="H54" i="10" s="1"/>
  <c r="H55" i="10" s="1"/>
  <c r="H56" i="10" s="1"/>
  <c r="H57" i="10" s="1"/>
  <c r="H58" i="10" s="1"/>
  <c r="H59" i="10" s="1"/>
  <c r="H60" i="10" s="1"/>
  <c r="H61" i="10" s="1"/>
  <c r="H62" i="10" s="1"/>
  <c r="H63" i="10" s="1"/>
  <c r="H64" i="10" s="1"/>
  <c r="H65" i="10" s="1"/>
  <c r="H66" i="10" s="1"/>
  <c r="H67" i="10" s="1"/>
  <c r="H68" i="10" s="1"/>
  <c r="H69" i="10" s="1"/>
  <c r="H70" i="10" s="1"/>
  <c r="H71" i="10" s="1"/>
  <c r="H72" i="10" s="1"/>
  <c r="H73" i="10" s="1"/>
  <c r="H74" i="10" s="1"/>
  <c r="H75" i="10" s="1"/>
  <c r="H76" i="10" s="1"/>
  <c r="H77" i="10" s="1"/>
  <c r="H78" i="10" s="1"/>
  <c r="H79" i="10" s="1"/>
  <c r="H80" i="10" s="1"/>
  <c r="H81" i="10" s="1"/>
  <c r="H82" i="10" s="1"/>
  <c r="H83" i="10" s="1"/>
  <c r="H84" i="10" s="1"/>
  <c r="H85" i="10" s="1"/>
  <c r="H86" i="10" s="1"/>
  <c r="H87" i="10" s="1"/>
  <c r="H88" i="10" s="1"/>
  <c r="H89" i="10" s="1"/>
  <c r="H90" i="10" s="1"/>
  <c r="H91" i="10" s="1"/>
  <c r="H92" i="10" s="1"/>
  <c r="H93" i="10" s="1"/>
  <c r="H94" i="10" s="1"/>
  <c r="H95" i="10" s="1"/>
  <c r="H96" i="10" s="1"/>
  <c r="H97" i="10" s="1"/>
  <c r="H98" i="10" s="1"/>
  <c r="H99" i="10" s="1"/>
  <c r="H100" i="10" s="1"/>
  <c r="H101" i="10" s="1"/>
  <c r="H102" i="10" s="1"/>
  <c r="H103" i="10" s="1"/>
  <c r="H104" i="10" s="1"/>
  <c r="H105" i="10" s="1"/>
  <c r="H106" i="10" s="1"/>
  <c r="H107" i="10" s="1"/>
  <c r="H108" i="10" s="1"/>
  <c r="H109" i="10" s="1"/>
  <c r="H110" i="10" s="1"/>
  <c r="H111" i="10" s="1"/>
  <c r="H112" i="10" s="1"/>
  <c r="H113" i="10" s="1"/>
  <c r="H114" i="10" s="1"/>
  <c r="H115" i="10" s="1"/>
  <c r="H116" i="10" s="1"/>
  <c r="H117" i="10" s="1"/>
  <c r="H118" i="10" s="1"/>
  <c r="H119" i="10" s="1"/>
  <c r="H120" i="10" s="1"/>
  <c r="F121" i="10"/>
  <c r="G3" i="10"/>
  <c r="G4" i="10" s="1"/>
  <c r="G5" i="10" s="1"/>
  <c r="G6" i="10" s="1"/>
  <c r="G7" i="10" s="1"/>
  <c r="G8" i="10" s="1"/>
  <c r="G9" i="10" s="1"/>
  <c r="G10" i="10" s="1"/>
  <c r="G11" i="10" s="1"/>
  <c r="G12" i="10" s="1"/>
  <c r="G13" i="10" s="1"/>
  <c r="G14" i="10" s="1"/>
  <c r="G15" i="10" s="1"/>
  <c r="G16" i="10" s="1"/>
  <c r="G17" i="10" s="1"/>
  <c r="G18" i="10" s="1"/>
  <c r="G19" i="10" s="1"/>
  <c r="G20" i="10" s="1"/>
  <c r="G21" i="10" s="1"/>
  <c r="G22" i="10" s="1"/>
  <c r="G23" i="10" s="1"/>
  <c r="G24" i="10" s="1"/>
  <c r="G25" i="10" s="1"/>
  <c r="G26" i="10" s="1"/>
  <c r="G27" i="10" s="1"/>
  <c r="G28" i="10" s="1"/>
  <c r="G29" i="10" s="1"/>
  <c r="G30" i="10" s="1"/>
  <c r="G31" i="10" s="1"/>
  <c r="G32" i="10" s="1"/>
  <c r="G33" i="10" s="1"/>
  <c r="G34" i="10" s="1"/>
  <c r="G35" i="10" s="1"/>
  <c r="G36" i="10" s="1"/>
  <c r="G37" i="10" s="1"/>
  <c r="G38" i="10" s="1"/>
  <c r="G39" i="10" s="1"/>
  <c r="G40" i="10" s="1"/>
  <c r="G41" i="10" s="1"/>
  <c r="G42" i="10" s="1"/>
  <c r="G43" i="10" s="1"/>
  <c r="G44" i="10" s="1"/>
  <c r="G45" i="10" s="1"/>
  <c r="G46" i="10" s="1"/>
  <c r="G47" i="10" s="1"/>
  <c r="G48" i="10" s="1"/>
  <c r="G49" i="10" s="1"/>
  <c r="G50" i="10" s="1"/>
  <c r="G51" i="10" s="1"/>
  <c r="G52" i="10" s="1"/>
  <c r="G53" i="10" s="1"/>
  <c r="G54" i="10" s="1"/>
  <c r="G55" i="10" s="1"/>
  <c r="G56" i="10" s="1"/>
  <c r="G57" i="10" s="1"/>
  <c r="G58" i="10" s="1"/>
  <c r="G59" i="10" s="1"/>
  <c r="G60" i="10" s="1"/>
  <c r="G61" i="10" s="1"/>
  <c r="G62" i="10" s="1"/>
  <c r="G63" i="10" s="1"/>
  <c r="G64" i="10" s="1"/>
  <c r="G65" i="10" s="1"/>
  <c r="G66" i="10" s="1"/>
  <c r="G67" i="10" s="1"/>
  <c r="G68" i="10" s="1"/>
  <c r="G69" i="10" s="1"/>
  <c r="G70" i="10" s="1"/>
  <c r="G71" i="10" s="1"/>
  <c r="G72" i="10" s="1"/>
  <c r="G73" i="10" s="1"/>
  <c r="G74" i="10" s="1"/>
  <c r="G75" i="10" s="1"/>
  <c r="G76" i="10" s="1"/>
  <c r="G77" i="10" s="1"/>
  <c r="G78" i="10" s="1"/>
  <c r="G79" i="10" s="1"/>
  <c r="G80" i="10" s="1"/>
  <c r="G81" i="10" s="1"/>
  <c r="G82" i="10" s="1"/>
  <c r="G83" i="10" s="1"/>
  <c r="G84" i="10" s="1"/>
  <c r="G85" i="10" s="1"/>
  <c r="G86" i="10" s="1"/>
  <c r="G87" i="10" s="1"/>
  <c r="G88" i="10" s="1"/>
  <c r="G89" i="10" s="1"/>
  <c r="G90" i="10" s="1"/>
  <c r="G91" i="10" s="1"/>
  <c r="G92" i="10" s="1"/>
  <c r="G93" i="10" s="1"/>
  <c r="G94" i="10" s="1"/>
  <c r="G95" i="10" s="1"/>
  <c r="G96" i="10" s="1"/>
  <c r="G97" i="10" s="1"/>
  <c r="G98" i="10" s="1"/>
  <c r="G99" i="10" s="1"/>
  <c r="G100" i="10" s="1"/>
  <c r="G101" i="10" s="1"/>
  <c r="G102" i="10" s="1"/>
  <c r="G103" i="10" s="1"/>
  <c r="G104" i="10" s="1"/>
  <c r="G105" i="10" s="1"/>
  <c r="G106" i="10" s="1"/>
  <c r="G107" i="10" s="1"/>
  <c r="G108" i="10" s="1"/>
  <c r="G109" i="10" s="1"/>
  <c r="G110" i="10" s="1"/>
  <c r="G111" i="10" s="1"/>
  <c r="G112" i="10" s="1"/>
  <c r="G113" i="10" s="1"/>
  <c r="G114" i="10" s="1"/>
  <c r="G115" i="10" s="1"/>
  <c r="G116" i="10" s="1"/>
  <c r="G117" i="10" s="1"/>
  <c r="G118" i="10" s="1"/>
  <c r="G119" i="10" s="1"/>
  <c r="G120" i="10" s="1"/>
  <c r="E2" i="10"/>
  <c r="AD120" i="8"/>
  <c r="AE118" i="8"/>
  <c r="W118" i="8"/>
  <c r="I118" i="8"/>
  <c r="H118" i="8"/>
  <c r="G118" i="8"/>
  <c r="F118" i="8"/>
  <c r="E118" i="8"/>
  <c r="D118" i="8"/>
  <c r="C118" i="8"/>
  <c r="B118" i="8"/>
  <c r="AE117" i="8"/>
  <c r="AB117" i="8"/>
  <c r="W117" i="8"/>
  <c r="I117" i="8"/>
  <c r="H117" i="8"/>
  <c r="G117" i="8"/>
  <c r="F117" i="8"/>
  <c r="E117" i="8"/>
  <c r="D117" i="8"/>
  <c r="C117" i="8"/>
  <c r="B117" i="8"/>
  <c r="AE116" i="8"/>
  <c r="AB116" i="8"/>
  <c r="W116" i="8"/>
  <c r="I116" i="8"/>
  <c r="H116" i="8"/>
  <c r="G116" i="8"/>
  <c r="F116" i="8"/>
  <c r="E116" i="8"/>
  <c r="D116" i="8"/>
  <c r="C116" i="8"/>
  <c r="B116" i="8"/>
  <c r="AE115" i="8"/>
  <c r="AB115" i="8"/>
  <c r="W115" i="8"/>
  <c r="I115" i="8"/>
  <c r="H115" i="8"/>
  <c r="G115" i="8"/>
  <c r="F115" i="8"/>
  <c r="E115" i="8"/>
  <c r="D115" i="8"/>
  <c r="C115" i="8"/>
  <c r="B115" i="8"/>
  <c r="AE114" i="8"/>
  <c r="AB114" i="8"/>
  <c r="W114" i="8"/>
  <c r="I114" i="8"/>
  <c r="H114" i="8"/>
  <c r="G114" i="8"/>
  <c r="F114" i="8"/>
  <c r="E114" i="8"/>
  <c r="D114" i="8"/>
  <c r="C114" i="8"/>
  <c r="B114" i="8"/>
  <c r="AE113" i="8"/>
  <c r="AB113" i="8"/>
  <c r="W113" i="8"/>
  <c r="I113" i="8"/>
  <c r="H113" i="8"/>
  <c r="G113" i="8"/>
  <c r="F113" i="8"/>
  <c r="E113" i="8"/>
  <c r="D113" i="8"/>
  <c r="C113" i="8"/>
  <c r="B113" i="8"/>
  <c r="AE112" i="8"/>
  <c r="AB112" i="8"/>
  <c r="W112" i="8"/>
  <c r="I112" i="8"/>
  <c r="H112" i="8"/>
  <c r="G112" i="8"/>
  <c r="F112" i="8"/>
  <c r="E112" i="8"/>
  <c r="D112" i="8"/>
  <c r="C112" i="8"/>
  <c r="B112" i="8"/>
  <c r="AE111" i="8"/>
  <c r="AB111" i="8"/>
  <c r="W111" i="8"/>
  <c r="I111" i="8"/>
  <c r="H111" i="8"/>
  <c r="G111" i="8"/>
  <c r="F111" i="8"/>
  <c r="E111" i="8"/>
  <c r="D111" i="8"/>
  <c r="C111" i="8"/>
  <c r="B111" i="8"/>
  <c r="AE110" i="8"/>
  <c r="AB110" i="8"/>
  <c r="W110" i="8"/>
  <c r="I110" i="8"/>
  <c r="H110" i="8"/>
  <c r="G110" i="8"/>
  <c r="F110" i="8"/>
  <c r="E110" i="8"/>
  <c r="D110" i="8"/>
  <c r="C110" i="8"/>
  <c r="B110" i="8"/>
  <c r="AE109" i="8"/>
  <c r="AB109" i="8"/>
  <c r="W109" i="8"/>
  <c r="I109" i="8"/>
  <c r="H109" i="8"/>
  <c r="G109" i="8"/>
  <c r="F109" i="8"/>
  <c r="E109" i="8"/>
  <c r="D109" i="8"/>
  <c r="C109" i="8"/>
  <c r="B109" i="8"/>
  <c r="AE108" i="8"/>
  <c r="AB108" i="8"/>
  <c r="W108" i="8"/>
  <c r="I108" i="8"/>
  <c r="H108" i="8"/>
  <c r="G108" i="8"/>
  <c r="F108" i="8"/>
  <c r="E108" i="8"/>
  <c r="D108" i="8"/>
  <c r="C108" i="8"/>
  <c r="B108" i="8"/>
  <c r="AE107" i="8"/>
  <c r="AB107" i="8"/>
  <c r="W107" i="8"/>
  <c r="I107" i="8"/>
  <c r="H107" i="8"/>
  <c r="G107" i="8"/>
  <c r="F107" i="8"/>
  <c r="E107" i="8"/>
  <c r="D107" i="8"/>
  <c r="C107" i="8"/>
  <c r="B107" i="8"/>
  <c r="AE106" i="8"/>
  <c r="AB106" i="8"/>
  <c r="W106" i="8"/>
  <c r="I106" i="8"/>
  <c r="H106" i="8"/>
  <c r="G106" i="8"/>
  <c r="F106" i="8"/>
  <c r="E106" i="8"/>
  <c r="D106" i="8"/>
  <c r="C106" i="8"/>
  <c r="B106" i="8"/>
  <c r="AE105" i="8"/>
  <c r="AB105" i="8"/>
  <c r="W105" i="8"/>
  <c r="I105" i="8"/>
  <c r="H105" i="8"/>
  <c r="G105" i="8"/>
  <c r="F105" i="8"/>
  <c r="E105" i="8"/>
  <c r="D105" i="8"/>
  <c r="C105" i="8"/>
  <c r="B105" i="8"/>
  <c r="AE104" i="8"/>
  <c r="AB104" i="8"/>
  <c r="W104" i="8"/>
  <c r="I104" i="8"/>
  <c r="H104" i="8"/>
  <c r="G104" i="8"/>
  <c r="F104" i="8"/>
  <c r="E104" i="8"/>
  <c r="D104" i="8"/>
  <c r="C104" i="8"/>
  <c r="B104" i="8"/>
  <c r="AE103" i="8"/>
  <c r="AB103" i="8"/>
  <c r="W103" i="8"/>
  <c r="I103" i="8"/>
  <c r="H103" i="8"/>
  <c r="G103" i="8"/>
  <c r="F103" i="8"/>
  <c r="E103" i="8"/>
  <c r="D103" i="8"/>
  <c r="C103" i="8"/>
  <c r="B103" i="8"/>
  <c r="AE102" i="8"/>
  <c r="AB102" i="8"/>
  <c r="W102" i="8"/>
  <c r="I102" i="8"/>
  <c r="H102" i="8"/>
  <c r="G102" i="8"/>
  <c r="F102" i="8"/>
  <c r="E102" i="8"/>
  <c r="D102" i="8"/>
  <c r="C102" i="8"/>
  <c r="B102" i="8"/>
  <c r="AE101" i="8"/>
  <c r="AB101" i="8"/>
  <c r="W101" i="8"/>
  <c r="I101" i="8"/>
  <c r="H101" i="8"/>
  <c r="G101" i="8"/>
  <c r="F101" i="8"/>
  <c r="E101" i="8"/>
  <c r="D101" i="8"/>
  <c r="C101" i="8"/>
  <c r="B101" i="8"/>
  <c r="AE100" i="8"/>
  <c r="AB100" i="8"/>
  <c r="W100" i="8"/>
  <c r="I100" i="8"/>
  <c r="H100" i="8"/>
  <c r="G100" i="8"/>
  <c r="F100" i="8"/>
  <c r="E100" i="8"/>
  <c r="D100" i="8"/>
  <c r="C100" i="8"/>
  <c r="B100" i="8"/>
  <c r="AE99" i="8"/>
  <c r="AB99" i="8"/>
  <c r="W99" i="8"/>
  <c r="I99" i="8"/>
  <c r="H99" i="8"/>
  <c r="G99" i="8"/>
  <c r="F99" i="8"/>
  <c r="E99" i="8"/>
  <c r="D99" i="8"/>
  <c r="C99" i="8"/>
  <c r="B99" i="8"/>
  <c r="AE98" i="8"/>
  <c r="AB98" i="8"/>
  <c r="W98" i="8"/>
  <c r="I98" i="8"/>
  <c r="H98" i="8"/>
  <c r="G98" i="8"/>
  <c r="F98" i="8"/>
  <c r="E98" i="8"/>
  <c r="D98" i="8"/>
  <c r="C98" i="8"/>
  <c r="B98" i="8"/>
  <c r="AE97" i="8"/>
  <c r="AB97" i="8"/>
  <c r="W97" i="8"/>
  <c r="I97" i="8"/>
  <c r="H97" i="8"/>
  <c r="G97" i="8"/>
  <c r="F97" i="8"/>
  <c r="E97" i="8"/>
  <c r="D97" i="8"/>
  <c r="C97" i="8"/>
  <c r="B97" i="8"/>
  <c r="AE96" i="8"/>
  <c r="AB96" i="8"/>
  <c r="W96" i="8"/>
  <c r="I96" i="8"/>
  <c r="H96" i="8"/>
  <c r="G96" i="8"/>
  <c r="F96" i="8"/>
  <c r="E96" i="8"/>
  <c r="D96" i="8"/>
  <c r="C96" i="8"/>
  <c r="B96" i="8"/>
  <c r="AE95" i="8"/>
  <c r="AB95" i="8"/>
  <c r="W95" i="8"/>
  <c r="I95" i="8"/>
  <c r="H95" i="8"/>
  <c r="G95" i="8"/>
  <c r="F95" i="8"/>
  <c r="E95" i="8"/>
  <c r="D95" i="8"/>
  <c r="C95" i="8"/>
  <c r="B95" i="8"/>
  <c r="AE94" i="8"/>
  <c r="AB94" i="8"/>
  <c r="W94" i="8"/>
  <c r="I94" i="8"/>
  <c r="H94" i="8"/>
  <c r="G94" i="8"/>
  <c r="F94" i="8"/>
  <c r="E94" i="8"/>
  <c r="D94" i="8"/>
  <c r="C94" i="8"/>
  <c r="B94" i="8"/>
  <c r="AE93" i="8"/>
  <c r="AB93" i="8"/>
  <c r="W93" i="8"/>
  <c r="I93" i="8"/>
  <c r="H93" i="8"/>
  <c r="G93" i="8"/>
  <c r="F93" i="8"/>
  <c r="E93" i="8"/>
  <c r="D93" i="8"/>
  <c r="C93" i="8"/>
  <c r="B93" i="8"/>
  <c r="AE92" i="8"/>
  <c r="AB92" i="8"/>
  <c r="W92" i="8"/>
  <c r="I92" i="8"/>
  <c r="H92" i="8"/>
  <c r="G92" i="8"/>
  <c r="F92" i="8"/>
  <c r="E92" i="8"/>
  <c r="D92" i="8"/>
  <c r="C92" i="8"/>
  <c r="B92" i="8"/>
  <c r="AE91" i="8"/>
  <c r="AB91" i="8"/>
  <c r="W91" i="8"/>
  <c r="I91" i="8"/>
  <c r="H91" i="8"/>
  <c r="G91" i="8"/>
  <c r="F91" i="8"/>
  <c r="E91" i="8"/>
  <c r="D91" i="8"/>
  <c r="C91" i="8"/>
  <c r="B91" i="8"/>
  <c r="AE90" i="8"/>
  <c r="AB90" i="8"/>
  <c r="W90" i="8"/>
  <c r="I90" i="8"/>
  <c r="H90" i="8"/>
  <c r="G90" i="8"/>
  <c r="F90" i="8"/>
  <c r="E90" i="8"/>
  <c r="D90" i="8"/>
  <c r="C90" i="8"/>
  <c r="B90" i="8"/>
  <c r="AE89" i="8"/>
  <c r="AB89" i="8"/>
  <c r="W89" i="8"/>
  <c r="I89" i="8"/>
  <c r="H89" i="8"/>
  <c r="G89" i="8"/>
  <c r="F89" i="8"/>
  <c r="E89" i="8"/>
  <c r="D89" i="8"/>
  <c r="C89" i="8"/>
  <c r="B89" i="8"/>
  <c r="AE88" i="8"/>
  <c r="AB88" i="8"/>
  <c r="W88" i="8"/>
  <c r="I88" i="8"/>
  <c r="H88" i="8"/>
  <c r="G88" i="8"/>
  <c r="F88" i="8"/>
  <c r="E88" i="8"/>
  <c r="D88" i="8"/>
  <c r="C88" i="8"/>
  <c r="B88" i="8"/>
  <c r="AE87" i="8"/>
  <c r="AB87" i="8"/>
  <c r="W87" i="8"/>
  <c r="I87" i="8"/>
  <c r="H87" i="8"/>
  <c r="G87" i="8"/>
  <c r="F87" i="8"/>
  <c r="E87" i="8"/>
  <c r="D87" i="8"/>
  <c r="C87" i="8"/>
  <c r="B87" i="8"/>
  <c r="AE86" i="8"/>
  <c r="AB86" i="8"/>
  <c r="W86" i="8"/>
  <c r="I86" i="8"/>
  <c r="H86" i="8"/>
  <c r="G86" i="8"/>
  <c r="F86" i="8"/>
  <c r="E86" i="8"/>
  <c r="D86" i="8"/>
  <c r="C86" i="8"/>
  <c r="B86" i="8"/>
  <c r="AE85" i="8"/>
  <c r="AB85" i="8"/>
  <c r="W85" i="8"/>
  <c r="I85" i="8"/>
  <c r="H85" i="8"/>
  <c r="G85" i="8"/>
  <c r="F85" i="8"/>
  <c r="E85" i="8"/>
  <c r="D85" i="8"/>
  <c r="C85" i="8"/>
  <c r="B85" i="8"/>
  <c r="AE84" i="8"/>
  <c r="AB84" i="8"/>
  <c r="W84" i="8"/>
  <c r="I84" i="8"/>
  <c r="H84" i="8"/>
  <c r="G84" i="8"/>
  <c r="F84" i="8"/>
  <c r="E84" i="8"/>
  <c r="D84" i="8"/>
  <c r="C84" i="8"/>
  <c r="B84" i="8"/>
  <c r="AE83" i="8"/>
  <c r="AB83" i="8"/>
  <c r="W83" i="8"/>
  <c r="I83" i="8"/>
  <c r="H83" i="8"/>
  <c r="G83" i="8"/>
  <c r="F83" i="8"/>
  <c r="E83" i="8"/>
  <c r="D83" i="8"/>
  <c r="C83" i="8"/>
  <c r="B83" i="8"/>
  <c r="AE82" i="8"/>
  <c r="AB82" i="8"/>
  <c r="W82" i="8"/>
  <c r="I82" i="8"/>
  <c r="H82" i="8"/>
  <c r="G82" i="8"/>
  <c r="F82" i="8"/>
  <c r="E82" i="8"/>
  <c r="D82" i="8"/>
  <c r="C82" i="8"/>
  <c r="B82" i="8"/>
  <c r="AE81" i="8"/>
  <c r="AB81" i="8"/>
  <c r="W81" i="8"/>
  <c r="I81" i="8"/>
  <c r="H81" i="8"/>
  <c r="G81" i="8"/>
  <c r="F81" i="8"/>
  <c r="E81" i="8"/>
  <c r="D81" i="8"/>
  <c r="C81" i="8"/>
  <c r="B81" i="8"/>
  <c r="AE80" i="8"/>
  <c r="AB80" i="8"/>
  <c r="W80" i="8"/>
  <c r="I80" i="8"/>
  <c r="H80" i="8"/>
  <c r="G80" i="8"/>
  <c r="F80" i="8"/>
  <c r="E80" i="8"/>
  <c r="D80" i="8"/>
  <c r="C80" i="8"/>
  <c r="B80" i="8"/>
  <c r="AE79" i="8"/>
  <c r="AB79" i="8"/>
  <c r="W79" i="8"/>
  <c r="I79" i="8"/>
  <c r="H79" i="8"/>
  <c r="G79" i="8"/>
  <c r="F79" i="8"/>
  <c r="E79" i="8"/>
  <c r="D79" i="8"/>
  <c r="C79" i="8"/>
  <c r="B79" i="8"/>
  <c r="AE78" i="8"/>
  <c r="AB78" i="8"/>
  <c r="W78" i="8"/>
  <c r="I78" i="8"/>
  <c r="H78" i="8"/>
  <c r="G78" i="8"/>
  <c r="F78" i="8"/>
  <c r="E78" i="8"/>
  <c r="D78" i="8"/>
  <c r="C78" i="8"/>
  <c r="B78" i="8"/>
  <c r="AE77" i="8"/>
  <c r="AB77" i="8"/>
  <c r="W77" i="8"/>
  <c r="I77" i="8"/>
  <c r="H77" i="8"/>
  <c r="G77" i="8"/>
  <c r="F77" i="8"/>
  <c r="E77" i="8"/>
  <c r="D77" i="8"/>
  <c r="C77" i="8"/>
  <c r="B77" i="8"/>
  <c r="AE76" i="8"/>
  <c r="AB76" i="8"/>
  <c r="W76" i="8"/>
  <c r="I76" i="8"/>
  <c r="H76" i="8"/>
  <c r="G76" i="8"/>
  <c r="F76" i="8"/>
  <c r="E76" i="8"/>
  <c r="D76" i="8"/>
  <c r="C76" i="8"/>
  <c r="B76" i="8"/>
  <c r="AE75" i="8"/>
  <c r="AB75" i="8"/>
  <c r="W75" i="8"/>
  <c r="I75" i="8"/>
  <c r="H75" i="8"/>
  <c r="G75" i="8"/>
  <c r="F75" i="8"/>
  <c r="E75" i="8"/>
  <c r="D75" i="8"/>
  <c r="C75" i="8"/>
  <c r="B75" i="8"/>
  <c r="AE74" i="8"/>
  <c r="AB74" i="8"/>
  <c r="W74" i="8"/>
  <c r="I74" i="8"/>
  <c r="H74" i="8"/>
  <c r="G74" i="8"/>
  <c r="F74" i="8"/>
  <c r="E74" i="8"/>
  <c r="D74" i="8"/>
  <c r="C74" i="8"/>
  <c r="B74" i="8"/>
  <c r="AE73" i="8"/>
  <c r="AB73" i="8"/>
  <c r="W73" i="8"/>
  <c r="I73" i="8"/>
  <c r="H73" i="8"/>
  <c r="G73" i="8"/>
  <c r="F73" i="8"/>
  <c r="E73" i="8"/>
  <c r="D73" i="8"/>
  <c r="C73" i="8"/>
  <c r="B73" i="8"/>
  <c r="AE72" i="8"/>
  <c r="AB72" i="8"/>
  <c r="W72" i="8"/>
  <c r="I72" i="8"/>
  <c r="H72" i="8"/>
  <c r="G72" i="8"/>
  <c r="F72" i="8"/>
  <c r="E72" i="8"/>
  <c r="D72" i="8"/>
  <c r="C72" i="8"/>
  <c r="B72" i="8"/>
  <c r="AE71" i="8"/>
  <c r="AB71" i="8"/>
  <c r="W71" i="8"/>
  <c r="I71" i="8"/>
  <c r="H71" i="8"/>
  <c r="G71" i="8"/>
  <c r="F71" i="8"/>
  <c r="E71" i="8"/>
  <c r="D71" i="8"/>
  <c r="C71" i="8"/>
  <c r="B71" i="8"/>
  <c r="AE70" i="8"/>
  <c r="AB70" i="8"/>
  <c r="W70" i="8"/>
  <c r="I70" i="8"/>
  <c r="H70" i="8"/>
  <c r="G70" i="8"/>
  <c r="F70" i="8"/>
  <c r="E70" i="8"/>
  <c r="D70" i="8"/>
  <c r="C70" i="8"/>
  <c r="B70" i="8"/>
  <c r="AE69" i="8"/>
  <c r="AB69" i="8"/>
  <c r="W69" i="8"/>
  <c r="I69" i="8"/>
  <c r="H69" i="8"/>
  <c r="G69" i="8"/>
  <c r="F69" i="8"/>
  <c r="E69" i="8"/>
  <c r="D69" i="8"/>
  <c r="C69" i="8"/>
  <c r="B69" i="8"/>
  <c r="AE68" i="8"/>
  <c r="AB68" i="8"/>
  <c r="W68" i="8"/>
  <c r="I68" i="8"/>
  <c r="H68" i="8"/>
  <c r="G68" i="8"/>
  <c r="F68" i="8"/>
  <c r="E68" i="8"/>
  <c r="D68" i="8"/>
  <c r="C68" i="8"/>
  <c r="B68" i="8"/>
  <c r="AE67" i="8"/>
  <c r="AB67" i="8"/>
  <c r="W67" i="8"/>
  <c r="I67" i="8"/>
  <c r="H67" i="8"/>
  <c r="G67" i="8"/>
  <c r="F67" i="8"/>
  <c r="E67" i="8"/>
  <c r="D67" i="8"/>
  <c r="C67" i="8"/>
  <c r="B67" i="8"/>
  <c r="AE66" i="8"/>
  <c r="AB66" i="8"/>
  <c r="W66" i="8"/>
  <c r="I66" i="8"/>
  <c r="H66" i="8"/>
  <c r="G66" i="8"/>
  <c r="F66" i="8"/>
  <c r="E66" i="8"/>
  <c r="D66" i="8"/>
  <c r="C66" i="8"/>
  <c r="B66" i="8"/>
  <c r="AE65" i="8"/>
  <c r="AB65" i="8"/>
  <c r="W65" i="8"/>
  <c r="I65" i="8"/>
  <c r="H65" i="8"/>
  <c r="G65" i="8"/>
  <c r="F65" i="8"/>
  <c r="E65" i="8"/>
  <c r="D65" i="8"/>
  <c r="C65" i="8"/>
  <c r="B65" i="8"/>
  <c r="AE64" i="8"/>
  <c r="AB64" i="8"/>
  <c r="W64" i="8"/>
  <c r="I64" i="8"/>
  <c r="H64" i="8"/>
  <c r="G64" i="8"/>
  <c r="F64" i="8"/>
  <c r="E64" i="8"/>
  <c r="D64" i="8"/>
  <c r="C64" i="8"/>
  <c r="B64" i="8"/>
  <c r="AE63" i="8"/>
  <c r="AB63" i="8"/>
  <c r="W63" i="8"/>
  <c r="I63" i="8"/>
  <c r="H63" i="8"/>
  <c r="G63" i="8"/>
  <c r="F63" i="8"/>
  <c r="E63" i="8"/>
  <c r="D63" i="8"/>
  <c r="C63" i="8"/>
  <c r="B63" i="8"/>
  <c r="AE62" i="8"/>
  <c r="AB62" i="8"/>
  <c r="W62" i="8"/>
  <c r="I62" i="8"/>
  <c r="H62" i="8"/>
  <c r="G62" i="8"/>
  <c r="F62" i="8"/>
  <c r="E62" i="8"/>
  <c r="D62" i="8"/>
  <c r="C62" i="8"/>
  <c r="B62" i="8"/>
  <c r="AE61" i="8"/>
  <c r="AB61" i="8"/>
  <c r="W61" i="8"/>
  <c r="I61" i="8"/>
  <c r="H61" i="8"/>
  <c r="G61" i="8"/>
  <c r="F61" i="8"/>
  <c r="E61" i="8"/>
  <c r="D61" i="8"/>
  <c r="C61" i="8"/>
  <c r="B61" i="8"/>
  <c r="AE60" i="8"/>
  <c r="AB60" i="8"/>
  <c r="W60" i="8"/>
  <c r="I60" i="8"/>
  <c r="H60" i="8"/>
  <c r="G60" i="8"/>
  <c r="F60" i="8"/>
  <c r="E60" i="8"/>
  <c r="D60" i="8"/>
  <c r="C60" i="8"/>
  <c r="B60" i="8"/>
  <c r="AE59" i="8"/>
  <c r="AB59" i="8"/>
  <c r="W59" i="8"/>
  <c r="I59" i="8"/>
  <c r="H59" i="8"/>
  <c r="G59" i="8"/>
  <c r="F59" i="8"/>
  <c r="E59" i="8"/>
  <c r="D59" i="8"/>
  <c r="C59" i="8"/>
  <c r="B59" i="8"/>
  <c r="AE58" i="8"/>
  <c r="AB58" i="8"/>
  <c r="W58" i="8"/>
  <c r="I58" i="8"/>
  <c r="H58" i="8"/>
  <c r="G58" i="8"/>
  <c r="F58" i="8"/>
  <c r="E58" i="8"/>
  <c r="D58" i="8"/>
  <c r="C58" i="8"/>
  <c r="B58" i="8"/>
  <c r="AE57" i="8"/>
  <c r="AB57" i="8"/>
  <c r="W57" i="8"/>
  <c r="I57" i="8"/>
  <c r="H57" i="8"/>
  <c r="G57" i="8"/>
  <c r="F57" i="8"/>
  <c r="E57" i="8"/>
  <c r="D57" i="8"/>
  <c r="C57" i="8"/>
  <c r="B57" i="8"/>
  <c r="AE56" i="8"/>
  <c r="AB56" i="8"/>
  <c r="W56" i="8"/>
  <c r="I56" i="8"/>
  <c r="H56" i="8"/>
  <c r="G56" i="8"/>
  <c r="F56" i="8"/>
  <c r="E56" i="8"/>
  <c r="D56" i="8"/>
  <c r="C56" i="8"/>
  <c r="B56" i="8"/>
  <c r="AE55" i="8"/>
  <c r="AB55" i="8"/>
  <c r="W55" i="8"/>
  <c r="I55" i="8"/>
  <c r="H55" i="8"/>
  <c r="G55" i="8"/>
  <c r="F55" i="8"/>
  <c r="E55" i="8"/>
  <c r="D55" i="8"/>
  <c r="C55" i="8"/>
  <c r="B55" i="8"/>
  <c r="AE54" i="8"/>
  <c r="AB54" i="8"/>
  <c r="W54" i="8"/>
  <c r="I54" i="8"/>
  <c r="H54" i="8"/>
  <c r="G54" i="8"/>
  <c r="F54" i="8"/>
  <c r="E54" i="8"/>
  <c r="D54" i="8"/>
  <c r="C54" i="8"/>
  <c r="B54" i="8"/>
  <c r="AE53" i="8"/>
  <c r="AB53" i="8"/>
  <c r="W53" i="8"/>
  <c r="I53" i="8"/>
  <c r="H53" i="8"/>
  <c r="G53" i="8"/>
  <c r="F53" i="8"/>
  <c r="E53" i="8"/>
  <c r="D53" i="8"/>
  <c r="C53" i="8"/>
  <c r="B53" i="8"/>
  <c r="AE52" i="8"/>
  <c r="AB52" i="8"/>
  <c r="W52" i="8"/>
  <c r="I52" i="8"/>
  <c r="H52" i="8"/>
  <c r="G52" i="8"/>
  <c r="F52" i="8"/>
  <c r="E52" i="8"/>
  <c r="D52" i="8"/>
  <c r="C52" i="8"/>
  <c r="B52" i="8"/>
  <c r="AE51" i="8"/>
  <c r="AB51" i="8"/>
  <c r="W51" i="8"/>
  <c r="I51" i="8"/>
  <c r="H51" i="8"/>
  <c r="G51" i="8"/>
  <c r="F51" i="8"/>
  <c r="E51" i="8"/>
  <c r="D51" i="8"/>
  <c r="C51" i="8"/>
  <c r="B51" i="8"/>
  <c r="AE50" i="8"/>
  <c r="AB50" i="8"/>
  <c r="W50" i="8"/>
  <c r="I50" i="8"/>
  <c r="H50" i="8"/>
  <c r="G50" i="8"/>
  <c r="F50" i="8"/>
  <c r="E50" i="8"/>
  <c r="D50" i="8"/>
  <c r="C50" i="8"/>
  <c r="B50" i="8"/>
  <c r="AE49" i="8"/>
  <c r="AB49" i="8"/>
  <c r="W49" i="8"/>
  <c r="I49" i="8"/>
  <c r="H49" i="8"/>
  <c r="G49" i="8"/>
  <c r="F49" i="8"/>
  <c r="E49" i="8"/>
  <c r="D49" i="8"/>
  <c r="C49" i="8"/>
  <c r="B49" i="8"/>
  <c r="AE48" i="8"/>
  <c r="AB48" i="8"/>
  <c r="W48" i="8"/>
  <c r="I48" i="8"/>
  <c r="H48" i="8"/>
  <c r="G48" i="8"/>
  <c r="F48" i="8"/>
  <c r="E48" i="8"/>
  <c r="D48" i="8"/>
  <c r="C48" i="8"/>
  <c r="B48" i="8"/>
  <c r="AE47" i="8"/>
  <c r="AB47" i="8"/>
  <c r="W47" i="8"/>
  <c r="I47" i="8"/>
  <c r="H47" i="8"/>
  <c r="G47" i="8"/>
  <c r="F47" i="8"/>
  <c r="E47" i="8"/>
  <c r="D47" i="8"/>
  <c r="C47" i="8"/>
  <c r="B47" i="8"/>
  <c r="AE46" i="8"/>
  <c r="AB46" i="8"/>
  <c r="W46" i="8"/>
  <c r="I46" i="8"/>
  <c r="H46" i="8"/>
  <c r="G46" i="8"/>
  <c r="F46" i="8"/>
  <c r="E46" i="8"/>
  <c r="D46" i="8"/>
  <c r="C46" i="8"/>
  <c r="B46" i="8"/>
  <c r="AE45" i="8"/>
  <c r="AB45" i="8"/>
  <c r="W45" i="8"/>
  <c r="I45" i="8"/>
  <c r="H45" i="8"/>
  <c r="G45" i="8"/>
  <c r="F45" i="8"/>
  <c r="E45" i="8"/>
  <c r="D45" i="8"/>
  <c r="C45" i="8"/>
  <c r="B45" i="8"/>
  <c r="AE44" i="8"/>
  <c r="AB44" i="8"/>
  <c r="W44" i="8"/>
  <c r="I44" i="8"/>
  <c r="H44" i="8"/>
  <c r="G44" i="8"/>
  <c r="F44" i="8"/>
  <c r="E44" i="8"/>
  <c r="D44" i="8"/>
  <c r="C44" i="8"/>
  <c r="B44" i="8"/>
  <c r="AE43" i="8"/>
  <c r="AB43" i="8"/>
  <c r="W43" i="8"/>
  <c r="I43" i="8"/>
  <c r="H43" i="8"/>
  <c r="G43" i="8"/>
  <c r="F43" i="8"/>
  <c r="E43" i="8"/>
  <c r="D43" i="8"/>
  <c r="C43" i="8"/>
  <c r="B43" i="8"/>
  <c r="AE42" i="8"/>
  <c r="AB42" i="8"/>
  <c r="W42" i="8"/>
  <c r="I42" i="8"/>
  <c r="H42" i="8"/>
  <c r="G42" i="8"/>
  <c r="F42" i="8"/>
  <c r="E42" i="8"/>
  <c r="D42" i="8"/>
  <c r="C42" i="8"/>
  <c r="B42" i="8"/>
  <c r="AE41" i="8"/>
  <c r="AB41" i="8"/>
  <c r="W41" i="8"/>
  <c r="I41" i="8"/>
  <c r="H41" i="8"/>
  <c r="G41" i="8"/>
  <c r="F41" i="8"/>
  <c r="E41" i="8"/>
  <c r="D41" i="8"/>
  <c r="C41" i="8"/>
  <c r="B41" i="8"/>
  <c r="AE40" i="8"/>
  <c r="AB40" i="8"/>
  <c r="W40" i="8"/>
  <c r="I40" i="8"/>
  <c r="H40" i="8"/>
  <c r="G40" i="8"/>
  <c r="F40" i="8"/>
  <c r="E40" i="8"/>
  <c r="D40" i="8"/>
  <c r="C40" i="8"/>
  <c r="B40" i="8"/>
  <c r="AE39" i="8"/>
  <c r="AB39" i="8"/>
  <c r="W39" i="8"/>
  <c r="I39" i="8"/>
  <c r="H39" i="8"/>
  <c r="G39" i="8"/>
  <c r="F39" i="8"/>
  <c r="E39" i="8"/>
  <c r="D39" i="8"/>
  <c r="C39" i="8"/>
  <c r="B39" i="8"/>
  <c r="AE38" i="8"/>
  <c r="AB38" i="8"/>
  <c r="W38" i="8"/>
  <c r="I38" i="8"/>
  <c r="H38" i="8"/>
  <c r="G38" i="8"/>
  <c r="F38" i="8"/>
  <c r="E38" i="8"/>
  <c r="D38" i="8"/>
  <c r="C38" i="8"/>
  <c r="B38" i="8"/>
  <c r="AE37" i="8"/>
  <c r="AB37" i="8"/>
  <c r="W37" i="8"/>
  <c r="I37" i="8"/>
  <c r="H37" i="8"/>
  <c r="G37" i="8"/>
  <c r="F37" i="8"/>
  <c r="E37" i="8"/>
  <c r="D37" i="8"/>
  <c r="C37" i="8"/>
  <c r="B37" i="8"/>
  <c r="AE36" i="8"/>
  <c r="AB36" i="8"/>
  <c r="W36" i="8"/>
  <c r="I36" i="8"/>
  <c r="H36" i="8"/>
  <c r="G36" i="8"/>
  <c r="F36" i="8"/>
  <c r="E36" i="8"/>
  <c r="D36" i="8"/>
  <c r="C36" i="8"/>
  <c r="B36" i="8"/>
  <c r="AE35" i="8"/>
  <c r="AB35" i="8"/>
  <c r="W35" i="8"/>
  <c r="I35" i="8"/>
  <c r="H35" i="8"/>
  <c r="G35" i="8"/>
  <c r="F35" i="8"/>
  <c r="E35" i="8"/>
  <c r="D35" i="8"/>
  <c r="C35" i="8"/>
  <c r="B35" i="8"/>
  <c r="AE34" i="8"/>
  <c r="AB34" i="8"/>
  <c r="W34" i="8"/>
  <c r="I34" i="8"/>
  <c r="H34" i="8"/>
  <c r="G34" i="8"/>
  <c r="F34" i="8"/>
  <c r="E34" i="8"/>
  <c r="D34" i="8"/>
  <c r="C34" i="8"/>
  <c r="B34" i="8"/>
  <c r="AE33" i="8"/>
  <c r="AB33" i="8"/>
  <c r="W33" i="8"/>
  <c r="I33" i="8"/>
  <c r="H33" i="8"/>
  <c r="G33" i="8"/>
  <c r="F33" i="8"/>
  <c r="E33" i="8"/>
  <c r="D33" i="8"/>
  <c r="C33" i="8"/>
  <c r="B33" i="8"/>
  <c r="AE32" i="8"/>
  <c r="AB32" i="8"/>
  <c r="W32" i="8"/>
  <c r="I32" i="8"/>
  <c r="H32" i="8"/>
  <c r="G32" i="8"/>
  <c r="F32" i="8"/>
  <c r="E32" i="8"/>
  <c r="D32" i="8"/>
  <c r="C32" i="8"/>
  <c r="B32" i="8"/>
  <c r="AE31" i="8"/>
  <c r="AB31" i="8"/>
  <c r="W31" i="8"/>
  <c r="I31" i="8"/>
  <c r="H31" i="8"/>
  <c r="G31" i="8"/>
  <c r="F31" i="8"/>
  <c r="E31" i="8"/>
  <c r="D31" i="8"/>
  <c r="C31" i="8"/>
  <c r="B31" i="8"/>
  <c r="AE30" i="8"/>
  <c r="AB30" i="8"/>
  <c r="W30" i="8"/>
  <c r="I30" i="8"/>
  <c r="H30" i="8"/>
  <c r="G30" i="8"/>
  <c r="F30" i="8"/>
  <c r="E30" i="8"/>
  <c r="D30" i="8"/>
  <c r="C30" i="8"/>
  <c r="B30" i="8"/>
  <c r="AE29" i="8"/>
  <c r="AB29" i="8"/>
  <c r="W29" i="8"/>
  <c r="I29" i="8"/>
  <c r="H29" i="8"/>
  <c r="G29" i="8"/>
  <c r="F29" i="8"/>
  <c r="E29" i="8"/>
  <c r="D29" i="8"/>
  <c r="C29" i="8"/>
  <c r="B29" i="8"/>
  <c r="AE28" i="8"/>
  <c r="AB28" i="8"/>
  <c r="W28" i="8"/>
  <c r="I28" i="8"/>
  <c r="H28" i="8"/>
  <c r="G28" i="8"/>
  <c r="F28" i="8"/>
  <c r="E28" i="8"/>
  <c r="D28" i="8"/>
  <c r="C28" i="8"/>
  <c r="B28" i="8"/>
  <c r="AE27" i="8"/>
  <c r="AB27" i="8"/>
  <c r="W27" i="8"/>
  <c r="I27" i="8"/>
  <c r="H27" i="8"/>
  <c r="G27" i="8"/>
  <c r="F27" i="8"/>
  <c r="E27" i="8"/>
  <c r="D27" i="8"/>
  <c r="C27" i="8"/>
  <c r="B27" i="8"/>
  <c r="AE26" i="8"/>
  <c r="AB26" i="8"/>
  <c r="W26" i="8"/>
  <c r="I26" i="8"/>
  <c r="H26" i="8"/>
  <c r="G26" i="8"/>
  <c r="F26" i="8"/>
  <c r="E26" i="8"/>
  <c r="D26" i="8"/>
  <c r="C26" i="8"/>
  <c r="B26" i="8"/>
  <c r="AE25" i="8"/>
  <c r="AB25" i="8"/>
  <c r="W25" i="8"/>
  <c r="I25" i="8"/>
  <c r="H25" i="8"/>
  <c r="G25" i="8"/>
  <c r="F25" i="8"/>
  <c r="E25" i="8"/>
  <c r="D25" i="8"/>
  <c r="C25" i="8"/>
  <c r="B25" i="8"/>
  <c r="AE24" i="8"/>
  <c r="AB24" i="8"/>
  <c r="W24" i="8"/>
  <c r="I24" i="8"/>
  <c r="H24" i="8"/>
  <c r="G24" i="8"/>
  <c r="F24" i="8"/>
  <c r="E24" i="8"/>
  <c r="D24" i="8"/>
  <c r="C24" i="8"/>
  <c r="B24" i="8"/>
  <c r="AE23" i="8"/>
  <c r="AB23" i="8"/>
  <c r="W23" i="8"/>
  <c r="I23" i="8"/>
  <c r="H23" i="8"/>
  <c r="G23" i="8"/>
  <c r="F23" i="8"/>
  <c r="E23" i="8"/>
  <c r="D23" i="8"/>
  <c r="C23" i="8"/>
  <c r="B23" i="8"/>
  <c r="AE22" i="8"/>
  <c r="AB22" i="8"/>
  <c r="W22" i="8"/>
  <c r="I22" i="8"/>
  <c r="H22" i="8"/>
  <c r="G22" i="8"/>
  <c r="F22" i="8"/>
  <c r="E22" i="8"/>
  <c r="D22" i="8"/>
  <c r="C22" i="8"/>
  <c r="B22" i="8"/>
  <c r="AE21" i="8"/>
  <c r="AB21" i="8"/>
  <c r="W21" i="8"/>
  <c r="I21" i="8"/>
  <c r="H21" i="8"/>
  <c r="G21" i="8"/>
  <c r="F21" i="8"/>
  <c r="E21" i="8"/>
  <c r="D21" i="8"/>
  <c r="C21" i="8"/>
  <c r="B21" i="8"/>
  <c r="AE20" i="8"/>
  <c r="AB20" i="8"/>
  <c r="W20" i="8"/>
  <c r="I20" i="8"/>
  <c r="H20" i="8"/>
  <c r="G20" i="8"/>
  <c r="F20" i="8"/>
  <c r="E20" i="8"/>
  <c r="D20" i="8"/>
  <c r="C20" i="8"/>
  <c r="B20" i="8"/>
  <c r="AE19" i="8"/>
  <c r="AB19" i="8"/>
  <c r="W19" i="8"/>
  <c r="I19" i="8"/>
  <c r="H19" i="8"/>
  <c r="G19" i="8"/>
  <c r="F19" i="8"/>
  <c r="E19" i="8"/>
  <c r="D19" i="8"/>
  <c r="C19" i="8"/>
  <c r="B19" i="8"/>
  <c r="AE18" i="8"/>
  <c r="AB18" i="8"/>
  <c r="W18" i="8"/>
  <c r="I18" i="8"/>
  <c r="H18" i="8"/>
  <c r="G18" i="8"/>
  <c r="F18" i="8"/>
  <c r="E18" i="8"/>
  <c r="D18" i="8"/>
  <c r="C18" i="8"/>
  <c r="B18" i="8"/>
  <c r="AE17" i="8"/>
  <c r="AB17" i="8"/>
  <c r="W17" i="8"/>
  <c r="I17" i="8"/>
  <c r="H17" i="8"/>
  <c r="G17" i="8"/>
  <c r="F17" i="8"/>
  <c r="E17" i="8"/>
  <c r="D17" i="8"/>
  <c r="C17" i="8"/>
  <c r="B17" i="8"/>
  <c r="AE16" i="8"/>
  <c r="AB16" i="8"/>
  <c r="W16" i="8"/>
  <c r="I16" i="8"/>
  <c r="H16" i="8"/>
  <c r="G16" i="8"/>
  <c r="F16" i="8"/>
  <c r="E16" i="8"/>
  <c r="D16" i="8"/>
  <c r="C16" i="8"/>
  <c r="B16" i="8"/>
  <c r="AE15" i="8"/>
  <c r="AB15" i="8"/>
  <c r="W15" i="8"/>
  <c r="I15" i="8"/>
  <c r="H15" i="8"/>
  <c r="G15" i="8"/>
  <c r="F15" i="8"/>
  <c r="E15" i="8"/>
  <c r="D15" i="8"/>
  <c r="C15" i="8"/>
  <c r="B15" i="8"/>
  <c r="AE14" i="8"/>
  <c r="AB14" i="8"/>
  <c r="W14" i="8"/>
  <c r="I14" i="8"/>
  <c r="H14" i="8"/>
  <c r="G14" i="8"/>
  <c r="F14" i="8"/>
  <c r="E14" i="8"/>
  <c r="D14" i="8"/>
  <c r="C14" i="8"/>
  <c r="B14" i="8"/>
  <c r="AE13" i="8"/>
  <c r="AB13" i="8"/>
  <c r="W13" i="8"/>
  <c r="I13" i="8"/>
  <c r="H13" i="8"/>
  <c r="G13" i="8"/>
  <c r="F13" i="8"/>
  <c r="E13" i="8"/>
  <c r="D13" i="8"/>
  <c r="C13" i="8"/>
  <c r="B13" i="8"/>
  <c r="AE12" i="8"/>
  <c r="AB12" i="8"/>
  <c r="W12" i="8"/>
  <c r="I12" i="8"/>
  <c r="H12" i="8"/>
  <c r="G12" i="8"/>
  <c r="F12" i="8"/>
  <c r="E12" i="8"/>
  <c r="D12" i="8"/>
  <c r="C12" i="8"/>
  <c r="B12" i="8"/>
  <c r="AE11" i="8"/>
  <c r="AB11" i="8"/>
  <c r="W11" i="8"/>
  <c r="I11" i="8"/>
  <c r="H11" i="8"/>
  <c r="G11" i="8"/>
  <c r="F11" i="8"/>
  <c r="E11" i="8"/>
  <c r="D11" i="8"/>
  <c r="C11" i="8"/>
  <c r="B11" i="8"/>
  <c r="AE10" i="8"/>
  <c r="AB10" i="8"/>
  <c r="W10" i="8"/>
  <c r="I10" i="8"/>
  <c r="H10" i="8"/>
  <c r="G10" i="8"/>
  <c r="F10" i="8"/>
  <c r="E10" i="8"/>
  <c r="D10" i="8"/>
  <c r="C10" i="8"/>
  <c r="B10" i="8"/>
  <c r="AE9" i="8"/>
  <c r="AB9" i="8"/>
  <c r="W9" i="8"/>
  <c r="I9" i="8"/>
  <c r="H9" i="8"/>
  <c r="G9" i="8"/>
  <c r="F9" i="8"/>
  <c r="E9" i="8"/>
  <c r="D9" i="8"/>
  <c r="C9" i="8"/>
  <c r="B9" i="8"/>
  <c r="AE8" i="8"/>
  <c r="AB8" i="8"/>
  <c r="W8" i="8"/>
  <c r="I8" i="8"/>
  <c r="H8" i="8"/>
  <c r="G8" i="8"/>
  <c r="F8" i="8"/>
  <c r="E8" i="8"/>
  <c r="D8" i="8"/>
  <c r="C8" i="8"/>
  <c r="B8" i="8"/>
  <c r="AE7" i="8"/>
  <c r="AB7" i="8"/>
  <c r="W7" i="8"/>
  <c r="I7" i="8"/>
  <c r="H7" i="8"/>
  <c r="G7" i="8"/>
  <c r="F7" i="8"/>
  <c r="E7" i="8"/>
  <c r="D7" i="8"/>
  <c r="C7" i="8"/>
  <c r="B7" i="8"/>
  <c r="AE6" i="8"/>
  <c r="AB6" i="8"/>
  <c r="W6" i="8"/>
  <c r="I6" i="8"/>
  <c r="H6" i="8"/>
  <c r="G6" i="8"/>
  <c r="F6" i="8"/>
  <c r="E6" i="8"/>
  <c r="D6" i="8"/>
  <c r="C6" i="8"/>
  <c r="B6" i="8"/>
  <c r="AE5" i="8"/>
  <c r="AB5" i="8"/>
  <c r="W5" i="8"/>
  <c r="I5" i="8"/>
  <c r="H5" i="8"/>
  <c r="G5" i="8"/>
  <c r="F5" i="8"/>
  <c r="E5" i="8"/>
  <c r="D5" i="8"/>
  <c r="C5" i="8"/>
  <c r="B5" i="8"/>
  <c r="AE4" i="8"/>
  <c r="AB4" i="8"/>
  <c r="W4" i="8"/>
  <c r="I4" i="8"/>
  <c r="H4" i="8"/>
  <c r="G4" i="8"/>
  <c r="F4" i="8"/>
  <c r="E4" i="8"/>
  <c r="D4" i="8"/>
  <c r="C4" i="8"/>
  <c r="B4" i="8"/>
  <c r="AE3" i="8"/>
  <c r="AB3" i="8"/>
  <c r="W3" i="8"/>
  <c r="I3" i="8"/>
  <c r="H3" i="8"/>
  <c r="G3" i="8"/>
  <c r="F3" i="8"/>
  <c r="E3" i="8"/>
  <c r="D3" i="8"/>
  <c r="C3" i="8"/>
  <c r="B3" i="8"/>
  <c r="AE2" i="8"/>
  <c r="AB2" i="8"/>
  <c r="W2" i="8"/>
  <c r="I2" i="8"/>
  <c r="H2" i="8"/>
  <c r="G2" i="8"/>
  <c r="F2" i="8"/>
  <c r="E2" i="8"/>
  <c r="D2" i="8"/>
  <c r="C2" i="8"/>
  <c r="B2" i="8"/>
  <c r="AE1" i="8"/>
  <c r="AB1" i="8"/>
  <c r="W1" i="8"/>
  <c r="I1" i="8"/>
  <c r="H1" i="8"/>
  <c r="G1" i="8"/>
  <c r="F1" i="8"/>
  <c r="E1" i="8"/>
  <c r="D1" i="8"/>
  <c r="C1" i="8"/>
  <c r="B1" i="8"/>
  <c r="G2" i="6"/>
  <c r="K1" i="13"/>
  <c r="G1" i="13"/>
  <c r="J1" i="13"/>
  <c r="I1" i="13"/>
  <c r="N1" i="13"/>
  <c r="H1" i="13"/>
  <c r="M1" i="13"/>
  <c r="L1" i="13"/>
  <c r="R152" i="13" l="1"/>
  <c r="R198" i="13"/>
  <c r="R178" i="13"/>
  <c r="R158" i="13"/>
  <c r="R138" i="13"/>
  <c r="R118" i="13"/>
  <c r="R98" i="13"/>
  <c r="R78" i="13"/>
  <c r="R58" i="13"/>
  <c r="R38" i="13"/>
  <c r="R18" i="13"/>
  <c r="R189" i="13"/>
  <c r="R169" i="13"/>
  <c r="R149" i="13"/>
  <c r="R129" i="13"/>
  <c r="R109" i="13"/>
  <c r="R89" i="13"/>
  <c r="R69" i="13"/>
  <c r="R95" i="13"/>
  <c r="R93" i="13"/>
  <c r="R94" i="13"/>
  <c r="R85" i="13"/>
  <c r="R45" i="13"/>
  <c r="R25" i="13"/>
  <c r="R5" i="13"/>
  <c r="R190" i="13"/>
  <c r="R170" i="13"/>
  <c r="R150" i="13"/>
  <c r="R130" i="13"/>
  <c r="R110" i="13"/>
  <c r="R90" i="13"/>
  <c r="R70" i="13"/>
  <c r="R50" i="13"/>
  <c r="R30" i="13"/>
  <c r="R10" i="13"/>
  <c r="R183" i="13"/>
  <c r="R163" i="13"/>
  <c r="R143" i="13"/>
  <c r="R200" i="13"/>
  <c r="R180" i="13"/>
  <c r="R160" i="13"/>
  <c r="R140" i="13"/>
  <c r="R120" i="13"/>
  <c r="R100" i="13"/>
  <c r="R80" i="13"/>
  <c r="R60" i="13"/>
  <c r="R40" i="13"/>
  <c r="R20" i="13"/>
  <c r="R128" i="13"/>
  <c r="R8" i="13"/>
  <c r="R28" i="13"/>
  <c r="R32" i="13"/>
  <c r="R49" i="13"/>
  <c r="R199" i="13"/>
  <c r="R179" i="13"/>
  <c r="R159" i="13"/>
  <c r="R139" i="13"/>
  <c r="R119" i="13"/>
  <c r="R99" i="13"/>
  <c r="R79" i="13"/>
  <c r="R59" i="13"/>
  <c r="R39" i="13"/>
  <c r="R19" i="13"/>
  <c r="R195" i="13"/>
  <c r="R175" i="13"/>
  <c r="R155" i="13"/>
  <c r="R135" i="13"/>
  <c r="R115" i="13"/>
  <c r="R75" i="13"/>
  <c r="R55" i="13"/>
  <c r="R35" i="13"/>
  <c r="R15" i="13"/>
  <c r="R194" i="13"/>
  <c r="R174" i="13"/>
  <c r="R154" i="13"/>
  <c r="R134" i="13"/>
  <c r="R114" i="13"/>
  <c r="R74" i="13"/>
  <c r="R54" i="13"/>
  <c r="R34" i="13"/>
  <c r="R14" i="13"/>
  <c r="R29" i="13"/>
  <c r="R65" i="13"/>
  <c r="R197" i="13"/>
  <c r="R177" i="13"/>
  <c r="R157" i="13"/>
  <c r="R137" i="13"/>
  <c r="R117" i="13"/>
  <c r="R97" i="13"/>
  <c r="R77" i="13"/>
  <c r="R57" i="13"/>
  <c r="R37" i="13"/>
  <c r="R17" i="13"/>
  <c r="R193" i="13"/>
  <c r="R153" i="13"/>
  <c r="R133" i="13"/>
  <c r="R73" i="13"/>
  <c r="R33" i="13"/>
  <c r="R13" i="13"/>
  <c r="R191" i="13"/>
  <c r="R171" i="13"/>
  <c r="R151" i="13"/>
  <c r="R131" i="13"/>
  <c r="R111" i="13"/>
  <c r="R91" i="13"/>
  <c r="R71" i="13"/>
  <c r="R51" i="13"/>
  <c r="R31" i="13"/>
  <c r="R11" i="13"/>
  <c r="R9" i="13"/>
  <c r="E1" i="13"/>
  <c r="D2" i="13" s="1"/>
  <c r="R92" i="13"/>
  <c r="R192" i="13"/>
  <c r="R173" i="13"/>
  <c r="R132" i="13"/>
  <c r="R112" i="13"/>
  <c r="R72" i="13"/>
  <c r="R52" i="13"/>
  <c r="R12" i="13"/>
  <c r="R187" i="13"/>
  <c r="R167" i="13"/>
  <c r="R147" i="13"/>
  <c r="R107" i="13"/>
  <c r="R87" i="13"/>
  <c r="R67" i="13"/>
  <c r="R47" i="13"/>
  <c r="R184" i="13"/>
  <c r="R164" i="13"/>
  <c r="R144" i="13"/>
  <c r="R124" i="13"/>
  <c r="R104" i="13"/>
  <c r="R84" i="13"/>
  <c r="R64" i="13"/>
  <c r="R44" i="13"/>
  <c r="R24" i="13"/>
  <c r="R4" i="13"/>
  <c r="R201" i="13"/>
  <c r="R181" i="13"/>
  <c r="R161" i="13"/>
  <c r="R141" i="13"/>
  <c r="R121" i="13"/>
  <c r="R101" i="13"/>
  <c r="R81" i="13"/>
  <c r="R61" i="13"/>
  <c r="R41" i="13"/>
  <c r="R21" i="13"/>
  <c r="R1" i="13"/>
  <c r="R172" i="13"/>
  <c r="R113" i="13"/>
  <c r="R186" i="13"/>
  <c r="R166" i="13"/>
  <c r="R146" i="13"/>
  <c r="R126" i="13"/>
  <c r="R106" i="13"/>
  <c r="R86" i="13"/>
  <c r="R66" i="13"/>
  <c r="R46" i="13"/>
  <c r="R26" i="13"/>
  <c r="R6" i="13"/>
  <c r="R185" i="13"/>
  <c r="R165" i="13"/>
  <c r="R145" i="13"/>
  <c r="R125" i="13"/>
  <c r="R105" i="13"/>
  <c r="R53" i="13"/>
  <c r="R123" i="13"/>
  <c r="R103" i="13"/>
  <c r="R83" i="13"/>
  <c r="R63" i="13"/>
  <c r="R43" i="13"/>
  <c r="R23" i="13"/>
  <c r="R3" i="13"/>
  <c r="R202" i="13"/>
  <c r="R182" i="13"/>
  <c r="R162" i="13"/>
  <c r="R142" i="13"/>
  <c r="R122" i="13"/>
  <c r="R102" i="13"/>
  <c r="R82" i="13"/>
  <c r="R62" i="13"/>
  <c r="R42" i="13"/>
  <c r="R22" i="13"/>
  <c r="R2" i="13"/>
  <c r="R168" i="13"/>
  <c r="R48" i="13"/>
  <c r="R127" i="13"/>
  <c r="R7" i="13"/>
  <c r="R188" i="13"/>
  <c r="R148" i="13"/>
  <c r="R108" i="13"/>
  <c r="R88" i="13"/>
  <c r="R68" i="13"/>
  <c r="R27" i="13"/>
  <c r="R203" i="13"/>
  <c r="D3" i="6"/>
  <c r="E3" i="6" s="1"/>
  <c r="F3" i="6" s="1"/>
  <c r="D5" i="6"/>
  <c r="E5" i="6" s="1"/>
  <c r="F5" i="6" s="1"/>
  <c r="K5" i="6" s="1"/>
  <c r="D11" i="6"/>
  <c r="E11" i="6" s="1"/>
  <c r="F11" i="6" s="1"/>
  <c r="K11" i="6" s="1"/>
  <c r="D10" i="6"/>
  <c r="E10" i="6" s="1"/>
  <c r="F10" i="6" s="1"/>
  <c r="K10" i="6" s="1"/>
  <c r="D16" i="6"/>
  <c r="E16" i="6" s="1"/>
  <c r="F16" i="6" s="1"/>
  <c r="K16" i="6" s="1"/>
  <c r="D8" i="6"/>
  <c r="E8" i="6" s="1"/>
  <c r="F8" i="6" s="1"/>
  <c r="K8" i="6" s="1"/>
  <c r="D9" i="6"/>
  <c r="E9" i="6" s="1"/>
  <c r="F9" i="6" s="1"/>
  <c r="K9" i="6" s="1"/>
  <c r="D15" i="6"/>
  <c r="E15" i="6" s="1"/>
  <c r="F15" i="6" s="1"/>
  <c r="H15" i="6" s="1"/>
  <c r="D14" i="6"/>
  <c r="E14" i="6" s="1"/>
  <c r="F14" i="6" s="1"/>
  <c r="K14" i="6" s="1"/>
  <c r="D13" i="6"/>
  <c r="E13" i="6" s="1"/>
  <c r="F13" i="6" s="1"/>
  <c r="K13" i="6" s="1"/>
  <c r="D4" i="6"/>
  <c r="E4" i="6" s="1"/>
  <c r="F4" i="6" s="1"/>
  <c r="D7" i="6"/>
  <c r="E7" i="6" s="1"/>
  <c r="F7" i="6" s="1"/>
  <c r="K7" i="6" s="1"/>
  <c r="D6" i="6"/>
  <c r="E6" i="6" s="1"/>
  <c r="F6" i="6" s="1"/>
  <c r="H6" i="6" s="1"/>
  <c r="D12" i="6"/>
  <c r="E12" i="6" s="1"/>
  <c r="F12" i="6" s="1"/>
  <c r="K12" i="6" s="1"/>
  <c r="E325" i="6"/>
  <c r="F325" i="6" s="1"/>
  <c r="K325" i="6" s="1"/>
  <c r="D324" i="6"/>
  <c r="E324" i="6" s="1"/>
  <c r="F324" i="6" s="1"/>
  <c r="K57" i="6"/>
  <c r="K94" i="6"/>
  <c r="K150" i="6"/>
  <c r="I2" i="6"/>
  <c r="E528" i="14"/>
  <c r="E481" i="14"/>
  <c r="E491" i="14"/>
  <c r="E433" i="14"/>
  <c r="E336" i="14"/>
  <c r="E171" i="14"/>
  <c r="E489" i="14"/>
  <c r="D335" i="14"/>
  <c r="E335" i="14"/>
  <c r="D111" i="14"/>
  <c r="E111" i="14"/>
  <c r="D91" i="14"/>
  <c r="E91" i="14"/>
  <c r="D112" i="14"/>
  <c r="E112" i="14"/>
  <c r="D329" i="14"/>
  <c r="E329" i="14"/>
  <c r="D169" i="14"/>
  <c r="E169" i="14"/>
  <c r="E161" i="14"/>
  <c r="E141" i="14"/>
  <c r="E261" i="14"/>
  <c r="D261" i="14"/>
  <c r="E361" i="14"/>
  <c r="E321" i="14"/>
  <c r="E311" i="14"/>
  <c r="E259" i="14"/>
  <c r="E258" i="14"/>
  <c r="E538" i="14"/>
  <c r="E371" i="14"/>
  <c r="E172" i="14"/>
  <c r="E478" i="14"/>
  <c r="E436" i="14"/>
  <c r="E276" i="14"/>
  <c r="E115" i="14"/>
  <c r="E435" i="14"/>
  <c r="E275" i="14"/>
  <c r="E114" i="14"/>
  <c r="E145" i="14"/>
  <c r="E139" i="14"/>
  <c r="E425" i="14"/>
  <c r="E241" i="14"/>
  <c r="E89" i="14"/>
  <c r="E485" i="14"/>
  <c r="E251" i="14"/>
  <c r="D218" i="14"/>
  <c r="E395" i="14"/>
  <c r="E229" i="14"/>
  <c r="E59" i="14"/>
  <c r="E138" i="14"/>
  <c r="E432" i="14"/>
  <c r="E431" i="14"/>
  <c r="E571" i="14"/>
  <c r="E389" i="14"/>
  <c r="E225" i="14"/>
  <c r="E58" i="14"/>
  <c r="E549" i="14"/>
  <c r="E381" i="14"/>
  <c r="E221" i="14"/>
  <c r="E55" i="14"/>
  <c r="E459" i="14"/>
  <c r="D418" i="14"/>
  <c r="E541" i="14"/>
  <c r="E375" i="14"/>
  <c r="E215" i="14"/>
  <c r="E54" i="14"/>
  <c r="E540" i="14"/>
  <c r="E373" i="14"/>
  <c r="E199" i="14"/>
  <c r="E51" i="14"/>
  <c r="E291" i="14"/>
  <c r="E539" i="14"/>
  <c r="E372" i="14"/>
  <c r="E198" i="14"/>
  <c r="E536" i="14"/>
  <c r="E477" i="14"/>
  <c r="E429" i="14"/>
  <c r="E316" i="14"/>
  <c r="E210" i="14"/>
  <c r="E155" i="14"/>
  <c r="E99" i="14"/>
  <c r="E535" i="14"/>
  <c r="E476" i="14"/>
  <c r="E315" i="14"/>
  <c r="E257" i="14"/>
  <c r="E209" i="14"/>
  <c r="E150" i="14"/>
  <c r="E45" i="14"/>
  <c r="E581" i="14"/>
  <c r="E530" i="14"/>
  <c r="E475" i="14"/>
  <c r="E421" i="14"/>
  <c r="E370" i="14"/>
  <c r="E312" i="14"/>
  <c r="E256" i="14"/>
  <c r="E201" i="14"/>
  <c r="E149" i="14"/>
  <c r="E93" i="14"/>
  <c r="E38" i="14"/>
  <c r="E156" i="14"/>
  <c r="E98" i="14"/>
  <c r="E575" i="14"/>
  <c r="E529" i="14"/>
  <c r="E470" i="14"/>
  <c r="E417" i="14"/>
  <c r="E369" i="14"/>
  <c r="E255" i="14"/>
  <c r="E200" i="14"/>
  <c r="E92" i="14"/>
  <c r="E33" i="14"/>
  <c r="E216" i="14"/>
  <c r="E317" i="14"/>
  <c r="E570" i="14"/>
  <c r="E516" i="14"/>
  <c r="E31" i="14"/>
  <c r="E569" i="14"/>
  <c r="E515" i="14"/>
  <c r="E458" i="14"/>
  <c r="E410" i="14"/>
  <c r="E355" i="14"/>
  <c r="E301" i="14"/>
  <c r="E249" i="14"/>
  <c r="E197" i="14"/>
  <c r="E85" i="14"/>
  <c r="E25" i="14"/>
  <c r="E330" i="14"/>
  <c r="E217" i="14"/>
  <c r="E53" i="14"/>
  <c r="E415" i="14"/>
  <c r="E568" i="14"/>
  <c r="E512" i="14"/>
  <c r="E457" i="14"/>
  <c r="E409" i="14"/>
  <c r="E350" i="14"/>
  <c r="E295" i="14"/>
  <c r="E196" i="14"/>
  <c r="E137" i="14"/>
  <c r="E81" i="14"/>
  <c r="E19" i="14"/>
  <c r="E113" i="14"/>
  <c r="E270" i="14"/>
  <c r="E565" i="14"/>
  <c r="E511" i="14"/>
  <c r="E456" i="14"/>
  <c r="E401" i="14"/>
  <c r="E349" i="14"/>
  <c r="E236" i="14"/>
  <c r="E195" i="14"/>
  <c r="E136" i="14"/>
  <c r="E80" i="14"/>
  <c r="E18" i="14"/>
  <c r="E170" i="14"/>
  <c r="E269" i="14"/>
  <c r="E105" i="14"/>
  <c r="E356" i="14"/>
  <c r="E561" i="14"/>
  <c r="E510" i="14"/>
  <c r="E455" i="14"/>
  <c r="E400" i="14"/>
  <c r="E345" i="14"/>
  <c r="E290" i="14"/>
  <c r="E235" i="14"/>
  <c r="E190" i="14"/>
  <c r="E135" i="14"/>
  <c r="E79" i="14"/>
  <c r="E17" i="14"/>
  <c r="E490" i="14"/>
  <c r="E537" i="14"/>
  <c r="E309" i="14"/>
  <c r="E557" i="14"/>
  <c r="E509" i="14"/>
  <c r="E451" i="14"/>
  <c r="E399" i="14"/>
  <c r="E341" i="14"/>
  <c r="E289" i="14"/>
  <c r="E233" i="14"/>
  <c r="E189" i="14"/>
  <c r="E130" i="14"/>
  <c r="E78" i="14"/>
  <c r="E16" i="14"/>
  <c r="E277" i="14"/>
  <c r="E430" i="14"/>
  <c r="E416" i="14"/>
  <c r="E250" i="14"/>
  <c r="E556" i="14"/>
  <c r="E508" i="14"/>
  <c r="E450" i="14"/>
  <c r="E398" i="14"/>
  <c r="E339" i="14"/>
  <c r="E285" i="14"/>
  <c r="E232" i="14"/>
  <c r="E181" i="14"/>
  <c r="E125" i="14"/>
  <c r="E73" i="14"/>
  <c r="E11" i="14"/>
  <c r="E390" i="14"/>
  <c r="E310" i="14"/>
  <c r="E555" i="14"/>
  <c r="E501" i="14"/>
  <c r="E449" i="14"/>
  <c r="E397" i="14"/>
  <c r="E338" i="14"/>
  <c r="E281" i="14"/>
  <c r="E231" i="14"/>
  <c r="E175" i="14"/>
  <c r="E118" i="14"/>
  <c r="E72" i="14"/>
  <c r="E10" i="14"/>
  <c r="E52" i="14"/>
  <c r="E469" i="14"/>
  <c r="E32" i="14"/>
  <c r="E550" i="14"/>
  <c r="E495" i="14"/>
  <c r="E441" i="14"/>
  <c r="E396" i="14"/>
  <c r="E337" i="14"/>
  <c r="E278" i="14"/>
  <c r="E230" i="14"/>
  <c r="E173" i="14"/>
  <c r="E116" i="14"/>
  <c r="E65" i="14"/>
  <c r="E5" i="14"/>
  <c r="E117" i="14"/>
  <c r="D22" i="14"/>
  <c r="E22" i="14"/>
  <c r="D2" i="14"/>
  <c r="E2" i="14"/>
  <c r="D567" i="14"/>
  <c r="E567" i="14"/>
  <c r="D547" i="14"/>
  <c r="E547" i="14"/>
  <c r="D507" i="14"/>
  <c r="E507" i="14"/>
  <c r="D487" i="14"/>
  <c r="E487" i="14"/>
  <c r="D447" i="14"/>
  <c r="E447" i="14"/>
  <c r="D387" i="14"/>
  <c r="E387" i="14"/>
  <c r="D367" i="14"/>
  <c r="E367" i="14"/>
  <c r="D347" i="14"/>
  <c r="E347" i="14"/>
  <c r="D327" i="14"/>
  <c r="E327" i="14"/>
  <c r="D307" i="14"/>
  <c r="E307" i="14"/>
  <c r="D267" i="14"/>
  <c r="E267" i="14"/>
  <c r="D207" i="14"/>
  <c r="E207" i="14"/>
  <c r="D167" i="14"/>
  <c r="E167" i="14"/>
  <c r="D147" i="14"/>
  <c r="E147" i="14"/>
  <c r="E374" i="14"/>
  <c r="E174" i="14"/>
  <c r="D103" i="14"/>
  <c r="E103" i="14"/>
  <c r="D83" i="14"/>
  <c r="E83" i="14"/>
  <c r="D43" i="14"/>
  <c r="E43" i="14"/>
  <c r="D260" i="14"/>
  <c r="E514" i="14"/>
  <c r="E513" i="14"/>
  <c r="E340" i="14"/>
  <c r="E314" i="14"/>
  <c r="E140" i="14"/>
  <c r="E30" i="14"/>
  <c r="D566" i="14"/>
  <c r="E566" i="14"/>
  <c r="D546" i="14"/>
  <c r="E546" i="14"/>
  <c r="D526" i="14"/>
  <c r="E526" i="14"/>
  <c r="D486" i="14"/>
  <c r="E486" i="14"/>
  <c r="D466" i="14"/>
  <c r="E466" i="14"/>
  <c r="D426" i="14"/>
  <c r="E426" i="14"/>
  <c r="D406" i="14"/>
  <c r="E406" i="14"/>
  <c r="D386" i="14"/>
  <c r="E386" i="14"/>
  <c r="D366" i="14"/>
  <c r="E366" i="14"/>
  <c r="D346" i="14"/>
  <c r="E346" i="14"/>
  <c r="D326" i="14"/>
  <c r="E326" i="14"/>
  <c r="D286" i="14"/>
  <c r="E286" i="14"/>
  <c r="D246" i="14"/>
  <c r="E246" i="14"/>
  <c r="D226" i="14"/>
  <c r="E226" i="14"/>
  <c r="D186" i="14"/>
  <c r="E186" i="14"/>
  <c r="D146" i="14"/>
  <c r="E146" i="14"/>
  <c r="E313" i="14"/>
  <c r="E29" i="14"/>
  <c r="D122" i="14"/>
  <c r="E122" i="14"/>
  <c r="D102" i="14"/>
  <c r="E102" i="14"/>
  <c r="D82" i="14"/>
  <c r="E82" i="14"/>
  <c r="D62" i="14"/>
  <c r="E62" i="14"/>
  <c r="D42" i="14"/>
  <c r="E42" i="14"/>
  <c r="D220" i="14"/>
  <c r="E480" i="14"/>
  <c r="E454" i="14"/>
  <c r="E280" i="14"/>
  <c r="E254" i="14"/>
  <c r="D27" i="14"/>
  <c r="E27" i="14"/>
  <c r="E21" i="14"/>
  <c r="D128" i="14"/>
  <c r="E128" i="14"/>
  <c r="D108" i="14"/>
  <c r="E108" i="14"/>
  <c r="D28" i="14"/>
  <c r="E28" i="14"/>
  <c r="E559" i="14"/>
  <c r="E534" i="14"/>
  <c r="E452" i="14"/>
  <c r="E420" i="14"/>
  <c r="E394" i="14"/>
  <c r="E365" i="14"/>
  <c r="E252" i="14"/>
  <c r="E194" i="14"/>
  <c r="E165" i="14"/>
  <c r="E110" i="14"/>
  <c r="E20" i="14"/>
  <c r="E558" i="14"/>
  <c r="E533" i="14"/>
  <c r="E419" i="14"/>
  <c r="E393" i="14"/>
  <c r="E219" i="14"/>
  <c r="E193" i="14"/>
  <c r="E109" i="14"/>
  <c r="D127" i="14"/>
  <c r="E127" i="14"/>
  <c r="D107" i="14"/>
  <c r="E107" i="14"/>
  <c r="D87" i="14"/>
  <c r="E87" i="14"/>
  <c r="D67" i="14"/>
  <c r="E67" i="14"/>
  <c r="D47" i="14"/>
  <c r="E47" i="14"/>
  <c r="D564" i="14"/>
  <c r="E564" i="14"/>
  <c r="D544" i="14"/>
  <c r="E544" i="14"/>
  <c r="D524" i="14"/>
  <c r="E524" i="14"/>
  <c r="D504" i="14"/>
  <c r="E504" i="14"/>
  <c r="D484" i="14"/>
  <c r="E484" i="14"/>
  <c r="D444" i="14"/>
  <c r="E444" i="14"/>
  <c r="D404" i="14"/>
  <c r="E404" i="14"/>
  <c r="D384" i="14"/>
  <c r="E384" i="14"/>
  <c r="D364" i="14"/>
  <c r="E364" i="14"/>
  <c r="D344" i="14"/>
  <c r="E344" i="14"/>
  <c r="D324" i="14"/>
  <c r="E324" i="14"/>
  <c r="D304" i="14"/>
  <c r="E304" i="14"/>
  <c r="D264" i="14"/>
  <c r="E264" i="14"/>
  <c r="D224" i="14"/>
  <c r="E224" i="14"/>
  <c r="D184" i="14"/>
  <c r="E184" i="14"/>
  <c r="D164" i="14"/>
  <c r="E164" i="14"/>
  <c r="D144" i="14"/>
  <c r="E144" i="14"/>
  <c r="E531" i="14"/>
  <c r="E391" i="14"/>
  <c r="E359" i="14"/>
  <c r="E333" i="14"/>
  <c r="E191" i="14"/>
  <c r="E159" i="14"/>
  <c r="E133" i="14"/>
  <c r="E101" i="14"/>
  <c r="E580" i="14"/>
  <c r="E500" i="14"/>
  <c r="E474" i="14"/>
  <c r="E445" i="14"/>
  <c r="E358" i="14"/>
  <c r="E332" i="14"/>
  <c r="E300" i="14"/>
  <c r="E274" i="14"/>
  <c r="E245" i="14"/>
  <c r="E158" i="14"/>
  <c r="E132" i="14"/>
  <c r="E100" i="14"/>
  <c r="E579" i="14"/>
  <c r="E554" i="14"/>
  <c r="E499" i="14"/>
  <c r="E473" i="14"/>
  <c r="E357" i="14"/>
  <c r="E331" i="14"/>
  <c r="E299" i="14"/>
  <c r="E273" i="14"/>
  <c r="E157" i="14"/>
  <c r="E131" i="14"/>
  <c r="E41" i="14"/>
  <c r="E15" i="14"/>
  <c r="E578" i="14"/>
  <c r="E553" i="14"/>
  <c r="E498" i="14"/>
  <c r="E472" i="14"/>
  <c r="E440" i="14"/>
  <c r="E414" i="14"/>
  <c r="E385" i="14"/>
  <c r="E298" i="14"/>
  <c r="E272" i="14"/>
  <c r="E240" i="14"/>
  <c r="E214" i="14"/>
  <c r="E185" i="14"/>
  <c r="E40" i="14"/>
  <c r="E14" i="14"/>
  <c r="E577" i="14"/>
  <c r="E552" i="14"/>
  <c r="E525" i="14"/>
  <c r="E497" i="14"/>
  <c r="E471" i="14"/>
  <c r="E439" i="14"/>
  <c r="E413" i="14"/>
  <c r="E297" i="14"/>
  <c r="E271" i="14"/>
  <c r="E239" i="14"/>
  <c r="E213" i="14"/>
  <c r="E129" i="14"/>
  <c r="E97" i="14"/>
  <c r="E71" i="14"/>
  <c r="E39" i="14"/>
  <c r="E13" i="14"/>
  <c r="E576" i="14"/>
  <c r="E551" i="14"/>
  <c r="E521" i="14"/>
  <c r="E496" i="14"/>
  <c r="E438" i="14"/>
  <c r="E412" i="14"/>
  <c r="E380" i="14"/>
  <c r="E354" i="14"/>
  <c r="E325" i="14"/>
  <c r="E296" i="14"/>
  <c r="E238" i="14"/>
  <c r="E212" i="14"/>
  <c r="E180" i="14"/>
  <c r="E154" i="14"/>
  <c r="E96" i="14"/>
  <c r="E70" i="14"/>
  <c r="E12" i="14"/>
  <c r="D467" i="14"/>
  <c r="E467" i="14"/>
  <c r="D407" i="14"/>
  <c r="E407" i="14"/>
  <c r="D287" i="14"/>
  <c r="E287" i="14"/>
  <c r="D247" i="14"/>
  <c r="E247" i="14"/>
  <c r="E90" i="14"/>
  <c r="D123" i="14"/>
  <c r="E123" i="14"/>
  <c r="E57" i="14"/>
  <c r="D306" i="14"/>
  <c r="E306" i="14"/>
  <c r="D7" i="14"/>
  <c r="E7" i="14"/>
  <c r="E560" i="14"/>
  <c r="E479" i="14"/>
  <c r="E453" i="14"/>
  <c r="E279" i="14"/>
  <c r="D68" i="14"/>
  <c r="E68" i="14"/>
  <c r="D6" i="14"/>
  <c r="E6" i="14"/>
  <c r="D95" i="14"/>
  <c r="E505" i="14"/>
  <c r="E392" i="14"/>
  <c r="E360" i="14"/>
  <c r="E334" i="14"/>
  <c r="E305" i="14"/>
  <c r="E192" i="14"/>
  <c r="E160" i="14"/>
  <c r="E134" i="14"/>
  <c r="E76" i="14"/>
  <c r="D464" i="14"/>
  <c r="E464" i="14"/>
  <c r="D284" i="14"/>
  <c r="E284" i="14"/>
  <c r="D244" i="14"/>
  <c r="E244" i="14"/>
  <c r="E75" i="14"/>
  <c r="E74" i="14"/>
  <c r="E520" i="14"/>
  <c r="E411" i="14"/>
  <c r="E353" i="14"/>
  <c r="E237" i="14"/>
  <c r="E179" i="14"/>
  <c r="E121" i="14"/>
  <c r="E69" i="14"/>
  <c r="E494" i="14"/>
  <c r="E465" i="14"/>
  <c r="E378" i="14"/>
  <c r="E352" i="14"/>
  <c r="E320" i="14"/>
  <c r="E265" i="14"/>
  <c r="E178" i="14"/>
  <c r="E152" i="14"/>
  <c r="E120" i="14"/>
  <c r="E94" i="14"/>
  <c r="D23" i="14"/>
  <c r="E23" i="14"/>
  <c r="D3" i="14"/>
  <c r="E3" i="14"/>
  <c r="D488" i="14"/>
  <c r="E488" i="14"/>
  <c r="D468" i="14"/>
  <c r="E468" i="14"/>
  <c r="D448" i="14"/>
  <c r="E448" i="14"/>
  <c r="D428" i="14"/>
  <c r="E428" i="14"/>
  <c r="D408" i="14"/>
  <c r="E408" i="14"/>
  <c r="D388" i="14"/>
  <c r="E388" i="14"/>
  <c r="D368" i="14"/>
  <c r="E368" i="14"/>
  <c r="D348" i="14"/>
  <c r="E348" i="14"/>
  <c r="D328" i="14"/>
  <c r="E328" i="14"/>
  <c r="D308" i="14"/>
  <c r="E308" i="14"/>
  <c r="D288" i="14"/>
  <c r="E288" i="14"/>
  <c r="D268" i="14"/>
  <c r="E268" i="14"/>
  <c r="D248" i="14"/>
  <c r="E248" i="14"/>
  <c r="D228" i="14"/>
  <c r="E228" i="14"/>
  <c r="D208" i="14"/>
  <c r="E208" i="14"/>
  <c r="D188" i="14"/>
  <c r="E188" i="14"/>
  <c r="D168" i="14"/>
  <c r="E168" i="14"/>
  <c r="D148" i="14"/>
  <c r="E148" i="14"/>
  <c r="D460" i="14"/>
  <c r="E573" i="14"/>
  <c r="E548" i="14"/>
  <c r="E518" i="14"/>
  <c r="E493" i="14"/>
  <c r="E461" i="14"/>
  <c r="E377" i="14"/>
  <c r="E351" i="14"/>
  <c r="E319" i="14"/>
  <c r="E293" i="14"/>
  <c r="E177" i="14"/>
  <c r="E151" i="14"/>
  <c r="E119" i="14"/>
  <c r="E61" i="14"/>
  <c r="E35" i="14"/>
  <c r="E9" i="14"/>
  <c r="D527" i="14"/>
  <c r="E527" i="14"/>
  <c r="D427" i="14"/>
  <c r="E427" i="14"/>
  <c r="D227" i="14"/>
  <c r="E227" i="14"/>
  <c r="D187" i="14"/>
  <c r="E187" i="14"/>
  <c r="D63" i="14"/>
  <c r="E63" i="14"/>
  <c r="D8" i="14"/>
  <c r="E8" i="14"/>
  <c r="E56" i="14"/>
  <c r="D506" i="14"/>
  <c r="E506" i="14"/>
  <c r="D446" i="14"/>
  <c r="E446" i="14"/>
  <c r="D266" i="14"/>
  <c r="E266" i="14"/>
  <c r="D206" i="14"/>
  <c r="E206" i="14"/>
  <c r="D166" i="14"/>
  <c r="E166" i="14"/>
  <c r="E253" i="14"/>
  <c r="D88" i="14"/>
  <c r="E88" i="14"/>
  <c r="D48" i="14"/>
  <c r="E48" i="14"/>
  <c r="E77" i="14"/>
  <c r="D26" i="14"/>
  <c r="E26" i="14"/>
  <c r="E532" i="14"/>
  <c r="E50" i="14"/>
  <c r="D424" i="14"/>
  <c r="E424" i="14"/>
  <c r="D204" i="14"/>
  <c r="E204" i="14"/>
  <c r="E49" i="14"/>
  <c r="E437" i="14"/>
  <c r="E379" i="14"/>
  <c r="E211" i="14"/>
  <c r="E153" i="14"/>
  <c r="E37" i="14"/>
  <c r="E574" i="14"/>
  <c r="E519" i="14"/>
  <c r="E294" i="14"/>
  <c r="E36" i="14"/>
  <c r="D124" i="14"/>
  <c r="E124" i="14"/>
  <c r="D104" i="14"/>
  <c r="E104" i="14"/>
  <c r="D84" i="14"/>
  <c r="E84" i="14"/>
  <c r="D64" i="14"/>
  <c r="E64" i="14"/>
  <c r="D44" i="14"/>
  <c r="E44" i="14"/>
  <c r="E572" i="14"/>
  <c r="E545" i="14"/>
  <c r="E517" i="14"/>
  <c r="E492" i="14"/>
  <c r="E434" i="14"/>
  <c r="E405" i="14"/>
  <c r="E376" i="14"/>
  <c r="E318" i="14"/>
  <c r="E292" i="14"/>
  <c r="E234" i="14"/>
  <c r="E205" i="14"/>
  <c r="E176" i="14"/>
  <c r="E60" i="14"/>
  <c r="E34" i="14"/>
  <c r="E126" i="14"/>
  <c r="E106" i="14"/>
  <c r="E86" i="14"/>
  <c r="E66" i="14"/>
  <c r="E46" i="14"/>
  <c r="E4" i="14"/>
  <c r="E563" i="14"/>
  <c r="E543" i="14"/>
  <c r="E523" i="14"/>
  <c r="E503" i="14"/>
  <c r="E483" i="14"/>
  <c r="E463" i="14"/>
  <c r="E443" i="14"/>
  <c r="E423" i="14"/>
  <c r="E403" i="14"/>
  <c r="E383" i="14"/>
  <c r="E363" i="14"/>
  <c r="E343" i="14"/>
  <c r="E323" i="14"/>
  <c r="E303" i="14"/>
  <c r="E283" i="14"/>
  <c r="E263" i="14"/>
  <c r="E243" i="14"/>
  <c r="E223" i="14"/>
  <c r="E203" i="14"/>
  <c r="E183" i="14"/>
  <c r="E163" i="14"/>
  <c r="E143" i="14"/>
  <c r="E24" i="14"/>
  <c r="E582" i="14"/>
  <c r="E562" i="14"/>
  <c r="E542" i="14"/>
  <c r="E522" i="14"/>
  <c r="E502" i="14"/>
  <c r="E482" i="14"/>
  <c r="E462" i="14"/>
  <c r="E442" i="14"/>
  <c r="E422" i="14"/>
  <c r="E402" i="14"/>
  <c r="E382" i="14"/>
  <c r="E362" i="14"/>
  <c r="E342" i="14"/>
  <c r="E322" i="14"/>
  <c r="E302" i="14"/>
  <c r="E282" i="14"/>
  <c r="E262" i="14"/>
  <c r="E242" i="14"/>
  <c r="E222" i="14"/>
  <c r="E202" i="14"/>
  <c r="E182" i="14"/>
  <c r="E162" i="14"/>
  <c r="E142" i="14"/>
  <c r="E1" i="14"/>
  <c r="AB120" i="8"/>
  <c r="I2" i="10"/>
  <c r="E3" i="10"/>
  <c r="H114" i="6"/>
  <c r="K114" i="6"/>
  <c r="K273" i="6"/>
  <c r="K153" i="6"/>
  <c r="K50" i="6"/>
  <c r="K104" i="6"/>
  <c r="H104" i="6"/>
  <c r="K193" i="6"/>
  <c r="H193" i="6"/>
  <c r="K320" i="6"/>
  <c r="H320" i="6"/>
  <c r="K143" i="6"/>
  <c r="H143" i="6"/>
  <c r="K303" i="6"/>
  <c r="K182" i="6"/>
  <c r="K263" i="6"/>
  <c r="H87" i="6"/>
  <c r="K87" i="6"/>
  <c r="K255" i="6"/>
  <c r="K128" i="6"/>
  <c r="K32" i="6"/>
  <c r="K272" i="6"/>
  <c r="K63" i="6"/>
  <c r="H77" i="6"/>
  <c r="H183" i="6"/>
  <c r="K170" i="6"/>
  <c r="K22" i="6"/>
  <c r="K118" i="6"/>
  <c r="K215" i="6"/>
  <c r="K253" i="6"/>
  <c r="K277" i="6"/>
  <c r="K51" i="6"/>
  <c r="K186" i="6"/>
  <c r="K257" i="6"/>
  <c r="K112" i="6"/>
  <c r="K220" i="6"/>
  <c r="K315" i="6"/>
  <c r="K168" i="6"/>
  <c r="K211" i="6"/>
  <c r="K237" i="6"/>
  <c r="H262" i="6"/>
  <c r="K289" i="6"/>
  <c r="H229" i="6"/>
  <c r="K243" i="6"/>
  <c r="K266" i="6"/>
  <c r="K26" i="6"/>
  <c r="K283" i="6"/>
  <c r="H283" i="6"/>
  <c r="K47" i="6"/>
  <c r="K154" i="6"/>
  <c r="K80" i="6"/>
  <c r="H80" i="6"/>
  <c r="K323" i="6"/>
  <c r="K123" i="6"/>
  <c r="K218" i="6"/>
  <c r="K297" i="6"/>
  <c r="K311" i="6"/>
  <c r="K74" i="6"/>
  <c r="K60" i="6"/>
  <c r="H60" i="6"/>
  <c r="K43" i="6"/>
  <c r="K70" i="6"/>
  <c r="K177" i="6"/>
  <c r="K294" i="6"/>
  <c r="K157" i="6"/>
  <c r="K251" i="6"/>
  <c r="K90" i="6"/>
  <c r="K111" i="6"/>
  <c r="K130" i="6"/>
  <c r="K212" i="6"/>
  <c r="H212" i="6"/>
  <c r="K78" i="6"/>
  <c r="K21" i="6"/>
  <c r="K72" i="6"/>
  <c r="H72" i="6"/>
  <c r="K119" i="6"/>
  <c r="K287" i="6"/>
  <c r="K302" i="6"/>
  <c r="K282" i="6"/>
  <c r="K59" i="6"/>
  <c r="K242" i="6"/>
  <c r="K64" i="6"/>
  <c r="K147" i="6"/>
  <c r="K25" i="6"/>
  <c r="H25" i="6"/>
  <c r="K28" i="6"/>
  <c r="K82" i="6"/>
  <c r="H82" i="6"/>
  <c r="K187" i="6"/>
  <c r="K269" i="6"/>
  <c r="K98" i="6"/>
  <c r="K99" i="6"/>
  <c r="K165" i="6"/>
  <c r="K192" i="6"/>
  <c r="K199" i="6"/>
  <c r="K278" i="6"/>
  <c r="H278" i="6"/>
  <c r="K36" i="6"/>
  <c r="K209" i="6"/>
  <c r="K46" i="6"/>
  <c r="K115" i="6"/>
  <c r="K226" i="6"/>
  <c r="K37" i="6"/>
  <c r="K288" i="6"/>
  <c r="K20" i="6"/>
  <c r="K223" i="6"/>
  <c r="K76" i="6"/>
  <c r="K156" i="6"/>
  <c r="K256" i="6"/>
  <c r="H256" i="6"/>
  <c r="K321" i="6"/>
  <c r="K117" i="6"/>
  <c r="K176" i="6"/>
  <c r="H48" i="6"/>
  <c r="K48" i="6"/>
  <c r="H178" i="6"/>
  <c r="K178" i="6"/>
  <c r="K230" i="6"/>
  <c r="H308" i="6"/>
  <c r="K308" i="6"/>
  <c r="K65" i="6"/>
  <c r="K138" i="6"/>
  <c r="K206" i="6"/>
  <c r="K66" i="6"/>
  <c r="K105" i="6"/>
  <c r="K295" i="6"/>
  <c r="K84" i="6"/>
  <c r="K148" i="6"/>
  <c r="K173" i="6"/>
  <c r="K241" i="6"/>
  <c r="K31" i="6"/>
  <c r="K124" i="6"/>
  <c r="K142" i="6"/>
  <c r="K125" i="6"/>
  <c r="K160" i="6"/>
  <c r="K71" i="6"/>
  <c r="K49" i="6"/>
  <c r="K73" i="6"/>
  <c r="H137" i="6"/>
  <c r="K276" i="6"/>
  <c r="H198" i="6"/>
  <c r="H248" i="6"/>
  <c r="K248" i="6"/>
  <c r="K235" i="6"/>
  <c r="K149" i="6"/>
  <c r="K167" i="6"/>
  <c r="K298" i="6"/>
  <c r="K62" i="6"/>
  <c r="H62" i="6"/>
  <c r="K184" i="6"/>
  <c r="K259" i="6"/>
  <c r="K95" i="6"/>
  <c r="H95" i="6"/>
  <c r="K204" i="6"/>
  <c r="K88" i="6"/>
  <c r="K161" i="6"/>
  <c r="K309" i="6"/>
  <c r="K155" i="6"/>
  <c r="K180" i="6"/>
  <c r="K113" i="6"/>
  <c r="K38" i="6"/>
  <c r="H38" i="6"/>
  <c r="K54" i="6"/>
  <c r="K109" i="6"/>
  <c r="K202" i="6"/>
  <c r="K258" i="6"/>
  <c r="K102" i="6"/>
  <c r="H102" i="6"/>
  <c r="K27" i="6"/>
  <c r="K34" i="6"/>
  <c r="K42" i="6"/>
  <c r="K89" i="6"/>
  <c r="K162" i="6"/>
  <c r="K179" i="6"/>
  <c r="K222" i="6"/>
  <c r="K268" i="6"/>
  <c r="K107" i="6"/>
  <c r="K322" i="6"/>
  <c r="H322" i="6"/>
  <c r="H174" i="6"/>
  <c r="K174" i="6"/>
  <c r="G3" i="6"/>
  <c r="J3" i="6"/>
  <c r="K2" i="6"/>
  <c r="K304" i="6"/>
  <c r="K126" i="6"/>
  <c r="K144" i="6"/>
  <c r="K201" i="6"/>
  <c r="H2" i="6"/>
  <c r="K67" i="6"/>
  <c r="K151" i="6"/>
  <c r="K265" i="6"/>
  <c r="H265" i="6"/>
  <c r="K85" i="6"/>
  <c r="H85" i="6"/>
  <c r="K249" i="6"/>
  <c r="K250" i="6"/>
  <c r="K79" i="6"/>
  <c r="K120" i="6"/>
  <c r="K169" i="6"/>
  <c r="K134" i="6"/>
  <c r="K146" i="6"/>
  <c r="K188" i="6"/>
  <c r="K233" i="6"/>
  <c r="K245" i="6"/>
  <c r="K261" i="6"/>
  <c r="K279" i="6"/>
  <c r="K285" i="6"/>
  <c r="K300" i="6"/>
  <c r="K18" i="6"/>
  <c r="K24" i="6"/>
  <c r="K68" i="6"/>
  <c r="K93" i="6"/>
  <c r="K189" i="6"/>
  <c r="H274" i="6"/>
  <c r="K274" i="6"/>
  <c r="K293" i="6"/>
  <c r="K86" i="6"/>
  <c r="K33" i="6"/>
  <c r="K92" i="6"/>
  <c r="K133" i="6"/>
  <c r="K152" i="6"/>
  <c r="K183" i="6"/>
  <c r="K299" i="6"/>
  <c r="K312" i="6"/>
  <c r="K190" i="6"/>
  <c r="K264" i="6"/>
  <c r="K61" i="6"/>
  <c r="K39" i="6"/>
  <c r="K158" i="6"/>
  <c r="K208" i="6"/>
  <c r="K239" i="6"/>
  <c r="K292" i="6"/>
  <c r="K23" i="6"/>
  <c r="K81" i="6"/>
  <c r="K69" i="6"/>
  <c r="K75" i="6"/>
  <c r="H93" i="6"/>
  <c r="K136" i="6"/>
  <c r="K216" i="6"/>
  <c r="K252" i="6"/>
  <c r="K267" i="6"/>
  <c r="K319" i="6"/>
  <c r="K194" i="6"/>
  <c r="K96" i="6"/>
  <c r="K127" i="6"/>
  <c r="H231" i="6"/>
  <c r="K231" i="6"/>
  <c r="K44" i="6"/>
  <c r="H91" i="6"/>
  <c r="K145" i="6"/>
  <c r="K175" i="6"/>
  <c r="K219" i="6"/>
  <c r="H219" i="6"/>
  <c r="K45" i="6"/>
  <c r="H45" i="6"/>
  <c r="K91" i="6"/>
  <c r="K110" i="6"/>
  <c r="K232" i="6"/>
  <c r="K17" i="6"/>
  <c r="K122" i="6"/>
  <c r="K171" i="6"/>
  <c r="K221" i="6"/>
  <c r="K275" i="6"/>
  <c r="K103" i="6"/>
  <c r="K116" i="6"/>
  <c r="K213" i="6"/>
  <c r="K246" i="6"/>
  <c r="K135" i="6"/>
  <c r="K140" i="6"/>
  <c r="K163" i="6"/>
  <c r="K185" i="6"/>
  <c r="K271" i="6"/>
  <c r="K296" i="6"/>
  <c r="K305" i="6"/>
  <c r="K56" i="6"/>
  <c r="H228" i="6"/>
  <c r="K228" i="6"/>
  <c r="K280" i="6"/>
  <c r="K100" i="6"/>
  <c r="K195" i="6"/>
  <c r="K310" i="6"/>
  <c r="K40" i="6"/>
  <c r="K210" i="6"/>
  <c r="H210" i="6"/>
  <c r="K181" i="6"/>
  <c r="K205" i="6"/>
  <c r="H205" i="6"/>
  <c r="K224" i="6"/>
  <c r="K52" i="6"/>
  <c r="K83" i="6"/>
  <c r="K131" i="6"/>
  <c r="H291" i="6"/>
  <c r="K306" i="6"/>
  <c r="H306" i="6"/>
  <c r="K191" i="6"/>
  <c r="H301" i="6"/>
  <c r="H101" i="6"/>
  <c r="K159" i="6"/>
  <c r="K196" i="6"/>
  <c r="K234" i="6"/>
  <c r="K291" i="6"/>
  <c r="K316" i="6"/>
  <c r="K203" i="6"/>
  <c r="K254" i="6"/>
  <c r="K236" i="6"/>
  <c r="K314" i="6"/>
  <c r="K214" i="6"/>
  <c r="K225" i="6"/>
  <c r="O1" i="13" l="1"/>
  <c r="J4" i="6"/>
  <c r="J5" i="6" s="1"/>
  <c r="J6" i="6" s="1"/>
  <c r="J7" i="6" s="1"/>
  <c r="J8" i="6" s="1"/>
  <c r="J9" i="6" s="1"/>
  <c r="J10" i="6" s="1"/>
  <c r="J11" i="6" s="1"/>
  <c r="J12" i="6" s="1"/>
  <c r="J13" i="6" s="1"/>
  <c r="J14" i="6" s="1"/>
  <c r="J15" i="6" s="1"/>
  <c r="J16" i="6" s="1"/>
  <c r="J17" i="6" s="1"/>
  <c r="J18" i="6" s="1"/>
  <c r="J19" i="6" s="1"/>
  <c r="J20" i="6" s="1"/>
  <c r="J21" i="6" s="1"/>
  <c r="J22" i="6" s="1"/>
  <c r="J23" i="6" s="1"/>
  <c r="J24" i="6" s="1"/>
  <c r="J25" i="6" s="1"/>
  <c r="J26" i="6" s="1"/>
  <c r="J27" i="6" s="1"/>
  <c r="J28" i="6" s="1"/>
  <c r="J29" i="6" s="1"/>
  <c r="J30" i="6" s="1"/>
  <c r="J31" i="6" s="1"/>
  <c r="J32" i="6" s="1"/>
  <c r="J33" i="6" s="1"/>
  <c r="J34" i="6" s="1"/>
  <c r="J35" i="6" s="1"/>
  <c r="J36" i="6" s="1"/>
  <c r="J37" i="6" s="1"/>
  <c r="J38" i="6" s="1"/>
  <c r="J39" i="6" s="1"/>
  <c r="J40" i="6" s="1"/>
  <c r="J41" i="6" s="1"/>
  <c r="J42" i="6" s="1"/>
  <c r="J43" i="6" s="1"/>
  <c r="J44" i="6" s="1"/>
  <c r="J45" i="6" s="1"/>
  <c r="J46" i="6" s="1"/>
  <c r="J47" i="6" s="1"/>
  <c r="J48" i="6" s="1"/>
  <c r="J49" i="6" s="1"/>
  <c r="J50" i="6" s="1"/>
  <c r="J51" i="6" s="1"/>
  <c r="J52" i="6" s="1"/>
  <c r="J53" i="6" s="1"/>
  <c r="J54" i="6" s="1"/>
  <c r="J55" i="6" s="1"/>
  <c r="J56" i="6" s="1"/>
  <c r="J57" i="6" s="1"/>
  <c r="J58" i="6" s="1"/>
  <c r="J59" i="6" s="1"/>
  <c r="J60" i="6" s="1"/>
  <c r="J61" i="6" s="1"/>
  <c r="J62" i="6" s="1"/>
  <c r="J63" i="6" s="1"/>
  <c r="J64" i="6" s="1"/>
  <c r="J65" i="6" s="1"/>
  <c r="J66" i="6" s="1"/>
  <c r="J67" i="6" s="1"/>
  <c r="J68" i="6" s="1"/>
  <c r="J69" i="6" s="1"/>
  <c r="J70" i="6" s="1"/>
  <c r="J71" i="6" s="1"/>
  <c r="J72" i="6" s="1"/>
  <c r="J73" i="6" s="1"/>
  <c r="J74" i="6" s="1"/>
  <c r="J75" i="6" s="1"/>
  <c r="J76" i="6" s="1"/>
  <c r="J77" i="6" s="1"/>
  <c r="J78" i="6" s="1"/>
  <c r="J79" i="6" s="1"/>
  <c r="J80" i="6" s="1"/>
  <c r="J81" i="6" s="1"/>
  <c r="J82" i="6" s="1"/>
  <c r="J83" i="6" s="1"/>
  <c r="J84" i="6" s="1"/>
  <c r="J85" i="6" s="1"/>
  <c r="J86" i="6" s="1"/>
  <c r="J87" i="6" s="1"/>
  <c r="J88" i="6" s="1"/>
  <c r="J89" i="6" s="1"/>
  <c r="J90" i="6" s="1"/>
  <c r="J91" i="6" s="1"/>
  <c r="J92" i="6" s="1"/>
  <c r="J93" i="6" s="1"/>
  <c r="J94" i="6" s="1"/>
  <c r="J95" i="6" s="1"/>
  <c r="J96" i="6" s="1"/>
  <c r="J97" i="6" s="1"/>
  <c r="J98" i="6" s="1"/>
  <c r="J99" i="6" s="1"/>
  <c r="J100" i="6" s="1"/>
  <c r="J101" i="6" s="1"/>
  <c r="J102" i="6" s="1"/>
  <c r="J103" i="6" s="1"/>
  <c r="J104" i="6" s="1"/>
  <c r="J105" i="6" s="1"/>
  <c r="J106" i="6" s="1"/>
  <c r="J107" i="6" s="1"/>
  <c r="J108" i="6" s="1"/>
  <c r="J109" i="6" s="1"/>
  <c r="J110" i="6" s="1"/>
  <c r="J111" i="6" s="1"/>
  <c r="J112" i="6" s="1"/>
  <c r="J113" i="6" s="1"/>
  <c r="J114" i="6" s="1"/>
  <c r="J115" i="6" s="1"/>
  <c r="J116" i="6" s="1"/>
  <c r="J117" i="6" s="1"/>
  <c r="J118" i="6" s="1"/>
  <c r="J119" i="6" s="1"/>
  <c r="J120" i="6" s="1"/>
  <c r="J121" i="6" s="1"/>
  <c r="J122" i="6" s="1"/>
  <c r="J123" i="6" s="1"/>
  <c r="J124" i="6" s="1"/>
  <c r="J125" i="6" s="1"/>
  <c r="J126" i="6" s="1"/>
  <c r="J127" i="6" s="1"/>
  <c r="J128" i="6" s="1"/>
  <c r="J129" i="6" s="1"/>
  <c r="J130" i="6" s="1"/>
  <c r="J131" i="6" s="1"/>
  <c r="J132" i="6" s="1"/>
  <c r="J133" i="6" s="1"/>
  <c r="J134" i="6" s="1"/>
  <c r="J135" i="6" s="1"/>
  <c r="J136" i="6" s="1"/>
  <c r="J137" i="6" s="1"/>
  <c r="J138" i="6" s="1"/>
  <c r="J139" i="6" s="1"/>
  <c r="J140" i="6" s="1"/>
  <c r="J141" i="6" s="1"/>
  <c r="J142" i="6" s="1"/>
  <c r="J143" i="6" s="1"/>
  <c r="J144" i="6" s="1"/>
  <c r="J145" i="6" s="1"/>
  <c r="J146" i="6" s="1"/>
  <c r="J147" i="6" s="1"/>
  <c r="J148" i="6" s="1"/>
  <c r="J149" i="6" s="1"/>
  <c r="J150" i="6" s="1"/>
  <c r="J151" i="6" s="1"/>
  <c r="J152" i="6" s="1"/>
  <c r="J153" i="6" s="1"/>
  <c r="J154" i="6" s="1"/>
  <c r="J155" i="6" s="1"/>
  <c r="J156" i="6" s="1"/>
  <c r="J157" i="6" s="1"/>
  <c r="J158" i="6" s="1"/>
  <c r="J159" i="6" s="1"/>
  <c r="J160" i="6" s="1"/>
  <c r="J161" i="6" s="1"/>
  <c r="J162" i="6" s="1"/>
  <c r="J163" i="6" s="1"/>
  <c r="J164" i="6" s="1"/>
  <c r="J165" i="6" s="1"/>
  <c r="J166" i="6" s="1"/>
  <c r="J167" i="6" s="1"/>
  <c r="J168" i="6" s="1"/>
  <c r="J169" i="6" s="1"/>
  <c r="J170" i="6" s="1"/>
  <c r="J171" i="6" s="1"/>
  <c r="J172" i="6" s="1"/>
  <c r="J173" i="6" s="1"/>
  <c r="J174" i="6" s="1"/>
  <c r="J175" i="6" s="1"/>
  <c r="J176" i="6" s="1"/>
  <c r="J177" i="6" s="1"/>
  <c r="J178" i="6" s="1"/>
  <c r="J179" i="6" s="1"/>
  <c r="J180" i="6" s="1"/>
  <c r="J181" i="6" s="1"/>
  <c r="J182" i="6" s="1"/>
  <c r="J183" i="6" s="1"/>
  <c r="J184" i="6" s="1"/>
  <c r="J185" i="6" s="1"/>
  <c r="J186" i="6" s="1"/>
  <c r="J187" i="6" s="1"/>
  <c r="J188" i="6" s="1"/>
  <c r="J189" i="6" s="1"/>
  <c r="J190" i="6" s="1"/>
  <c r="J191" i="6" s="1"/>
  <c r="J192" i="6" s="1"/>
  <c r="J193" i="6" s="1"/>
  <c r="J194" i="6" s="1"/>
  <c r="J195" i="6" s="1"/>
  <c r="J196" i="6" s="1"/>
  <c r="J197" i="6" s="1"/>
  <c r="J198" i="6" s="1"/>
  <c r="J199" i="6" s="1"/>
  <c r="J200" i="6" s="1"/>
  <c r="J201" i="6" s="1"/>
  <c r="J202" i="6" s="1"/>
  <c r="J203" i="6" s="1"/>
  <c r="J204" i="6" s="1"/>
  <c r="J205" i="6" s="1"/>
  <c r="J206" i="6" s="1"/>
  <c r="J207" i="6" s="1"/>
  <c r="J208" i="6" s="1"/>
  <c r="J209" i="6" s="1"/>
  <c r="J210" i="6" s="1"/>
  <c r="J211" i="6" s="1"/>
  <c r="J212" i="6" s="1"/>
  <c r="J213" i="6" s="1"/>
  <c r="J214" i="6" s="1"/>
  <c r="J215" i="6" s="1"/>
  <c r="J216" i="6" s="1"/>
  <c r="J217" i="6" s="1"/>
  <c r="J218" i="6" s="1"/>
  <c r="J219" i="6" s="1"/>
  <c r="J220" i="6" s="1"/>
  <c r="J221" i="6" s="1"/>
  <c r="J222" i="6" s="1"/>
  <c r="J223" i="6" s="1"/>
  <c r="J224" i="6" s="1"/>
  <c r="J225" i="6" s="1"/>
  <c r="J226" i="6" s="1"/>
  <c r="J227" i="6" s="1"/>
  <c r="J228" i="6" s="1"/>
  <c r="J229" i="6" s="1"/>
  <c r="J230" i="6" s="1"/>
  <c r="J231" i="6" s="1"/>
  <c r="J232" i="6" s="1"/>
  <c r="J233" i="6" s="1"/>
  <c r="J234" i="6" s="1"/>
  <c r="J235" i="6" s="1"/>
  <c r="J236" i="6" s="1"/>
  <c r="J237" i="6" s="1"/>
  <c r="J238" i="6" s="1"/>
  <c r="J239" i="6" s="1"/>
  <c r="J240" i="6" s="1"/>
  <c r="J241" i="6" s="1"/>
  <c r="J242" i="6" s="1"/>
  <c r="J243" i="6" s="1"/>
  <c r="J244" i="6" s="1"/>
  <c r="J245" i="6" s="1"/>
  <c r="J246" i="6" s="1"/>
  <c r="J247" i="6" s="1"/>
  <c r="J248" i="6" s="1"/>
  <c r="J249" i="6" s="1"/>
  <c r="J250" i="6" s="1"/>
  <c r="J251" i="6" s="1"/>
  <c r="J252" i="6" s="1"/>
  <c r="J253" i="6" s="1"/>
  <c r="J254" i="6" s="1"/>
  <c r="J255" i="6" s="1"/>
  <c r="J256" i="6" s="1"/>
  <c r="J257" i="6" s="1"/>
  <c r="J258" i="6" s="1"/>
  <c r="J259" i="6" s="1"/>
  <c r="J260" i="6" s="1"/>
  <c r="J261" i="6" s="1"/>
  <c r="J262" i="6" s="1"/>
  <c r="J263" i="6" s="1"/>
  <c r="J264" i="6" s="1"/>
  <c r="J265" i="6" s="1"/>
  <c r="J266" i="6" s="1"/>
  <c r="J267" i="6" s="1"/>
  <c r="J268" i="6" s="1"/>
  <c r="J269" i="6" s="1"/>
  <c r="J270" i="6" s="1"/>
  <c r="J271" i="6" s="1"/>
  <c r="J272" i="6" s="1"/>
  <c r="J273" i="6" s="1"/>
  <c r="J274" i="6" s="1"/>
  <c r="J275" i="6" s="1"/>
  <c r="J276" i="6" s="1"/>
  <c r="J277" i="6" s="1"/>
  <c r="J278" i="6" s="1"/>
  <c r="J279" i="6" s="1"/>
  <c r="J280" i="6" s="1"/>
  <c r="J281" i="6" s="1"/>
  <c r="J282" i="6" s="1"/>
  <c r="J283" i="6" s="1"/>
  <c r="J284" i="6" s="1"/>
  <c r="J285" i="6" s="1"/>
  <c r="J286" i="6" s="1"/>
  <c r="J287" i="6" s="1"/>
  <c r="J288" i="6" s="1"/>
  <c r="J289" i="6" s="1"/>
  <c r="J290" i="6" s="1"/>
  <c r="J291" i="6" s="1"/>
  <c r="J292" i="6" s="1"/>
  <c r="J293" i="6" s="1"/>
  <c r="J294" i="6" s="1"/>
  <c r="J295" i="6" s="1"/>
  <c r="J296" i="6" s="1"/>
  <c r="J297" i="6" s="1"/>
  <c r="J298" i="6" s="1"/>
  <c r="J299" i="6" s="1"/>
  <c r="J300" i="6" s="1"/>
  <c r="J301" i="6" s="1"/>
  <c r="J302" i="6" s="1"/>
  <c r="J303" i="6" s="1"/>
  <c r="J304" i="6" s="1"/>
  <c r="J305" i="6" s="1"/>
  <c r="J306" i="6" s="1"/>
  <c r="J307" i="6" s="1"/>
  <c r="J308" i="6" s="1"/>
  <c r="J309" i="6" s="1"/>
  <c r="J310" i="6" s="1"/>
  <c r="J311" i="6" s="1"/>
  <c r="J312" i="6" s="1"/>
  <c r="J313" i="6" s="1"/>
  <c r="J314" i="6" s="1"/>
  <c r="J315" i="6" s="1"/>
  <c r="J316" i="6" s="1"/>
  <c r="J317" i="6" s="1"/>
  <c r="J318" i="6" s="1"/>
  <c r="J319" i="6" s="1"/>
  <c r="J320" i="6" s="1"/>
  <c r="J321" i="6" s="1"/>
  <c r="J322" i="6" s="1"/>
  <c r="J323" i="6" s="1"/>
  <c r="J324" i="6" s="1"/>
  <c r="J325" i="6" s="1"/>
  <c r="G4" i="6"/>
  <c r="H4" i="6" s="1"/>
  <c r="I3" i="6"/>
  <c r="K4" i="6"/>
  <c r="H9" i="6"/>
  <c r="K3" i="6"/>
  <c r="K15" i="6"/>
  <c r="K6" i="6"/>
  <c r="I4" i="6"/>
  <c r="I5" i="6" s="1"/>
  <c r="I6" i="6" s="1"/>
  <c r="I7" i="6" s="1"/>
  <c r="I8" i="6" s="1"/>
  <c r="I9" i="6" s="1"/>
  <c r="I10" i="6" s="1"/>
  <c r="I11" i="6" s="1"/>
  <c r="I12" i="6" s="1"/>
  <c r="I13" i="6" s="1"/>
  <c r="I14" i="6" s="1"/>
  <c r="I15" i="6" s="1"/>
  <c r="I16" i="6" s="1"/>
  <c r="I17" i="6" s="1"/>
  <c r="I18" i="6" s="1"/>
  <c r="I19" i="6" s="1"/>
  <c r="I20" i="6" s="1"/>
  <c r="I21" i="6" s="1"/>
  <c r="I22" i="6" s="1"/>
  <c r="I23" i="6" s="1"/>
  <c r="I24" i="6" s="1"/>
  <c r="I25" i="6" s="1"/>
  <c r="I26" i="6" s="1"/>
  <c r="I27" i="6" s="1"/>
  <c r="I28" i="6" s="1"/>
  <c r="I29" i="6" s="1"/>
  <c r="I30" i="6" s="1"/>
  <c r="I31" i="6" s="1"/>
  <c r="I32" i="6" s="1"/>
  <c r="I33" i="6" s="1"/>
  <c r="I34" i="6" s="1"/>
  <c r="I35" i="6" s="1"/>
  <c r="I36" i="6" s="1"/>
  <c r="I37" i="6" s="1"/>
  <c r="I38" i="6" s="1"/>
  <c r="I39" i="6" s="1"/>
  <c r="I40" i="6" s="1"/>
  <c r="I41" i="6" s="1"/>
  <c r="I42" i="6" s="1"/>
  <c r="I43" i="6" s="1"/>
  <c r="I44" i="6" s="1"/>
  <c r="I45" i="6" s="1"/>
  <c r="I46" i="6" s="1"/>
  <c r="I47" i="6" s="1"/>
  <c r="I48" i="6" s="1"/>
  <c r="I49" i="6" s="1"/>
  <c r="I50" i="6" s="1"/>
  <c r="I51" i="6" s="1"/>
  <c r="I52" i="6" s="1"/>
  <c r="I53" i="6" s="1"/>
  <c r="I54" i="6" s="1"/>
  <c r="I55" i="6" s="1"/>
  <c r="I56" i="6" s="1"/>
  <c r="I57" i="6" s="1"/>
  <c r="I58" i="6" s="1"/>
  <c r="I59" i="6" s="1"/>
  <c r="I60" i="6" s="1"/>
  <c r="I61" i="6" s="1"/>
  <c r="I62" i="6" s="1"/>
  <c r="I63" i="6" s="1"/>
  <c r="I64" i="6" s="1"/>
  <c r="I65" i="6" s="1"/>
  <c r="I66" i="6" s="1"/>
  <c r="I67" i="6" s="1"/>
  <c r="I68" i="6" s="1"/>
  <c r="I69" i="6" s="1"/>
  <c r="I70" i="6" s="1"/>
  <c r="I71" i="6" s="1"/>
  <c r="I72" i="6" s="1"/>
  <c r="I73" i="6" s="1"/>
  <c r="I74" i="6" s="1"/>
  <c r="I75" i="6" s="1"/>
  <c r="I76" i="6" s="1"/>
  <c r="I77" i="6" s="1"/>
  <c r="I78" i="6" s="1"/>
  <c r="I79" i="6" s="1"/>
  <c r="I80" i="6" s="1"/>
  <c r="I81" i="6" s="1"/>
  <c r="I82" i="6" s="1"/>
  <c r="I83" i="6" s="1"/>
  <c r="I84" i="6" s="1"/>
  <c r="I85" i="6" s="1"/>
  <c r="I86" i="6" s="1"/>
  <c r="I87" i="6" s="1"/>
  <c r="I88" i="6" s="1"/>
  <c r="I89" i="6" s="1"/>
  <c r="I90" i="6" s="1"/>
  <c r="I91" i="6" s="1"/>
  <c r="I92" i="6" s="1"/>
  <c r="I93" i="6" s="1"/>
  <c r="I94" i="6" s="1"/>
  <c r="I95" i="6" s="1"/>
  <c r="I96" i="6" s="1"/>
  <c r="I97" i="6" s="1"/>
  <c r="I98" i="6" s="1"/>
  <c r="I99" i="6" s="1"/>
  <c r="I100" i="6" s="1"/>
  <c r="I101" i="6" s="1"/>
  <c r="I102" i="6" s="1"/>
  <c r="I103" i="6" s="1"/>
  <c r="I104" i="6" s="1"/>
  <c r="I105" i="6" s="1"/>
  <c r="I106" i="6" s="1"/>
  <c r="I107" i="6" s="1"/>
  <c r="I108" i="6" s="1"/>
  <c r="I109" i="6" s="1"/>
  <c r="I110" i="6" s="1"/>
  <c r="I111" i="6" s="1"/>
  <c r="I112" i="6" s="1"/>
  <c r="I113" i="6" s="1"/>
  <c r="I114" i="6" s="1"/>
  <c r="I115" i="6" s="1"/>
  <c r="I116" i="6" s="1"/>
  <c r="I117" i="6" s="1"/>
  <c r="I118" i="6" s="1"/>
  <c r="I119" i="6" s="1"/>
  <c r="I120" i="6" s="1"/>
  <c r="I121" i="6" s="1"/>
  <c r="I122" i="6" s="1"/>
  <c r="I123" i="6" s="1"/>
  <c r="I124" i="6" s="1"/>
  <c r="I125" i="6" s="1"/>
  <c r="I126" i="6" s="1"/>
  <c r="I127" i="6" s="1"/>
  <c r="I128" i="6" s="1"/>
  <c r="I129" i="6" s="1"/>
  <c r="I130" i="6" s="1"/>
  <c r="I131" i="6" s="1"/>
  <c r="I132" i="6" s="1"/>
  <c r="I133" i="6" s="1"/>
  <c r="I134" i="6" s="1"/>
  <c r="I135" i="6" s="1"/>
  <c r="I136" i="6" s="1"/>
  <c r="I137" i="6" s="1"/>
  <c r="I138" i="6" s="1"/>
  <c r="I139" i="6" s="1"/>
  <c r="I140" i="6" s="1"/>
  <c r="I141" i="6" s="1"/>
  <c r="I142" i="6" s="1"/>
  <c r="I143" i="6" s="1"/>
  <c r="I144" i="6" s="1"/>
  <c r="I145" i="6" s="1"/>
  <c r="I146" i="6" s="1"/>
  <c r="I147" i="6" s="1"/>
  <c r="I148" i="6" s="1"/>
  <c r="I149" i="6" s="1"/>
  <c r="I150" i="6" s="1"/>
  <c r="I151" i="6" s="1"/>
  <c r="I152" i="6" s="1"/>
  <c r="I153" i="6" s="1"/>
  <c r="I154" i="6" s="1"/>
  <c r="I155" i="6" s="1"/>
  <c r="I156" i="6" s="1"/>
  <c r="I157" i="6" s="1"/>
  <c r="I158" i="6" s="1"/>
  <c r="I159" i="6" s="1"/>
  <c r="I160" i="6" s="1"/>
  <c r="I161" i="6" s="1"/>
  <c r="I162" i="6" s="1"/>
  <c r="I163" i="6" s="1"/>
  <c r="I164" i="6" s="1"/>
  <c r="I165" i="6" s="1"/>
  <c r="I166" i="6" s="1"/>
  <c r="I167" i="6" s="1"/>
  <c r="I168" i="6" s="1"/>
  <c r="I169" i="6" s="1"/>
  <c r="I170" i="6" s="1"/>
  <c r="I171" i="6" s="1"/>
  <c r="I172" i="6" s="1"/>
  <c r="I173" i="6" s="1"/>
  <c r="I174" i="6" s="1"/>
  <c r="I175" i="6" s="1"/>
  <c r="I176" i="6" s="1"/>
  <c r="I177" i="6" s="1"/>
  <c r="I178" i="6" s="1"/>
  <c r="I179" i="6" s="1"/>
  <c r="I180" i="6" s="1"/>
  <c r="I181" i="6" s="1"/>
  <c r="I182" i="6" s="1"/>
  <c r="I183" i="6" s="1"/>
  <c r="I184" i="6" s="1"/>
  <c r="I185" i="6" s="1"/>
  <c r="I186" i="6" s="1"/>
  <c r="I187" i="6" s="1"/>
  <c r="I188" i="6" s="1"/>
  <c r="I189" i="6" s="1"/>
  <c r="I190" i="6" s="1"/>
  <c r="I191" i="6" s="1"/>
  <c r="I192" i="6" s="1"/>
  <c r="I193" i="6" s="1"/>
  <c r="I194" i="6" s="1"/>
  <c r="I195" i="6" s="1"/>
  <c r="I196" i="6" s="1"/>
  <c r="I197" i="6" s="1"/>
  <c r="I198" i="6" s="1"/>
  <c r="I199" i="6" s="1"/>
  <c r="I200" i="6" s="1"/>
  <c r="I201" i="6" s="1"/>
  <c r="I202" i="6" s="1"/>
  <c r="I203" i="6" s="1"/>
  <c r="I204" i="6" s="1"/>
  <c r="I205" i="6" s="1"/>
  <c r="I206" i="6" s="1"/>
  <c r="I207" i="6" s="1"/>
  <c r="I208" i="6" s="1"/>
  <c r="I209" i="6" s="1"/>
  <c r="I210" i="6" s="1"/>
  <c r="I211" i="6" s="1"/>
  <c r="I212" i="6" s="1"/>
  <c r="I213" i="6" s="1"/>
  <c r="I214" i="6" s="1"/>
  <c r="I215" i="6" s="1"/>
  <c r="I216" i="6" s="1"/>
  <c r="I217" i="6" s="1"/>
  <c r="I218" i="6" s="1"/>
  <c r="I219" i="6" s="1"/>
  <c r="I220" i="6" s="1"/>
  <c r="I221" i="6" s="1"/>
  <c r="I222" i="6" s="1"/>
  <c r="I223" i="6" s="1"/>
  <c r="I224" i="6" s="1"/>
  <c r="I225" i="6" s="1"/>
  <c r="I226" i="6" s="1"/>
  <c r="I227" i="6" s="1"/>
  <c r="I228" i="6" s="1"/>
  <c r="I229" i="6" s="1"/>
  <c r="I230" i="6" s="1"/>
  <c r="I231" i="6" s="1"/>
  <c r="I232" i="6" s="1"/>
  <c r="I233" i="6" s="1"/>
  <c r="I234" i="6" s="1"/>
  <c r="I235" i="6" s="1"/>
  <c r="I236" i="6" s="1"/>
  <c r="I237" i="6" s="1"/>
  <c r="I238" i="6" s="1"/>
  <c r="I239" i="6" s="1"/>
  <c r="I240" i="6" s="1"/>
  <c r="I241" i="6" s="1"/>
  <c r="I242" i="6" s="1"/>
  <c r="I243" i="6" s="1"/>
  <c r="I244" i="6" s="1"/>
  <c r="I245" i="6" s="1"/>
  <c r="I246" i="6" s="1"/>
  <c r="I247" i="6" s="1"/>
  <c r="I248" i="6" s="1"/>
  <c r="I249" i="6" s="1"/>
  <c r="I250" i="6" s="1"/>
  <c r="I251" i="6" s="1"/>
  <c r="I252" i="6" s="1"/>
  <c r="I253" i="6" s="1"/>
  <c r="I254" i="6" s="1"/>
  <c r="I255" i="6" s="1"/>
  <c r="I256" i="6" s="1"/>
  <c r="I257" i="6" s="1"/>
  <c r="I258" i="6" s="1"/>
  <c r="I259" i="6" s="1"/>
  <c r="I260" i="6" s="1"/>
  <c r="I261" i="6" s="1"/>
  <c r="I262" i="6" s="1"/>
  <c r="I263" i="6" s="1"/>
  <c r="I264" i="6" s="1"/>
  <c r="I265" i="6" s="1"/>
  <c r="I266" i="6" s="1"/>
  <c r="I267" i="6" s="1"/>
  <c r="I268" i="6" s="1"/>
  <c r="I269" i="6" s="1"/>
  <c r="I270" i="6" s="1"/>
  <c r="I271" i="6" s="1"/>
  <c r="I272" i="6" s="1"/>
  <c r="I273" i="6" s="1"/>
  <c r="I274" i="6" s="1"/>
  <c r="I275" i="6" s="1"/>
  <c r="I276" i="6" s="1"/>
  <c r="I277" i="6" s="1"/>
  <c r="I278" i="6" s="1"/>
  <c r="I279" i="6" s="1"/>
  <c r="I280" i="6" s="1"/>
  <c r="I281" i="6" s="1"/>
  <c r="I282" i="6" s="1"/>
  <c r="I283" i="6" s="1"/>
  <c r="I284" i="6" s="1"/>
  <c r="I285" i="6" s="1"/>
  <c r="I286" i="6" s="1"/>
  <c r="I287" i="6" s="1"/>
  <c r="I288" i="6" s="1"/>
  <c r="I289" i="6" s="1"/>
  <c r="I290" i="6" s="1"/>
  <c r="I291" i="6" s="1"/>
  <c r="I292" i="6" s="1"/>
  <c r="I293" i="6" s="1"/>
  <c r="I294" i="6" s="1"/>
  <c r="I295" i="6" s="1"/>
  <c r="I296" i="6" s="1"/>
  <c r="I297" i="6" s="1"/>
  <c r="I298" i="6" s="1"/>
  <c r="I299" i="6" s="1"/>
  <c r="I300" i="6" s="1"/>
  <c r="I301" i="6" s="1"/>
  <c r="I302" i="6" s="1"/>
  <c r="I303" i="6" s="1"/>
  <c r="I304" i="6" s="1"/>
  <c r="I305" i="6" s="1"/>
  <c r="I306" i="6" s="1"/>
  <c r="I307" i="6" s="1"/>
  <c r="I308" i="6" s="1"/>
  <c r="I309" i="6" s="1"/>
  <c r="I310" i="6" s="1"/>
  <c r="I311" i="6" s="1"/>
  <c r="I312" i="6" s="1"/>
  <c r="I313" i="6" s="1"/>
  <c r="I314" i="6" s="1"/>
  <c r="I315" i="6" s="1"/>
  <c r="I316" i="6" s="1"/>
  <c r="I317" i="6" s="1"/>
  <c r="I318" i="6" s="1"/>
  <c r="I319" i="6" s="1"/>
  <c r="I320" i="6" s="1"/>
  <c r="I321" i="6" s="1"/>
  <c r="I322" i="6" s="1"/>
  <c r="I323" i="6" s="1"/>
  <c r="I324" i="6" s="1"/>
  <c r="I325" i="6" s="1"/>
  <c r="F1" i="13"/>
  <c r="H324" i="6"/>
  <c r="K324" i="6"/>
  <c r="H3" i="6"/>
  <c r="I3" i="10"/>
  <c r="E4" i="10"/>
  <c r="H11" i="6"/>
  <c r="L2" i="13"/>
  <c r="I2" i="13"/>
  <c r="J2" i="13"/>
  <c r="N2" i="13"/>
  <c r="M2" i="13"/>
  <c r="K2" i="13"/>
  <c r="H2" i="13"/>
  <c r="G2" i="13"/>
  <c r="E2" i="13" l="1"/>
  <c r="G5" i="6"/>
  <c r="H5" i="6" s="1"/>
  <c r="I4" i="10"/>
  <c r="E5" i="10"/>
  <c r="H12" i="6"/>
  <c r="G6" i="6" l="1"/>
  <c r="G7" i="6" s="1"/>
  <c r="D3" i="13"/>
  <c r="F2" i="13" s="1"/>
  <c r="I5" i="10"/>
  <c r="E6" i="10"/>
  <c r="H14" i="6"/>
  <c r="P1" i="13" l="1"/>
  <c r="O2" i="13"/>
  <c r="G8" i="6"/>
  <c r="G9" i="6" s="1"/>
  <c r="G10" i="6" s="1"/>
  <c r="G11" i="6" s="1"/>
  <c r="G12" i="6" s="1"/>
  <c r="G13" i="6" s="1"/>
  <c r="G14" i="6" s="1"/>
  <c r="G15" i="6" s="1"/>
  <c r="G16" i="6" s="1"/>
  <c r="H16" i="6" s="1"/>
  <c r="H7" i="6"/>
  <c r="H8" i="6"/>
  <c r="I6" i="10"/>
  <c r="E7" i="10"/>
  <c r="N3" i="13"/>
  <c r="J3" i="13"/>
  <c r="L3" i="13"/>
  <c r="I3" i="13"/>
  <c r="G3" i="13"/>
  <c r="M3" i="13"/>
  <c r="H3" i="13"/>
  <c r="K3" i="13"/>
  <c r="E3" i="13" l="1"/>
  <c r="D4" i="13" s="1"/>
  <c r="F3" i="13" s="1"/>
  <c r="S1" i="13"/>
  <c r="T1" i="13" s="1"/>
  <c r="Q1" i="13"/>
  <c r="H13" i="6"/>
  <c r="H10" i="6"/>
  <c r="G17" i="6"/>
  <c r="G18" i="6" s="1"/>
  <c r="G19" i="6" s="1"/>
  <c r="E8" i="10"/>
  <c r="I7" i="10"/>
  <c r="H17" i="6"/>
  <c r="P2" i="13" l="1"/>
  <c r="O3" i="13"/>
  <c r="G20" i="6"/>
  <c r="H19" i="6"/>
  <c r="E9" i="10"/>
  <c r="I8" i="10"/>
  <c r="H21" i="6"/>
  <c r="H22" i="6"/>
  <c r="N4" i="13"/>
  <c r="H4" i="13"/>
  <c r="J4" i="13"/>
  <c r="M4" i="13"/>
  <c r="K4" i="13"/>
  <c r="G4" i="13"/>
  <c r="I4" i="13"/>
  <c r="L4" i="13"/>
  <c r="E4" i="13" l="1"/>
  <c r="D5" i="13" s="1"/>
  <c r="F4" i="13" s="1"/>
  <c r="S2" i="13"/>
  <c r="T2" i="13" s="1"/>
  <c r="Q2" i="13"/>
  <c r="G21" i="6"/>
  <c r="G22" i="6" s="1"/>
  <c r="G23" i="6" s="1"/>
  <c r="G24" i="6" s="1"/>
  <c r="H20" i="6"/>
  <c r="E10" i="10"/>
  <c r="I9" i="10"/>
  <c r="H23" i="6"/>
  <c r="P3" i="13" l="1"/>
  <c r="O4" i="13"/>
  <c r="E11" i="10"/>
  <c r="I10" i="10"/>
  <c r="H24" i="6"/>
  <c r="G25" i="6"/>
  <c r="G26" i="6" s="1"/>
  <c r="G27" i="6" s="1"/>
  <c r="J5" i="13"/>
  <c r="N5" i="13"/>
  <c r="L5" i="13"/>
  <c r="M5" i="13"/>
  <c r="G5" i="13"/>
  <c r="K5" i="13"/>
  <c r="H5" i="13"/>
  <c r="I5" i="13"/>
  <c r="E5" i="13" l="1"/>
  <c r="S3" i="13"/>
  <c r="T3" i="13" s="1"/>
  <c r="Q3" i="13"/>
  <c r="E12" i="10"/>
  <c r="I11" i="10"/>
  <c r="H27" i="6"/>
  <c r="G28" i="6"/>
  <c r="D6" i="13" l="1"/>
  <c r="F5" i="13" s="1"/>
  <c r="E13" i="10"/>
  <c r="I12" i="10"/>
  <c r="H28" i="6"/>
  <c r="G29" i="6"/>
  <c r="P4" i="13" l="1"/>
  <c r="O5" i="13"/>
  <c r="G30" i="6"/>
  <c r="G31" i="6" s="1"/>
  <c r="H29" i="6"/>
  <c r="I13" i="10"/>
  <c r="E14" i="10"/>
  <c r="J6" i="13"/>
  <c r="M6" i="13"/>
  <c r="L6" i="13"/>
  <c r="N6" i="13"/>
  <c r="K6" i="13"/>
  <c r="H6" i="13"/>
  <c r="I6" i="13"/>
  <c r="G6" i="13"/>
  <c r="E6" i="13" l="1"/>
  <c r="D7" i="13" s="1"/>
  <c r="F6" i="13" s="1"/>
  <c r="S4" i="13"/>
  <c r="T4" i="13" s="1"/>
  <c r="Q4" i="13"/>
  <c r="H30" i="6"/>
  <c r="G32" i="6"/>
  <c r="G33" i="6" s="1"/>
  <c r="H31" i="6"/>
  <c r="E15" i="10"/>
  <c r="I14" i="10"/>
  <c r="P5" i="13" l="1"/>
  <c r="O6" i="13"/>
  <c r="S5" i="13" s="1"/>
  <c r="T5" i="13" s="1"/>
  <c r="H32" i="6"/>
  <c r="E16" i="10"/>
  <c r="I15" i="10"/>
  <c r="H33" i="6"/>
  <c r="G34" i="6"/>
  <c r="J7" i="13"/>
  <c r="K7" i="13"/>
  <c r="M7" i="13"/>
  <c r="I7" i="13"/>
  <c r="L7" i="13"/>
  <c r="H7" i="13"/>
  <c r="G7" i="13"/>
  <c r="N7" i="13"/>
  <c r="E7" i="13" l="1"/>
  <c r="D8" i="13" s="1"/>
  <c r="F7" i="13" s="1"/>
  <c r="Q5" i="13"/>
  <c r="G35" i="6"/>
  <c r="G36" i="6" s="1"/>
  <c r="H34" i="6"/>
  <c r="E17" i="10"/>
  <c r="I16" i="10"/>
  <c r="H35" i="6"/>
  <c r="P6" i="13" l="1"/>
  <c r="O7" i="13"/>
  <c r="I17" i="10"/>
  <c r="E18" i="10"/>
  <c r="H36" i="6"/>
  <c r="G37" i="6"/>
  <c r="N8" i="13"/>
  <c r="I8" i="13"/>
  <c r="M8" i="13"/>
  <c r="G8" i="13"/>
  <c r="J8" i="13"/>
  <c r="H8" i="13"/>
  <c r="L8" i="13"/>
  <c r="K8" i="13"/>
  <c r="E8" i="13" l="1"/>
  <c r="D9" i="13" s="1"/>
  <c r="F8" i="13" s="1"/>
  <c r="S6" i="13"/>
  <c r="T6" i="13" s="1"/>
  <c r="Q6" i="13"/>
  <c r="E19" i="10"/>
  <c r="I18" i="10"/>
  <c r="G38" i="6"/>
  <c r="G39" i="6" s="1"/>
  <c r="H37" i="6"/>
  <c r="O8" i="13" l="1"/>
  <c r="S7" i="13" s="1"/>
  <c r="T7" i="13" s="1"/>
  <c r="P7" i="13"/>
  <c r="E20" i="10"/>
  <c r="I19" i="10"/>
  <c r="H39" i="6"/>
  <c r="G40" i="6"/>
  <c r="H9" i="13"/>
  <c r="J9" i="13"/>
  <c r="M9" i="13"/>
  <c r="K9" i="13"/>
  <c r="I9" i="13"/>
  <c r="G9" i="13"/>
  <c r="N9" i="13"/>
  <c r="L9" i="13"/>
  <c r="E9" i="13" l="1"/>
  <c r="D10" i="13" s="1"/>
  <c r="F9" i="13" s="1"/>
  <c r="Q7" i="13"/>
  <c r="E21" i="10"/>
  <c r="I20" i="10"/>
  <c r="G41" i="6"/>
  <c r="H40" i="6"/>
  <c r="P8" i="13" l="1"/>
  <c r="O9" i="13"/>
  <c r="I21" i="10"/>
  <c r="E22" i="10"/>
  <c r="G42" i="6"/>
  <c r="H41" i="6"/>
  <c r="M10" i="13"/>
  <c r="N10" i="13"/>
  <c r="G10" i="13"/>
  <c r="K10" i="13"/>
  <c r="I10" i="13"/>
  <c r="L10" i="13"/>
  <c r="H10" i="13"/>
  <c r="J10" i="13"/>
  <c r="E10" i="13" l="1"/>
  <c r="D11" i="13" s="1"/>
  <c r="F10" i="13" s="1"/>
  <c r="S8" i="13"/>
  <c r="T8" i="13" s="1"/>
  <c r="Q8" i="13"/>
  <c r="E23" i="10"/>
  <c r="I22" i="10"/>
  <c r="G43" i="6"/>
  <c r="H42" i="6"/>
  <c r="O10" i="13" l="1"/>
  <c r="S9" i="13" s="1"/>
  <c r="T9" i="13" s="1"/>
  <c r="P9" i="13"/>
  <c r="G44" i="6"/>
  <c r="G45" i="6" s="1"/>
  <c r="G46" i="6" s="1"/>
  <c r="H43" i="6"/>
  <c r="E24" i="10"/>
  <c r="I23" i="10"/>
  <c r="H44" i="6"/>
  <c r="L11" i="13"/>
  <c r="H11" i="13"/>
  <c r="M11" i="13"/>
  <c r="N11" i="13"/>
  <c r="G11" i="13"/>
  <c r="J11" i="13"/>
  <c r="I11" i="13"/>
  <c r="K11" i="13"/>
  <c r="E11" i="13" l="1"/>
  <c r="D12" i="13" s="1"/>
  <c r="F11" i="13" s="1"/>
  <c r="Q9" i="13"/>
  <c r="E25" i="10"/>
  <c r="I24" i="10"/>
  <c r="G47" i="6"/>
  <c r="H46" i="6"/>
  <c r="P10" i="13" l="1"/>
  <c r="O11" i="13"/>
  <c r="G48" i="6"/>
  <c r="G49" i="6" s="1"/>
  <c r="G50" i="6" s="1"/>
  <c r="H47" i="6"/>
  <c r="E26" i="10"/>
  <c r="I25" i="10"/>
  <c r="H49" i="6"/>
  <c r="H12" i="13"/>
  <c r="L12" i="13"/>
  <c r="J12" i="13"/>
  <c r="N12" i="13"/>
  <c r="K12" i="13"/>
  <c r="G12" i="13"/>
  <c r="I12" i="13"/>
  <c r="M12" i="13"/>
  <c r="E12" i="13" l="1"/>
  <c r="D13" i="13" s="1"/>
  <c r="F12" i="13" s="1"/>
  <c r="S10" i="13"/>
  <c r="T10" i="13" s="1"/>
  <c r="Q10" i="13"/>
  <c r="G51" i="6"/>
  <c r="G52" i="6" s="1"/>
  <c r="H50" i="6"/>
  <c r="E27" i="10"/>
  <c r="I26" i="10"/>
  <c r="H51" i="6"/>
  <c r="O12" i="13" l="1"/>
  <c r="S11" i="13" s="1"/>
  <c r="T11" i="13" s="1"/>
  <c r="P11" i="13"/>
  <c r="G53" i="6"/>
  <c r="G54" i="6" s="1"/>
  <c r="H52" i="6"/>
  <c r="E28" i="10"/>
  <c r="I27" i="10"/>
  <c r="K13" i="13"/>
  <c r="N13" i="13"/>
  <c r="I13" i="13"/>
  <c r="J13" i="13"/>
  <c r="H13" i="13"/>
  <c r="L13" i="13"/>
  <c r="G13" i="13"/>
  <c r="M13" i="13"/>
  <c r="E13" i="13" l="1"/>
  <c r="D14" i="13" s="1"/>
  <c r="F13" i="13" s="1"/>
  <c r="Q11" i="13"/>
  <c r="H53" i="6"/>
  <c r="G55" i="6"/>
  <c r="G56" i="6" s="1"/>
  <c r="H54" i="6"/>
  <c r="E29" i="10"/>
  <c r="I28" i="10"/>
  <c r="P12" i="13" l="1"/>
  <c r="O13" i="13"/>
  <c r="S12" i="13" s="1"/>
  <c r="T12" i="13" s="1"/>
  <c r="H55" i="6"/>
  <c r="E30" i="10"/>
  <c r="I29" i="10"/>
  <c r="H56" i="6"/>
  <c r="G57" i="6"/>
  <c r="N14" i="13"/>
  <c r="M14" i="13"/>
  <c r="I14" i="13"/>
  <c r="L14" i="13"/>
  <c r="J14" i="13"/>
  <c r="G14" i="13"/>
  <c r="K14" i="13"/>
  <c r="H14" i="13"/>
  <c r="E14" i="13" l="1"/>
  <c r="D15" i="13" s="1"/>
  <c r="F14" i="13" s="1"/>
  <c r="Q12" i="13"/>
  <c r="E31" i="10"/>
  <c r="I30" i="10"/>
  <c r="G58" i="6"/>
  <c r="H57" i="6"/>
  <c r="O14" i="13" l="1"/>
  <c r="S13" i="13" s="1"/>
  <c r="T13" i="13" s="1"/>
  <c r="P13" i="13"/>
  <c r="G59" i="6"/>
  <c r="G60" i="6" s="1"/>
  <c r="G61" i="6" s="1"/>
  <c r="H58" i="6"/>
  <c r="E32" i="10"/>
  <c r="I31" i="10"/>
  <c r="H59" i="6"/>
  <c r="K15" i="13"/>
  <c r="H15" i="13"/>
  <c r="G15" i="13"/>
  <c r="I15" i="13"/>
  <c r="N15" i="13"/>
  <c r="M15" i="13"/>
  <c r="L15" i="13"/>
  <c r="J15" i="13"/>
  <c r="E15" i="13" l="1"/>
  <c r="D16" i="13" s="1"/>
  <c r="F15" i="13" s="1"/>
  <c r="Q13" i="13"/>
  <c r="E33" i="10"/>
  <c r="I32" i="10"/>
  <c r="G62" i="6"/>
  <c r="G63" i="6" s="1"/>
  <c r="H61" i="6"/>
  <c r="P14" i="13" l="1"/>
  <c r="O15" i="13"/>
  <c r="G64" i="6"/>
  <c r="G65" i="6" s="1"/>
  <c r="H63" i="6"/>
  <c r="E34" i="10"/>
  <c r="I33" i="10"/>
  <c r="H64" i="6"/>
  <c r="I16" i="13"/>
  <c r="K16" i="13"/>
  <c r="L16" i="13"/>
  <c r="H16" i="13"/>
  <c r="G16" i="13"/>
  <c r="J16" i="13"/>
  <c r="M16" i="13"/>
  <c r="N16" i="13"/>
  <c r="E16" i="13" l="1"/>
  <c r="S14" i="13"/>
  <c r="T14" i="13" s="1"/>
  <c r="Q14" i="13"/>
  <c r="E35" i="10"/>
  <c r="I34" i="10"/>
  <c r="H65" i="6"/>
  <c r="G66" i="6"/>
  <c r="G67" i="6" l="1"/>
  <c r="G68" i="6" s="1"/>
  <c r="H66" i="6"/>
  <c r="D17" i="13"/>
  <c r="F16" i="13" s="1"/>
  <c r="H67" i="6"/>
  <c r="E36" i="10"/>
  <c r="I35" i="10"/>
  <c r="P15" i="13" l="1"/>
  <c r="O16" i="13"/>
  <c r="G69" i="6"/>
  <c r="G70" i="6" s="1"/>
  <c r="H68" i="6"/>
  <c r="E37" i="10"/>
  <c r="I36" i="10"/>
  <c r="H69" i="6"/>
  <c r="H17" i="13"/>
  <c r="M17" i="13"/>
  <c r="L17" i="13"/>
  <c r="K17" i="13"/>
  <c r="J17" i="13"/>
  <c r="I17" i="13"/>
  <c r="N17" i="13"/>
  <c r="G17" i="13"/>
  <c r="E17" i="13" l="1"/>
  <c r="D18" i="13" s="1"/>
  <c r="F17" i="13" s="1"/>
  <c r="S15" i="13"/>
  <c r="T15" i="13" s="1"/>
  <c r="Q15" i="13"/>
  <c r="E38" i="10"/>
  <c r="I37" i="10"/>
  <c r="H70" i="6"/>
  <c r="G71" i="6"/>
  <c r="P16" i="13" l="1"/>
  <c r="O17" i="13"/>
  <c r="E39" i="10"/>
  <c r="I38" i="10"/>
  <c r="H71" i="6"/>
  <c r="G72" i="6"/>
  <c r="G73" i="6" s="1"/>
  <c r="M18" i="13"/>
  <c r="L18" i="13"/>
  <c r="J18" i="13"/>
  <c r="G18" i="13"/>
  <c r="N18" i="13"/>
  <c r="I18" i="13"/>
  <c r="K18" i="13"/>
  <c r="H18" i="13"/>
  <c r="E18" i="13" l="1"/>
  <c r="S16" i="13"/>
  <c r="T16" i="13" s="1"/>
  <c r="Q16" i="13"/>
  <c r="G74" i="6"/>
  <c r="G75" i="6" s="1"/>
  <c r="H73" i="6"/>
  <c r="E40" i="10"/>
  <c r="I39" i="10"/>
  <c r="H74" i="6"/>
  <c r="G76" i="6" l="1"/>
  <c r="G77" i="6" s="1"/>
  <c r="G78" i="6" s="1"/>
  <c r="H75" i="6"/>
  <c r="D19" i="13"/>
  <c r="F18" i="13" s="1"/>
  <c r="E41" i="10"/>
  <c r="I40" i="10"/>
  <c r="H76" i="6"/>
  <c r="H96" i="6"/>
  <c r="P17" i="13" l="1"/>
  <c r="O18" i="13"/>
  <c r="E42" i="10"/>
  <c r="I41" i="10"/>
  <c r="G79" i="6"/>
  <c r="H78" i="6"/>
  <c r="N19" i="13"/>
  <c r="J19" i="13"/>
  <c r="I19" i="13"/>
  <c r="H19" i="13"/>
  <c r="K19" i="13"/>
  <c r="L19" i="13"/>
  <c r="M19" i="13"/>
  <c r="G19" i="13"/>
  <c r="E19" i="13" l="1"/>
  <c r="S17" i="13"/>
  <c r="T17" i="13" s="1"/>
  <c r="Q17" i="13"/>
  <c r="E43" i="10"/>
  <c r="I42" i="10"/>
  <c r="G80" i="6"/>
  <c r="G81" i="6" s="1"/>
  <c r="H79" i="6"/>
  <c r="D20" i="13" l="1"/>
  <c r="F19" i="13" s="1"/>
  <c r="E44" i="10"/>
  <c r="I43" i="10"/>
  <c r="G82" i="6"/>
  <c r="G83" i="6" s="1"/>
  <c r="H81" i="6"/>
  <c r="P18" i="13" l="1"/>
  <c r="O19" i="13"/>
  <c r="E45" i="10"/>
  <c r="I44" i="10"/>
  <c r="G84" i="6"/>
  <c r="G85" i="6" s="1"/>
  <c r="G86" i="6" s="1"/>
  <c r="H83" i="6"/>
  <c r="K20" i="13"/>
  <c r="G20" i="13"/>
  <c r="H20" i="13"/>
  <c r="N20" i="13"/>
  <c r="I20" i="13"/>
  <c r="L20" i="13"/>
  <c r="M20" i="13"/>
  <c r="J20" i="13"/>
  <c r="E20" i="13" l="1"/>
  <c r="S18" i="13"/>
  <c r="T18" i="13" s="1"/>
  <c r="Q18" i="13"/>
  <c r="E46" i="10"/>
  <c r="I45" i="10"/>
  <c r="H86" i="6"/>
  <c r="G87" i="6"/>
  <c r="G88" i="6" s="1"/>
  <c r="D21" i="13" l="1"/>
  <c r="F20" i="13" s="1"/>
  <c r="G89" i="6"/>
  <c r="G90" i="6" s="1"/>
  <c r="H88" i="6"/>
  <c r="E47" i="10"/>
  <c r="I46" i="10"/>
  <c r="H89" i="6"/>
  <c r="P19" i="13" l="1"/>
  <c r="O20" i="13"/>
  <c r="G91" i="6"/>
  <c r="G92" i="6" s="1"/>
  <c r="G93" i="6" s="1"/>
  <c r="G94" i="6" s="1"/>
  <c r="H90" i="6"/>
  <c r="E48" i="10"/>
  <c r="I47" i="10"/>
  <c r="H92" i="6"/>
  <c r="G21" i="13"/>
  <c r="H21" i="13"/>
  <c r="I21" i="13"/>
  <c r="J21" i="13"/>
  <c r="L21" i="13"/>
  <c r="M21" i="13"/>
  <c r="K21" i="13"/>
  <c r="N21" i="13"/>
  <c r="E21" i="13" l="1"/>
  <c r="S19" i="13"/>
  <c r="T19" i="13" s="1"/>
  <c r="Q19" i="13"/>
  <c r="E49" i="10"/>
  <c r="I48" i="10"/>
  <c r="G95" i="6"/>
  <c r="G96" i="6" s="1"/>
  <c r="G97" i="6" s="1"/>
  <c r="H94" i="6"/>
  <c r="D22" i="13" l="1"/>
  <c r="F21" i="13" s="1"/>
  <c r="E50" i="10"/>
  <c r="I49" i="10"/>
  <c r="H97" i="6"/>
  <c r="G98" i="6"/>
  <c r="P20" i="13" l="1"/>
  <c r="O21" i="13"/>
  <c r="G99" i="6"/>
  <c r="G100" i="6" s="1"/>
  <c r="H98" i="6"/>
  <c r="E51" i="10"/>
  <c r="I50" i="10"/>
  <c r="H99" i="6"/>
  <c r="K22" i="13"/>
  <c r="N22" i="13"/>
  <c r="G22" i="13"/>
  <c r="I22" i="13"/>
  <c r="M22" i="13"/>
  <c r="J22" i="13"/>
  <c r="L22" i="13"/>
  <c r="H22" i="13"/>
  <c r="E22" i="13" l="1"/>
  <c r="S20" i="13"/>
  <c r="T20" i="13" s="1"/>
  <c r="Q20" i="13"/>
  <c r="E52" i="10"/>
  <c r="I51" i="10"/>
  <c r="G101" i="6"/>
  <c r="G102" i="6" s="1"/>
  <c r="G103" i="6" s="1"/>
  <c r="H100" i="6"/>
  <c r="D23" i="13" l="1"/>
  <c r="F22" i="13" s="1"/>
  <c r="E53" i="10"/>
  <c r="I52" i="10"/>
  <c r="H103" i="6"/>
  <c r="G104" i="6"/>
  <c r="G105" i="6" s="1"/>
  <c r="P21" i="13" l="1"/>
  <c r="O22" i="13"/>
  <c r="E54" i="10"/>
  <c r="I53" i="10"/>
  <c r="G106" i="6"/>
  <c r="H105" i="6"/>
  <c r="N23" i="13"/>
  <c r="J23" i="13"/>
  <c r="G23" i="13"/>
  <c r="L23" i="13"/>
  <c r="K23" i="13"/>
  <c r="I23" i="13"/>
  <c r="H23" i="13"/>
  <c r="M23" i="13"/>
  <c r="E23" i="13" l="1"/>
  <c r="S21" i="13"/>
  <c r="T21" i="13" s="1"/>
  <c r="Q21" i="13"/>
  <c r="E55" i="10"/>
  <c r="I54" i="10"/>
  <c r="G107" i="6"/>
  <c r="H106" i="6"/>
  <c r="H123" i="6"/>
  <c r="D24" i="13" l="1"/>
  <c r="F23" i="13" s="1"/>
  <c r="E56" i="10"/>
  <c r="I55" i="10"/>
  <c r="G108" i="6"/>
  <c r="H107" i="6"/>
  <c r="P22" i="13" l="1"/>
  <c r="O23" i="13"/>
  <c r="G109" i="6"/>
  <c r="G110" i="6" s="1"/>
  <c r="H108" i="6"/>
  <c r="E57" i="10"/>
  <c r="I56" i="10"/>
  <c r="H109" i="6"/>
  <c r="K24" i="13"/>
  <c r="J24" i="13"/>
  <c r="L24" i="13"/>
  <c r="G24" i="13"/>
  <c r="I24" i="13"/>
  <c r="N24" i="13"/>
  <c r="H24" i="13"/>
  <c r="M24" i="13"/>
  <c r="E24" i="13" l="1"/>
  <c r="S22" i="13"/>
  <c r="T22" i="13" s="1"/>
  <c r="Q22" i="13"/>
  <c r="E58" i="10"/>
  <c r="I57" i="10"/>
  <c r="G111" i="6"/>
  <c r="H110" i="6"/>
  <c r="D25" i="13" l="1"/>
  <c r="F24" i="13" s="1"/>
  <c r="E59" i="10"/>
  <c r="I58" i="10"/>
  <c r="G112" i="6"/>
  <c r="G113" i="6" s="1"/>
  <c r="H111" i="6"/>
  <c r="P23" i="13" l="1"/>
  <c r="O24" i="13"/>
  <c r="E60" i="10"/>
  <c r="I59" i="10"/>
  <c r="H113" i="6"/>
  <c r="G114" i="6"/>
  <c r="G115" i="6" s="1"/>
  <c r="M25" i="13"/>
  <c r="L25" i="13"/>
  <c r="K25" i="13"/>
  <c r="H25" i="13"/>
  <c r="I25" i="13"/>
  <c r="G25" i="13"/>
  <c r="J25" i="13"/>
  <c r="N25" i="13"/>
  <c r="E25" i="13" l="1"/>
  <c r="S23" i="13"/>
  <c r="T23" i="13" s="1"/>
  <c r="Q23" i="13"/>
  <c r="E61" i="10"/>
  <c r="I60" i="10"/>
  <c r="H115" i="6"/>
  <c r="G116" i="6"/>
  <c r="D26" i="13" l="1"/>
  <c r="F25" i="13" s="1"/>
  <c r="G117" i="6"/>
  <c r="G118" i="6" s="1"/>
  <c r="H116" i="6"/>
  <c r="E62" i="10"/>
  <c r="I61" i="10"/>
  <c r="H117" i="6"/>
  <c r="P24" i="13" l="1"/>
  <c r="O25" i="13"/>
  <c r="E63" i="10"/>
  <c r="I62" i="10"/>
  <c r="H118" i="6"/>
  <c r="G119" i="6"/>
  <c r="H26" i="13"/>
  <c r="M26" i="13"/>
  <c r="L26" i="13"/>
  <c r="K26" i="13"/>
  <c r="J26" i="13"/>
  <c r="G26" i="13"/>
  <c r="I26" i="13"/>
  <c r="N26" i="13"/>
  <c r="E26" i="13" l="1"/>
  <c r="S24" i="13"/>
  <c r="T24" i="13" s="1"/>
  <c r="Q24" i="13"/>
  <c r="E64" i="10"/>
  <c r="I63" i="10"/>
  <c r="H119" i="6"/>
  <c r="G120" i="6"/>
  <c r="D27" i="13" l="1"/>
  <c r="F26" i="13" s="1"/>
  <c r="E65" i="10"/>
  <c r="I64" i="10"/>
  <c r="G121" i="6"/>
  <c r="H120" i="6"/>
  <c r="P25" i="13" l="1"/>
  <c r="O26" i="13"/>
  <c r="E66" i="10"/>
  <c r="I65" i="10"/>
  <c r="H121" i="6"/>
  <c r="G122" i="6"/>
  <c r="J27" i="13"/>
  <c r="K27" i="13"/>
  <c r="H27" i="13"/>
  <c r="I27" i="13"/>
  <c r="G27" i="13"/>
  <c r="M27" i="13"/>
  <c r="N27" i="13"/>
  <c r="L27" i="13"/>
  <c r="E27" i="13" l="1"/>
  <c r="S25" i="13"/>
  <c r="T25" i="13" s="1"/>
  <c r="Q25" i="13"/>
  <c r="G123" i="6"/>
  <c r="G124" i="6" s="1"/>
  <c r="G125" i="6" s="1"/>
  <c r="H122" i="6"/>
  <c r="E67" i="10"/>
  <c r="I66" i="10"/>
  <c r="H124" i="6"/>
  <c r="D28" i="13" l="1"/>
  <c r="F27" i="13" s="1"/>
  <c r="E68" i="10"/>
  <c r="I67" i="10"/>
  <c r="G126" i="6"/>
  <c r="H125" i="6"/>
  <c r="P26" i="13" l="1"/>
  <c r="O27" i="13"/>
  <c r="G127" i="6"/>
  <c r="G128" i="6" s="1"/>
  <c r="H126" i="6"/>
  <c r="E69" i="10"/>
  <c r="I68" i="10"/>
  <c r="G28" i="13"/>
  <c r="M28" i="13"/>
  <c r="L28" i="13"/>
  <c r="K28" i="13"/>
  <c r="J28" i="13"/>
  <c r="N28" i="13"/>
  <c r="I28" i="13"/>
  <c r="H28" i="13"/>
  <c r="E28" i="13" l="1"/>
  <c r="S26" i="13"/>
  <c r="T26" i="13" s="1"/>
  <c r="Q26" i="13"/>
  <c r="H127" i="6"/>
  <c r="E70" i="10"/>
  <c r="I69" i="10"/>
  <c r="G129" i="6"/>
  <c r="H128" i="6"/>
  <c r="D29" i="13" l="1"/>
  <c r="F28" i="13" s="1"/>
  <c r="E71" i="10"/>
  <c r="I70" i="10"/>
  <c r="H129" i="6"/>
  <c r="G130" i="6"/>
  <c r="G131" i="6" s="1"/>
  <c r="P27" i="13" l="1"/>
  <c r="O28" i="13"/>
  <c r="E72" i="10"/>
  <c r="I71" i="10"/>
  <c r="H131" i="6"/>
  <c r="G132" i="6"/>
  <c r="N29" i="13"/>
  <c r="K29" i="13"/>
  <c r="I29" i="13"/>
  <c r="H29" i="13"/>
  <c r="L29" i="13"/>
  <c r="G29" i="13"/>
  <c r="M29" i="13"/>
  <c r="J29" i="13"/>
  <c r="E29" i="13" l="1"/>
  <c r="S27" i="13"/>
  <c r="T27" i="13" s="1"/>
  <c r="Q27" i="13"/>
  <c r="G133" i="6"/>
  <c r="G134" i="6" s="1"/>
  <c r="H132" i="6"/>
  <c r="E73" i="10"/>
  <c r="I72" i="10"/>
  <c r="H133" i="6"/>
  <c r="D30" i="13" l="1"/>
  <c r="F29" i="13" s="1"/>
  <c r="G135" i="6"/>
  <c r="G136" i="6" s="1"/>
  <c r="H134" i="6"/>
  <c r="E74" i="10"/>
  <c r="I73" i="10"/>
  <c r="P28" i="13" l="1"/>
  <c r="O29" i="13"/>
  <c r="H135" i="6"/>
  <c r="G137" i="6"/>
  <c r="G138" i="6" s="1"/>
  <c r="H138" i="6" s="1"/>
  <c r="H136" i="6"/>
  <c r="E75" i="10"/>
  <c r="I74" i="10"/>
  <c r="K30" i="13"/>
  <c r="I30" i="13"/>
  <c r="M30" i="13"/>
  <c r="L30" i="13"/>
  <c r="H30" i="13"/>
  <c r="G30" i="13"/>
  <c r="N30" i="13"/>
  <c r="J30" i="13"/>
  <c r="E30" i="13" l="1"/>
  <c r="S28" i="13"/>
  <c r="T28" i="13" s="1"/>
  <c r="Q28" i="13"/>
  <c r="G139" i="6"/>
  <c r="G140" i="6" s="1"/>
  <c r="G141" i="6" s="1"/>
  <c r="E76" i="10"/>
  <c r="I75" i="10"/>
  <c r="H139" i="6" l="1"/>
  <c r="D31" i="13"/>
  <c r="F30" i="13" s="1"/>
  <c r="E77" i="10"/>
  <c r="I76" i="10"/>
  <c r="H141" i="6"/>
  <c r="G142" i="6"/>
  <c r="P29" i="13" l="1"/>
  <c r="O30" i="13"/>
  <c r="E78" i="10"/>
  <c r="I77" i="10"/>
  <c r="G143" i="6"/>
  <c r="G144" i="6" s="1"/>
  <c r="H142" i="6"/>
  <c r="I31" i="13"/>
  <c r="M31" i="13"/>
  <c r="J31" i="13"/>
  <c r="H31" i="13"/>
  <c r="N31" i="13"/>
  <c r="G31" i="13"/>
  <c r="L31" i="13"/>
  <c r="K31" i="13"/>
  <c r="E31" i="13" l="1"/>
  <c r="S29" i="13"/>
  <c r="T29" i="13" s="1"/>
  <c r="Q29" i="13"/>
  <c r="E79" i="10"/>
  <c r="I78" i="10"/>
  <c r="H144" i="6"/>
  <c r="G145" i="6"/>
  <c r="G146" i="6" l="1"/>
  <c r="G147" i="6" s="1"/>
  <c r="H145" i="6"/>
  <c r="D32" i="13"/>
  <c r="F31" i="13" s="1"/>
  <c r="H146" i="6"/>
  <c r="E80" i="10"/>
  <c r="I79" i="10"/>
  <c r="P30" i="13" l="1"/>
  <c r="O31" i="13"/>
  <c r="G148" i="6"/>
  <c r="G149" i="6" s="1"/>
  <c r="G150" i="6" s="1"/>
  <c r="H147" i="6"/>
  <c r="H148" i="6"/>
  <c r="E81" i="10"/>
  <c r="I80" i="10"/>
  <c r="H196" i="6"/>
  <c r="L32" i="13"/>
  <c r="N32" i="13"/>
  <c r="G32" i="13"/>
  <c r="M32" i="13"/>
  <c r="J32" i="13"/>
  <c r="H32" i="13"/>
  <c r="K32" i="13"/>
  <c r="I32" i="13"/>
  <c r="E32" i="13" l="1"/>
  <c r="S30" i="13"/>
  <c r="T30" i="13" s="1"/>
  <c r="Q30" i="13"/>
  <c r="G151" i="6"/>
  <c r="G152" i="6" s="1"/>
  <c r="H150" i="6"/>
  <c r="H149" i="6"/>
  <c r="E82" i="10"/>
  <c r="I81" i="10"/>
  <c r="H151" i="6"/>
  <c r="G153" i="6" l="1"/>
  <c r="G154" i="6" s="1"/>
  <c r="H152" i="6"/>
  <c r="D33" i="13"/>
  <c r="F32" i="13" s="1"/>
  <c r="E83" i="10"/>
  <c r="I82" i="10"/>
  <c r="H153" i="6"/>
  <c r="P31" i="13" l="1"/>
  <c r="O32" i="13"/>
  <c r="G155" i="6"/>
  <c r="H154" i="6"/>
  <c r="E84" i="10"/>
  <c r="I83" i="10"/>
  <c r="H156" i="6"/>
  <c r="K33" i="13"/>
  <c r="M33" i="13"/>
  <c r="J33" i="13"/>
  <c r="G33" i="13"/>
  <c r="I33" i="13"/>
  <c r="L33" i="13"/>
  <c r="N33" i="13"/>
  <c r="H33" i="13"/>
  <c r="E33" i="13" l="1"/>
  <c r="S31" i="13"/>
  <c r="T31" i="13" s="1"/>
  <c r="Q31" i="13"/>
  <c r="G156" i="6"/>
  <c r="G157" i="6" s="1"/>
  <c r="G158" i="6" s="1"/>
  <c r="H155" i="6"/>
  <c r="H157" i="6"/>
  <c r="E85" i="10"/>
  <c r="I84" i="10"/>
  <c r="G159" i="6" l="1"/>
  <c r="G160" i="6" s="1"/>
  <c r="G161" i="6" s="1"/>
  <c r="G162" i="6" s="1"/>
  <c r="H158" i="6"/>
  <c r="D34" i="13"/>
  <c r="F33" i="13" s="1"/>
  <c r="H160" i="6"/>
  <c r="E86" i="10"/>
  <c r="I85" i="10"/>
  <c r="P32" i="13" l="1"/>
  <c r="O33" i="13"/>
  <c r="G163" i="6"/>
  <c r="G164" i="6" s="1"/>
  <c r="H162" i="6"/>
  <c r="H161" i="6"/>
  <c r="E87" i="10"/>
  <c r="I86" i="10"/>
  <c r="H163" i="6"/>
  <c r="H207" i="6"/>
  <c r="M34" i="13"/>
  <c r="L34" i="13"/>
  <c r="G34" i="13"/>
  <c r="I34" i="13"/>
  <c r="N34" i="13"/>
  <c r="J34" i="13"/>
  <c r="K34" i="13"/>
  <c r="H34" i="13"/>
  <c r="E34" i="13" l="1"/>
  <c r="S32" i="13"/>
  <c r="T32" i="13" s="1"/>
  <c r="Q32" i="13"/>
  <c r="E88" i="10"/>
  <c r="I87" i="10"/>
  <c r="G165" i="6"/>
  <c r="H164" i="6"/>
  <c r="G166" i="6" l="1"/>
  <c r="G167" i="6" s="1"/>
  <c r="H165" i="6"/>
  <c r="D35" i="13"/>
  <c r="F34" i="13" s="1"/>
  <c r="E89" i="10"/>
  <c r="I88" i="10"/>
  <c r="H166" i="6"/>
  <c r="P33" i="13" l="1"/>
  <c r="O34" i="13"/>
  <c r="E90" i="10"/>
  <c r="I89" i="10"/>
  <c r="H167" i="6"/>
  <c r="G168" i="6"/>
  <c r="M35" i="13"/>
  <c r="I35" i="13"/>
  <c r="K35" i="13"/>
  <c r="L35" i="13"/>
  <c r="J35" i="13"/>
  <c r="G35" i="13"/>
  <c r="H35" i="13"/>
  <c r="N35" i="13"/>
  <c r="E35" i="13" l="1"/>
  <c r="S33" i="13"/>
  <c r="T33" i="13" s="1"/>
  <c r="Q33" i="13"/>
  <c r="E91" i="10"/>
  <c r="I90" i="10"/>
  <c r="G169" i="6"/>
  <c r="H168" i="6"/>
  <c r="D36" i="13" l="1"/>
  <c r="F35" i="13" s="1"/>
  <c r="G170" i="6"/>
  <c r="G171" i="6" s="1"/>
  <c r="H169" i="6"/>
  <c r="E92" i="10"/>
  <c r="I91" i="10"/>
  <c r="P34" i="13" l="1"/>
  <c r="O35" i="13"/>
  <c r="G172" i="6"/>
  <c r="G173" i="6" s="1"/>
  <c r="G174" i="6" s="1"/>
  <c r="G175" i="6" s="1"/>
  <c r="H171" i="6"/>
  <c r="H170" i="6"/>
  <c r="E93" i="10"/>
  <c r="I92" i="10"/>
  <c r="H172" i="6"/>
  <c r="L36" i="13"/>
  <c r="M36" i="13"/>
  <c r="I36" i="13"/>
  <c r="H36" i="13"/>
  <c r="K36" i="13"/>
  <c r="J36" i="13"/>
  <c r="N36" i="13"/>
  <c r="G36" i="13"/>
  <c r="E36" i="13" l="1"/>
  <c r="S34" i="13"/>
  <c r="T34" i="13" s="1"/>
  <c r="Q34" i="13"/>
  <c r="E94" i="10"/>
  <c r="I93" i="10"/>
  <c r="G176" i="6"/>
  <c r="H175" i="6"/>
  <c r="D37" i="13" l="1"/>
  <c r="F36" i="13" s="1"/>
  <c r="G177" i="6"/>
  <c r="G178" i="6" s="1"/>
  <c r="G179" i="6" s="1"/>
  <c r="H176" i="6"/>
  <c r="E95" i="10"/>
  <c r="I94" i="10"/>
  <c r="P35" i="13" l="1"/>
  <c r="O36" i="13"/>
  <c r="H177" i="6"/>
  <c r="E96" i="10"/>
  <c r="I95" i="10"/>
  <c r="H179" i="6"/>
  <c r="G180" i="6"/>
  <c r="J37" i="13"/>
  <c r="I37" i="13"/>
  <c r="G37" i="13"/>
  <c r="M37" i="13"/>
  <c r="N37" i="13"/>
  <c r="H37" i="13"/>
  <c r="K37" i="13"/>
  <c r="L37" i="13"/>
  <c r="E37" i="13" l="1"/>
  <c r="S35" i="13"/>
  <c r="T35" i="13" s="1"/>
  <c r="Q35" i="13"/>
  <c r="G181" i="6"/>
  <c r="H180" i="6"/>
  <c r="E97" i="10"/>
  <c r="I96" i="10"/>
  <c r="D38" i="13" l="1"/>
  <c r="F37" i="13" s="1"/>
  <c r="G182" i="6"/>
  <c r="H181" i="6"/>
  <c r="E98" i="10"/>
  <c r="I97" i="10"/>
  <c r="P36" i="13" l="1"/>
  <c r="O37" i="13"/>
  <c r="G183" i="6"/>
  <c r="G184" i="6" s="1"/>
  <c r="G185" i="6" s="1"/>
  <c r="H182" i="6"/>
  <c r="H184" i="6"/>
  <c r="H186" i="6"/>
  <c r="E99" i="10"/>
  <c r="I98" i="10"/>
  <c r="G38" i="13"/>
  <c r="I38" i="13"/>
  <c r="N38" i="13"/>
  <c r="M38" i="13"/>
  <c r="L38" i="13"/>
  <c r="H38" i="13"/>
  <c r="K38" i="13"/>
  <c r="J38" i="13"/>
  <c r="E38" i="13" l="1"/>
  <c r="S36" i="13"/>
  <c r="T36" i="13" s="1"/>
  <c r="Q36" i="13"/>
  <c r="G186" i="6"/>
  <c r="G187" i="6" s="1"/>
  <c r="H185" i="6"/>
  <c r="H188" i="6"/>
  <c r="E100" i="10"/>
  <c r="I99" i="10"/>
  <c r="H235" i="6"/>
  <c r="G188" i="6" l="1"/>
  <c r="G189" i="6" s="1"/>
  <c r="G190" i="6" s="1"/>
  <c r="H187" i="6"/>
  <c r="D39" i="13"/>
  <c r="F38" i="13" s="1"/>
  <c r="H191" i="6"/>
  <c r="E101" i="10"/>
  <c r="I100" i="10"/>
  <c r="H192" i="6"/>
  <c r="P37" i="13" l="1"/>
  <c r="O38" i="13"/>
  <c r="H189" i="6"/>
  <c r="G191" i="6"/>
  <c r="G192" i="6" s="1"/>
  <c r="G193" i="6" s="1"/>
  <c r="G194" i="6" s="1"/>
  <c r="G195" i="6" s="1"/>
  <c r="H190" i="6"/>
  <c r="E102" i="10"/>
  <c r="I101" i="10"/>
  <c r="H194" i="6"/>
  <c r="N39" i="13"/>
  <c r="I39" i="13"/>
  <c r="K39" i="13"/>
  <c r="M39" i="13"/>
  <c r="H39" i="13"/>
  <c r="L39" i="13"/>
  <c r="G39" i="13"/>
  <c r="J39" i="13"/>
  <c r="E39" i="13" l="1"/>
  <c r="S37" i="13"/>
  <c r="T37" i="13" s="1"/>
  <c r="Q37" i="13"/>
  <c r="E103" i="10"/>
  <c r="I102" i="10"/>
  <c r="G196" i="6"/>
  <c r="G197" i="6" s="1"/>
  <c r="H195" i="6"/>
  <c r="H239" i="6"/>
  <c r="D40" i="13" l="1"/>
  <c r="F39" i="13" s="1"/>
  <c r="E104" i="10"/>
  <c r="I103" i="10"/>
  <c r="G198" i="6"/>
  <c r="G199" i="6" s="1"/>
  <c r="H197" i="6"/>
  <c r="P38" i="13" l="1"/>
  <c r="O39" i="13"/>
  <c r="E105" i="10"/>
  <c r="I104" i="10"/>
  <c r="G200" i="6"/>
  <c r="H199" i="6"/>
  <c r="H244" i="6"/>
  <c r="M40" i="13"/>
  <c r="I40" i="13"/>
  <c r="G40" i="13"/>
  <c r="J40" i="13"/>
  <c r="H40" i="13"/>
  <c r="L40" i="13"/>
  <c r="K40" i="13"/>
  <c r="N40" i="13"/>
  <c r="E40" i="13" l="1"/>
  <c r="S38" i="13"/>
  <c r="T38" i="13" s="1"/>
  <c r="Q38" i="13"/>
  <c r="G201" i="6"/>
  <c r="G202" i="6" s="1"/>
  <c r="H200" i="6"/>
  <c r="E106" i="10"/>
  <c r="I105" i="10"/>
  <c r="H201" i="6"/>
  <c r="D41" i="13" l="1"/>
  <c r="F40" i="13" s="1"/>
  <c r="G203" i="6"/>
  <c r="G204" i="6" s="1"/>
  <c r="H202" i="6"/>
  <c r="E107" i="10"/>
  <c r="I106" i="10"/>
  <c r="H203" i="6"/>
  <c r="P39" i="13" l="1"/>
  <c r="O40" i="13"/>
  <c r="G205" i="6"/>
  <c r="G206" i="6" s="1"/>
  <c r="G207" i="6" s="1"/>
  <c r="G208" i="6" s="1"/>
  <c r="H204" i="6"/>
  <c r="E108" i="10"/>
  <c r="I107" i="10"/>
  <c r="I41" i="13"/>
  <c r="G41" i="13"/>
  <c r="L41" i="13"/>
  <c r="K41" i="13"/>
  <c r="M41" i="13"/>
  <c r="N41" i="13"/>
  <c r="H41" i="13"/>
  <c r="J41" i="13"/>
  <c r="E41" i="13" l="1"/>
  <c r="S39" i="13"/>
  <c r="T39" i="13" s="1"/>
  <c r="Q39" i="13"/>
  <c r="H206" i="6"/>
  <c r="E109" i="10"/>
  <c r="I108" i="10"/>
  <c r="G209" i="6"/>
  <c r="H208" i="6"/>
  <c r="D42" i="13" l="1"/>
  <c r="F41" i="13" s="1"/>
  <c r="G210" i="6"/>
  <c r="G211" i="6" s="1"/>
  <c r="G212" i="6" s="1"/>
  <c r="G213" i="6" s="1"/>
  <c r="G214" i="6" s="1"/>
  <c r="G215" i="6" s="1"/>
  <c r="H209" i="6"/>
  <c r="E110" i="10"/>
  <c r="I109" i="10"/>
  <c r="P40" i="13" l="1"/>
  <c r="O41" i="13"/>
  <c r="H211" i="6"/>
  <c r="E111" i="10"/>
  <c r="I110" i="10"/>
  <c r="H215" i="6"/>
  <c r="G216" i="6"/>
  <c r="G42" i="13"/>
  <c r="M42" i="13"/>
  <c r="L42" i="13"/>
  <c r="J42" i="13"/>
  <c r="K42" i="13"/>
  <c r="I42" i="13"/>
  <c r="N42" i="13"/>
  <c r="H42" i="13"/>
  <c r="E42" i="13" l="1"/>
  <c r="S40" i="13"/>
  <c r="T40" i="13" s="1"/>
  <c r="Q40" i="13"/>
  <c r="G217" i="6"/>
  <c r="G218" i="6" s="1"/>
  <c r="H216" i="6"/>
  <c r="E112" i="10"/>
  <c r="I111" i="10"/>
  <c r="H217" i="6"/>
  <c r="D43" i="13" l="1"/>
  <c r="F42" i="13" s="1"/>
  <c r="E113" i="10"/>
  <c r="I112" i="10"/>
  <c r="G219" i="6"/>
  <c r="G220" i="6" s="1"/>
  <c r="H218" i="6"/>
  <c r="P41" i="13" l="1"/>
  <c r="O42" i="13"/>
  <c r="E114" i="10"/>
  <c r="I113" i="10"/>
  <c r="H220" i="6"/>
  <c r="G221" i="6"/>
  <c r="L43" i="13"/>
  <c r="J43" i="13"/>
  <c r="G43" i="13"/>
  <c r="H43" i="13"/>
  <c r="M43" i="13"/>
  <c r="I43" i="13"/>
  <c r="N43" i="13"/>
  <c r="K43" i="13"/>
  <c r="E43" i="13" l="1"/>
  <c r="S41" i="13"/>
  <c r="T41" i="13" s="1"/>
  <c r="Q41" i="13"/>
  <c r="E115" i="10"/>
  <c r="I114" i="10"/>
  <c r="H221" i="6"/>
  <c r="G222" i="6"/>
  <c r="G223" i="6" s="1"/>
  <c r="D44" i="13" l="1"/>
  <c r="F43" i="13" s="1"/>
  <c r="E116" i="10"/>
  <c r="I115" i="10"/>
  <c r="G224" i="6"/>
  <c r="H223" i="6"/>
  <c r="P42" i="13" l="1"/>
  <c r="O43" i="13"/>
  <c r="E117" i="10"/>
  <c r="I116" i="10"/>
  <c r="H224" i="6"/>
  <c r="G225" i="6"/>
  <c r="L44" i="13"/>
  <c r="I44" i="13"/>
  <c r="K44" i="13"/>
  <c r="N44" i="13"/>
  <c r="M44" i="13"/>
  <c r="J44" i="13"/>
  <c r="G44" i="13"/>
  <c r="H44" i="13"/>
  <c r="E44" i="13" l="1"/>
  <c r="S42" i="13"/>
  <c r="T42" i="13" s="1"/>
  <c r="Q42" i="13"/>
  <c r="G226" i="6"/>
  <c r="H225" i="6"/>
  <c r="E118" i="10"/>
  <c r="I117" i="10"/>
  <c r="G227" i="6" l="1"/>
  <c r="G228" i="6" s="1"/>
  <c r="G229" i="6" s="1"/>
  <c r="G230" i="6" s="1"/>
  <c r="G231" i="6" s="1"/>
  <c r="G232" i="6" s="1"/>
  <c r="H226" i="6"/>
  <c r="D45" i="13"/>
  <c r="F44" i="13" s="1"/>
  <c r="H227" i="6"/>
  <c r="E119" i="10"/>
  <c r="I118" i="10"/>
  <c r="H230" i="6"/>
  <c r="P43" i="13" l="1"/>
  <c r="O44" i="13"/>
  <c r="G233" i="6"/>
  <c r="G234" i="6" s="1"/>
  <c r="H232" i="6"/>
  <c r="E120" i="10"/>
  <c r="I120" i="10" s="1"/>
  <c r="I119" i="10"/>
  <c r="M45" i="13"/>
  <c r="N45" i="13"/>
  <c r="L45" i="13"/>
  <c r="J45" i="13"/>
  <c r="K45" i="13"/>
  <c r="G45" i="13"/>
  <c r="H45" i="13"/>
  <c r="I45" i="13"/>
  <c r="E45" i="13" l="1"/>
  <c r="S43" i="13"/>
  <c r="T43" i="13" s="1"/>
  <c r="Q43" i="13"/>
  <c r="G235" i="6"/>
  <c r="G236" i="6" s="1"/>
  <c r="H236" i="6" s="1"/>
  <c r="H234" i="6"/>
  <c r="H233" i="6"/>
  <c r="G237" i="6" l="1"/>
  <c r="G238" i="6" s="1"/>
  <c r="D46" i="13"/>
  <c r="F45" i="13" s="1"/>
  <c r="H237" i="6"/>
  <c r="P44" i="13" l="1"/>
  <c r="O45" i="13"/>
  <c r="H238" i="6"/>
  <c r="G239" i="6"/>
  <c r="G240" i="6" s="1"/>
  <c r="I46" i="13"/>
  <c r="H46" i="13"/>
  <c r="N46" i="13"/>
  <c r="G46" i="13"/>
  <c r="K46" i="13"/>
  <c r="J46" i="13"/>
  <c r="L46" i="13"/>
  <c r="M46" i="13"/>
  <c r="E46" i="13" l="1"/>
  <c r="S44" i="13"/>
  <c r="T44" i="13" s="1"/>
  <c r="Q44" i="13"/>
  <c r="G241" i="6"/>
  <c r="H240" i="6"/>
  <c r="H242" i="6"/>
  <c r="G242" i="6" l="1"/>
  <c r="G243" i="6" s="1"/>
  <c r="G244" i="6" s="1"/>
  <c r="G245" i="6" s="1"/>
  <c r="G246" i="6" s="1"/>
  <c r="H241" i="6"/>
  <c r="D47" i="13"/>
  <c r="F46" i="13" s="1"/>
  <c r="H245" i="6"/>
  <c r="H281" i="6"/>
  <c r="P45" i="13" l="1"/>
  <c r="O46" i="13"/>
  <c r="H243" i="6"/>
  <c r="H246" i="6"/>
  <c r="G247" i="6"/>
  <c r="J47" i="13"/>
  <c r="I47" i="13"/>
  <c r="H47" i="13"/>
  <c r="L47" i="13"/>
  <c r="K47" i="13"/>
  <c r="M47" i="13"/>
  <c r="G47" i="13"/>
  <c r="N47" i="13"/>
  <c r="E47" i="13" l="1"/>
  <c r="S45" i="13"/>
  <c r="T45" i="13" s="1"/>
  <c r="Q45" i="13"/>
  <c r="G248" i="6"/>
  <c r="G249" i="6" s="1"/>
  <c r="H247" i="6"/>
  <c r="D48" i="13" l="1"/>
  <c r="F47" i="13" s="1"/>
  <c r="H249" i="6"/>
  <c r="G250" i="6"/>
  <c r="P46" i="13" l="1"/>
  <c r="O47" i="13"/>
  <c r="H250" i="6"/>
  <c r="G251" i="6"/>
  <c r="N48" i="13"/>
  <c r="M48" i="13"/>
  <c r="L48" i="13"/>
  <c r="I48" i="13"/>
  <c r="J48" i="13"/>
  <c r="H48" i="13"/>
  <c r="K48" i="13"/>
  <c r="G48" i="13"/>
  <c r="E48" i="13" l="1"/>
  <c r="S46" i="13"/>
  <c r="T46" i="13" s="1"/>
  <c r="Q46" i="13"/>
  <c r="G252" i="6"/>
  <c r="H251" i="6"/>
  <c r="D49" i="13" l="1"/>
  <c r="F48" i="13" s="1"/>
  <c r="H252" i="6"/>
  <c r="G253" i="6"/>
  <c r="P47" i="13" l="1"/>
  <c r="O48" i="13"/>
  <c r="G254" i="6"/>
  <c r="G255" i="6" s="1"/>
  <c r="H253" i="6"/>
  <c r="H254" i="6"/>
  <c r="H49" i="13"/>
  <c r="J49" i="13"/>
  <c r="N49" i="13"/>
  <c r="I49" i="13"/>
  <c r="G49" i="13"/>
  <c r="K49" i="13"/>
  <c r="M49" i="13"/>
  <c r="L49" i="13"/>
  <c r="E49" i="13" l="1"/>
  <c r="S47" i="13"/>
  <c r="T47" i="13" s="1"/>
  <c r="Q47" i="13"/>
  <c r="H255" i="6"/>
  <c r="G256" i="6"/>
  <c r="G257" i="6" s="1"/>
  <c r="D50" i="13" l="1"/>
  <c r="F49" i="13" s="1"/>
  <c r="G258" i="6"/>
  <c r="G259" i="6" s="1"/>
  <c r="H257" i="6"/>
  <c r="H258" i="6"/>
  <c r="P48" i="13" l="1"/>
  <c r="O49" i="13"/>
  <c r="G260" i="6"/>
  <c r="H259" i="6"/>
  <c r="G50" i="13"/>
  <c r="J50" i="13"/>
  <c r="M50" i="13"/>
  <c r="H50" i="13"/>
  <c r="I50" i="13"/>
  <c r="N50" i="13"/>
  <c r="L50" i="13"/>
  <c r="K50" i="13"/>
  <c r="E50" i="13" l="1"/>
  <c r="S48" i="13"/>
  <c r="T48" i="13" s="1"/>
  <c r="Q48" i="13"/>
  <c r="G261" i="6"/>
  <c r="G262" i="6" s="1"/>
  <c r="G263" i="6" s="1"/>
  <c r="H260" i="6"/>
  <c r="H261" i="6"/>
  <c r="G264" i="6" l="1"/>
  <c r="G265" i="6" s="1"/>
  <c r="G266" i="6" s="1"/>
  <c r="H263" i="6"/>
  <c r="D51" i="13"/>
  <c r="F50" i="13" s="1"/>
  <c r="H264" i="6"/>
  <c r="P49" i="13" l="1"/>
  <c r="O50" i="13"/>
  <c r="H266" i="6"/>
  <c r="G267" i="6"/>
  <c r="G268" i="6" s="1"/>
  <c r="H51" i="13"/>
  <c r="G51" i="13"/>
  <c r="I51" i="13"/>
  <c r="L51" i="13"/>
  <c r="K51" i="13"/>
  <c r="J51" i="13"/>
  <c r="M51" i="13"/>
  <c r="N51" i="13"/>
  <c r="E51" i="13" l="1"/>
  <c r="S49" i="13"/>
  <c r="T49" i="13" s="1"/>
  <c r="Q49" i="13"/>
  <c r="G269" i="6"/>
  <c r="G270" i="6" s="1"/>
  <c r="H268" i="6"/>
  <c r="H269" i="6"/>
  <c r="D52" i="13" l="1"/>
  <c r="F51" i="13" s="1"/>
  <c r="H270" i="6"/>
  <c r="G271" i="6"/>
  <c r="H315" i="6"/>
  <c r="P50" i="13" l="1"/>
  <c r="O51" i="13"/>
  <c r="G272" i="6"/>
  <c r="H271" i="6"/>
  <c r="G52" i="13"/>
  <c r="I52" i="13"/>
  <c r="K52" i="13"/>
  <c r="N52" i="13"/>
  <c r="L52" i="13"/>
  <c r="J52" i="13"/>
  <c r="M52" i="13"/>
  <c r="H52" i="13"/>
  <c r="E52" i="13" l="1"/>
  <c r="S50" i="13"/>
  <c r="T50" i="13" s="1"/>
  <c r="Q50" i="13"/>
  <c r="G273" i="6"/>
  <c r="G274" i="6" s="1"/>
  <c r="G275" i="6" s="1"/>
  <c r="H272" i="6"/>
  <c r="H273" i="6"/>
  <c r="D53" i="13" l="1"/>
  <c r="F52" i="13" s="1"/>
  <c r="H275" i="6"/>
  <c r="G276" i="6"/>
  <c r="P51" i="13" l="1"/>
  <c r="O52" i="13"/>
  <c r="G277" i="6"/>
  <c r="H276" i="6"/>
  <c r="N53" i="13"/>
  <c r="H53" i="13"/>
  <c r="G53" i="13"/>
  <c r="J53" i="13"/>
  <c r="M53" i="13"/>
  <c r="K53" i="13"/>
  <c r="I53" i="13"/>
  <c r="L53" i="13"/>
  <c r="E53" i="13" l="1"/>
  <c r="S51" i="13"/>
  <c r="T51" i="13" s="1"/>
  <c r="Q51" i="13"/>
  <c r="G278" i="6"/>
  <c r="G279" i="6" s="1"/>
  <c r="H279" i="6" s="1"/>
  <c r="H277" i="6"/>
  <c r="D54" i="13" l="1"/>
  <c r="F53" i="13" s="1"/>
  <c r="G280" i="6"/>
  <c r="G281" i="6" s="1"/>
  <c r="G282" i="6" s="1"/>
  <c r="H280" i="6"/>
  <c r="P52" i="13" l="1"/>
  <c r="O53" i="13"/>
  <c r="G283" i="6"/>
  <c r="G284" i="6" s="1"/>
  <c r="H282" i="6"/>
  <c r="N54" i="13"/>
  <c r="M54" i="13"/>
  <c r="J54" i="13"/>
  <c r="H54" i="13"/>
  <c r="G54" i="13"/>
  <c r="L54" i="13"/>
  <c r="I54" i="13"/>
  <c r="K54" i="13"/>
  <c r="E54" i="13" l="1"/>
  <c r="S52" i="13"/>
  <c r="T52" i="13" s="1"/>
  <c r="Q52" i="13"/>
  <c r="G285" i="6"/>
  <c r="H284" i="6"/>
  <c r="D55" i="13" l="1"/>
  <c r="F54" i="13" s="1"/>
  <c r="G286" i="6"/>
  <c r="H286" i="6" s="1"/>
  <c r="H285" i="6"/>
  <c r="P53" i="13" l="1"/>
  <c r="O54" i="13"/>
  <c r="G287" i="6"/>
  <c r="G288" i="6" s="1"/>
  <c r="G55" i="13"/>
  <c r="H55" i="13"/>
  <c r="L55" i="13"/>
  <c r="I55" i="13"/>
  <c r="J55" i="13"/>
  <c r="N55" i="13"/>
  <c r="M55" i="13"/>
  <c r="K55" i="13"/>
  <c r="E55" i="13" l="1"/>
  <c r="S53" i="13"/>
  <c r="T53" i="13" s="1"/>
  <c r="Q53" i="13"/>
  <c r="H287" i="6"/>
  <c r="G289" i="6"/>
  <c r="H288" i="6"/>
  <c r="D56" i="13" l="1"/>
  <c r="F55" i="13" s="1"/>
  <c r="G290" i="6"/>
  <c r="G291" i="6" s="1"/>
  <c r="G292" i="6" s="1"/>
  <c r="H289" i="6"/>
  <c r="P54" i="13" l="1"/>
  <c r="O55" i="13"/>
  <c r="H290" i="6"/>
  <c r="G293" i="6"/>
  <c r="H292" i="6"/>
  <c r="J56" i="13"/>
  <c r="N56" i="13"/>
  <c r="I56" i="13"/>
  <c r="L56" i="13"/>
  <c r="M56" i="13"/>
  <c r="G56" i="13"/>
  <c r="H56" i="13"/>
  <c r="K56" i="13"/>
  <c r="E56" i="13" l="1"/>
  <c r="S54" i="13"/>
  <c r="T54" i="13" s="1"/>
  <c r="Q54" i="13"/>
  <c r="G294" i="6"/>
  <c r="H293" i="6"/>
  <c r="H295" i="6"/>
  <c r="G295" i="6" l="1"/>
  <c r="G296" i="6" s="1"/>
  <c r="G297" i="6" s="1"/>
  <c r="H294" i="6"/>
  <c r="D57" i="13"/>
  <c r="F56" i="13" s="1"/>
  <c r="H296" i="6"/>
  <c r="P55" i="13" l="1"/>
  <c r="O56" i="13"/>
  <c r="G298" i="6"/>
  <c r="H297" i="6"/>
  <c r="J57" i="13"/>
  <c r="L57" i="13"/>
  <c r="N57" i="13"/>
  <c r="K57" i="13"/>
  <c r="I57" i="13"/>
  <c r="H57" i="13"/>
  <c r="G57" i="13"/>
  <c r="M57" i="13"/>
  <c r="E57" i="13" l="1"/>
  <c r="S55" i="13"/>
  <c r="T55" i="13" s="1"/>
  <c r="Q55" i="13"/>
  <c r="G299" i="6"/>
  <c r="G300" i="6" s="1"/>
  <c r="H298" i="6"/>
  <c r="H299" i="6" l="1"/>
  <c r="G301" i="6"/>
  <c r="G302" i="6" s="1"/>
  <c r="H300" i="6"/>
  <c r="D58" i="13"/>
  <c r="F57" i="13" s="1"/>
  <c r="P56" i="13" l="1"/>
  <c r="O57" i="13"/>
  <c r="G303" i="6"/>
  <c r="H302" i="6"/>
  <c r="H304" i="6"/>
  <c r="H58" i="13"/>
  <c r="M58" i="13"/>
  <c r="L58" i="13"/>
  <c r="N58" i="13"/>
  <c r="I58" i="13"/>
  <c r="G58" i="13"/>
  <c r="K58" i="13"/>
  <c r="J58" i="13"/>
  <c r="E58" i="13" l="1"/>
  <c r="G304" i="6"/>
  <c r="G305" i="6" s="1"/>
  <c r="H303" i="6"/>
  <c r="S56" i="13"/>
  <c r="T56" i="13" s="1"/>
  <c r="Q56" i="13"/>
  <c r="G306" i="6"/>
  <c r="G307" i="6" s="1"/>
  <c r="H305" i="6"/>
  <c r="D59" i="13" l="1"/>
  <c r="F58" i="13" s="1"/>
  <c r="H307" i="6"/>
  <c r="G308" i="6"/>
  <c r="G309" i="6" s="1"/>
  <c r="P57" i="13" l="1"/>
  <c r="O58" i="13"/>
  <c r="G310" i="6"/>
  <c r="G311" i="6" s="1"/>
  <c r="H309" i="6"/>
  <c r="H310" i="6"/>
  <c r="N59" i="13"/>
  <c r="M59" i="13"/>
  <c r="G59" i="13"/>
  <c r="J59" i="13"/>
  <c r="I59" i="13"/>
  <c r="K59" i="13"/>
  <c r="L59" i="13"/>
  <c r="H59" i="13"/>
  <c r="E59" i="13" l="1"/>
  <c r="S57" i="13"/>
  <c r="T57" i="13" s="1"/>
  <c r="Q57" i="13"/>
  <c r="G312" i="6"/>
  <c r="G313" i="6" s="1"/>
  <c r="H311" i="6"/>
  <c r="H312" i="6"/>
  <c r="D60" i="13" l="1"/>
  <c r="F59" i="13" s="1"/>
  <c r="G314" i="6"/>
  <c r="H313" i="6"/>
  <c r="P58" i="13" l="1"/>
  <c r="O59" i="13"/>
  <c r="G315" i="6"/>
  <c r="G316" i="6" s="1"/>
  <c r="H314" i="6"/>
  <c r="H317" i="6"/>
  <c r="L60" i="13"/>
  <c r="I60" i="13"/>
  <c r="G60" i="13"/>
  <c r="M60" i="13"/>
  <c r="N60" i="13"/>
  <c r="J60" i="13"/>
  <c r="H60" i="13"/>
  <c r="K60" i="13"/>
  <c r="E60" i="13" l="1"/>
  <c r="S58" i="13"/>
  <c r="T58" i="13" s="1"/>
  <c r="Q58" i="13"/>
  <c r="G317" i="6"/>
  <c r="G318" i="6" s="1"/>
  <c r="H316" i="6"/>
  <c r="G319" i="6" l="1"/>
  <c r="G320" i="6" s="1"/>
  <c r="G321" i="6" s="1"/>
  <c r="H321" i="6" s="1"/>
  <c r="H318" i="6"/>
  <c r="D61" i="13"/>
  <c r="F60" i="13" s="1"/>
  <c r="H319" i="6"/>
  <c r="P59" i="13" l="1"/>
  <c r="O60" i="13"/>
  <c r="G322" i="6"/>
  <c r="G323" i="6" s="1"/>
  <c r="G324" i="6" s="1"/>
  <c r="G325" i="6" s="1"/>
  <c r="H325" i="6" s="1"/>
  <c r="L61" i="13"/>
  <c r="K61" i="13"/>
  <c r="J61" i="13"/>
  <c r="I61" i="13"/>
  <c r="G61" i="13"/>
  <c r="H61" i="13"/>
  <c r="N61" i="13"/>
  <c r="M61" i="13"/>
  <c r="E61" i="13" l="1"/>
  <c r="H323" i="6"/>
  <c r="A164" i="7" s="1"/>
  <c r="S59" i="13"/>
  <c r="T59" i="13" s="1"/>
  <c r="Q59" i="13"/>
  <c r="A4" i="7"/>
  <c r="A2" i="7"/>
  <c r="A1" i="7"/>
  <c r="A5" i="7"/>
  <c r="A3" i="7"/>
  <c r="A6" i="7"/>
  <c r="A8" i="7"/>
  <c r="A7" i="7"/>
  <c r="A131" i="7"/>
  <c r="A157" i="7"/>
  <c r="A146" i="7"/>
  <c r="A9" i="7"/>
  <c r="A122" i="7"/>
  <c r="A110" i="7"/>
  <c r="A41" i="7"/>
  <c r="A133" i="7"/>
  <c r="A151" i="7"/>
  <c r="A72" i="7"/>
  <c r="A152" i="7"/>
  <c r="A135" i="7"/>
  <c r="A132" i="7"/>
  <c r="A100" i="7"/>
  <c r="A113" i="7"/>
  <c r="A85" i="7"/>
  <c r="A80" i="7"/>
  <c r="A117" i="7"/>
  <c r="A140" i="7"/>
  <c r="A77" i="7"/>
  <c r="A63" i="7"/>
  <c r="A148" i="7"/>
  <c r="A19" i="7"/>
  <c r="A88" i="7"/>
  <c r="A126" i="7"/>
  <c r="A159" i="7"/>
  <c r="A14" i="7"/>
  <c r="A73" i="7"/>
  <c r="A44" i="7"/>
  <c r="A11" i="7"/>
  <c r="A86" i="7"/>
  <c r="A83" i="7"/>
  <c r="A153" i="7"/>
  <c r="A23" i="7"/>
  <c r="A161" i="7"/>
  <c r="A53" i="7"/>
  <c r="A42" i="7"/>
  <c r="A20" i="7"/>
  <c r="A21" i="7"/>
  <c r="A30" i="7"/>
  <c r="A25" i="7"/>
  <c r="A62" i="7"/>
  <c r="A67" i="7"/>
  <c r="A76" i="7"/>
  <c r="A123" i="7"/>
  <c r="A149" i="7"/>
  <c r="A57" i="7"/>
  <c r="A64" i="7"/>
  <c r="A48" i="7"/>
  <c r="A129" i="7"/>
  <c r="A74" i="7"/>
  <c r="A52" i="7"/>
  <c r="A103" i="7"/>
  <c r="A102" i="7"/>
  <c r="A31" i="7"/>
  <c r="A54" i="7"/>
  <c r="A81" i="7"/>
  <c r="A168" i="7"/>
  <c r="A92" i="7"/>
  <c r="A26" i="7"/>
  <c r="A114" i="7"/>
  <c r="A134" i="7"/>
  <c r="A37" i="7"/>
  <c r="A40" i="7"/>
  <c r="A27" i="7"/>
  <c r="A68" i="7"/>
  <c r="A144" i="7"/>
  <c r="A69" i="7"/>
  <c r="A94" i="7"/>
  <c r="A65" i="7"/>
  <c r="A75" i="7"/>
  <c r="A16" i="7"/>
  <c r="A106" i="7"/>
  <c r="A108" i="7"/>
  <c r="A71" i="7"/>
  <c r="A109" i="7"/>
  <c r="A125" i="7"/>
  <c r="A49" i="7"/>
  <c r="A96" i="7"/>
  <c r="A139" i="7"/>
  <c r="A119" i="7"/>
  <c r="A136" i="7"/>
  <c r="A101" i="7"/>
  <c r="A118" i="7"/>
  <c r="A10" i="7"/>
  <c r="A138" i="7"/>
  <c r="A46" i="7"/>
  <c r="A33" i="7"/>
  <c r="A130" i="7"/>
  <c r="A160" i="7"/>
  <c r="A127" i="7"/>
  <c r="A60" i="7"/>
  <c r="A154" i="7"/>
  <c r="A89" i="7"/>
  <c r="A93" i="7"/>
  <c r="A35" i="7"/>
  <c r="A50" i="7"/>
  <c r="A32" i="7"/>
  <c r="A70" i="7"/>
  <c r="A142" i="7"/>
  <c r="A107" i="7"/>
  <c r="A15" i="7"/>
  <c r="A104" i="7"/>
  <c r="A147" i="7"/>
  <c r="A82" i="7"/>
  <c r="A99" i="7"/>
  <c r="A51" i="7"/>
  <c r="A12" i="7"/>
  <c r="A97" i="7"/>
  <c r="A79" i="7"/>
  <c r="A43" i="7"/>
  <c r="A18" i="7"/>
  <c r="A115" i="7"/>
  <c r="A124" i="7"/>
  <c r="A58" i="7"/>
  <c r="A120" i="7"/>
  <c r="A165" i="7"/>
  <c r="A98" i="7"/>
  <c r="A17" i="7"/>
  <c r="A90" i="7"/>
  <c r="A87" i="7"/>
  <c r="A128" i="7"/>
  <c r="A66" i="7"/>
  <c r="A78" i="7"/>
  <c r="A13" i="7"/>
  <c r="A143" i="7"/>
  <c r="A61" i="7"/>
  <c r="A137" i="7"/>
  <c r="A36" i="7"/>
  <c r="A29" i="7"/>
  <c r="A24" i="7"/>
  <c r="A28" i="7"/>
  <c r="A84" i="7"/>
  <c r="A55" i="7"/>
  <c r="A45" i="7"/>
  <c r="A116" i="7"/>
  <c r="A112" i="7"/>
  <c r="A162" i="7"/>
  <c r="A155" i="7"/>
  <c r="A34" i="7"/>
  <c r="A95" i="7"/>
  <c r="A39" i="7"/>
  <c r="A59" i="7"/>
  <c r="A166" i="7"/>
  <c r="A22" i="7"/>
  <c r="A150" i="7"/>
  <c r="A91" i="7"/>
  <c r="A47" i="7"/>
  <c r="A56" i="7"/>
  <c r="A121" i="7"/>
  <c r="A141" i="7"/>
  <c r="A38" i="7"/>
  <c r="A163" i="7"/>
  <c r="A105" i="7"/>
  <c r="A158" i="7" l="1"/>
  <c r="D158" i="7" s="1"/>
  <c r="A167" i="7"/>
  <c r="A145" i="7"/>
  <c r="C145" i="7" s="1"/>
  <c r="A111" i="7"/>
  <c r="B111" i="7" s="1"/>
  <c r="A156" i="7"/>
  <c r="C156" i="7" s="1"/>
  <c r="B5" i="7"/>
  <c r="C5" i="7"/>
  <c r="D5" i="7"/>
  <c r="D7" i="7"/>
  <c r="B7" i="7"/>
  <c r="C7" i="7"/>
  <c r="D8" i="7"/>
  <c r="B8" i="7"/>
  <c r="C8" i="7"/>
  <c r="D1" i="7"/>
  <c r="C1" i="7"/>
  <c r="B1" i="7"/>
  <c r="D6" i="7"/>
  <c r="C6" i="7"/>
  <c r="B6" i="7"/>
  <c r="D2" i="7"/>
  <c r="C2" i="7"/>
  <c r="B2" i="7"/>
  <c r="D3" i="7"/>
  <c r="C3" i="7"/>
  <c r="B3" i="7"/>
  <c r="C4" i="7"/>
  <c r="B4" i="7"/>
  <c r="D4" i="7"/>
  <c r="D62" i="13"/>
  <c r="F61" i="13" s="1"/>
  <c r="B168" i="7"/>
  <c r="D168" i="7"/>
  <c r="C168" i="7"/>
  <c r="B84" i="7"/>
  <c r="D84" i="7"/>
  <c r="C84" i="7"/>
  <c r="D80" i="7"/>
  <c r="C80" i="7"/>
  <c r="B80" i="7"/>
  <c r="C18" i="7"/>
  <c r="D18" i="7"/>
  <c r="B18" i="7"/>
  <c r="C53" i="7"/>
  <c r="B53" i="7"/>
  <c r="D53" i="7"/>
  <c r="B24" i="7"/>
  <c r="D24" i="7"/>
  <c r="C24" i="7"/>
  <c r="D60" i="7"/>
  <c r="C60" i="7"/>
  <c r="B60" i="7"/>
  <c r="C31" i="7"/>
  <c r="D31" i="7"/>
  <c r="B31" i="7"/>
  <c r="D79" i="7"/>
  <c r="C79" i="7"/>
  <c r="B79" i="7"/>
  <c r="B108" i="7"/>
  <c r="C108" i="7"/>
  <c r="D108" i="7"/>
  <c r="C56" i="7"/>
  <c r="B56" i="7"/>
  <c r="D56" i="7"/>
  <c r="C153" i="7"/>
  <c r="D153" i="7"/>
  <c r="B153" i="7"/>
  <c r="C47" i="7"/>
  <c r="D47" i="7"/>
  <c r="B47" i="7"/>
  <c r="C12" i="7"/>
  <c r="D12" i="7"/>
  <c r="B12" i="7"/>
  <c r="C52" i="7"/>
  <c r="B52" i="7"/>
  <c r="D52" i="7"/>
  <c r="D61" i="7"/>
  <c r="C61" i="7"/>
  <c r="B61" i="7"/>
  <c r="D86" i="7"/>
  <c r="C86" i="7"/>
  <c r="B86" i="7"/>
  <c r="C152" i="7"/>
  <c r="B152" i="7"/>
  <c r="D152" i="7"/>
  <c r="B48" i="7"/>
  <c r="C48" i="7"/>
  <c r="D48" i="7"/>
  <c r="B164" i="7"/>
  <c r="D164" i="7"/>
  <c r="C164" i="7"/>
  <c r="B64" i="7"/>
  <c r="D64" i="7"/>
  <c r="C64" i="7"/>
  <c r="D59" i="7"/>
  <c r="C59" i="7"/>
  <c r="B59" i="7"/>
  <c r="B144" i="7"/>
  <c r="D144" i="7"/>
  <c r="C144" i="7"/>
  <c r="B124" i="7"/>
  <c r="D124" i="7"/>
  <c r="C124" i="7"/>
  <c r="B49" i="7"/>
  <c r="C49" i="7"/>
  <c r="D49" i="7"/>
  <c r="B163" i="7"/>
  <c r="C163" i="7"/>
  <c r="D163" i="7"/>
  <c r="B125" i="7"/>
  <c r="D125" i="7"/>
  <c r="C125" i="7"/>
  <c r="D154" i="7"/>
  <c r="B154" i="7"/>
  <c r="C154" i="7"/>
  <c r="C54" i="7"/>
  <c r="B54" i="7"/>
  <c r="D54" i="7"/>
  <c r="C113" i="7"/>
  <c r="B113" i="7"/>
  <c r="D113" i="7"/>
  <c r="B29" i="7"/>
  <c r="C29" i="7"/>
  <c r="D29" i="7"/>
  <c r="D102" i="7"/>
  <c r="B102" i="7"/>
  <c r="C102" i="7"/>
  <c r="C97" i="7"/>
  <c r="D97" i="7"/>
  <c r="B97" i="7"/>
  <c r="B103" i="7"/>
  <c r="D103" i="7"/>
  <c r="C103" i="7"/>
  <c r="C167" i="7"/>
  <c r="D167" i="7"/>
  <c r="B167" i="7"/>
  <c r="C135" i="7"/>
  <c r="B135" i="7"/>
  <c r="D135" i="7"/>
  <c r="D99" i="7"/>
  <c r="B99" i="7"/>
  <c r="C99" i="7"/>
  <c r="B65" i="7"/>
  <c r="D65" i="7"/>
  <c r="C65" i="7"/>
  <c r="B44" i="7"/>
  <c r="D44" i="7"/>
  <c r="C44" i="7"/>
  <c r="C78" i="7"/>
  <c r="B78" i="7"/>
  <c r="D78" i="7"/>
  <c r="C73" i="7"/>
  <c r="D73" i="7"/>
  <c r="B73" i="7"/>
  <c r="C147" i="7"/>
  <c r="D147" i="7"/>
  <c r="B147" i="7"/>
  <c r="C57" i="7"/>
  <c r="B57" i="7"/>
  <c r="D57" i="7"/>
  <c r="C55" i="7"/>
  <c r="B55" i="7"/>
  <c r="D55" i="7"/>
  <c r="C93" i="7"/>
  <c r="D93" i="7"/>
  <c r="B93" i="7"/>
  <c r="D20" i="7"/>
  <c r="B20" i="7"/>
  <c r="C20" i="7"/>
  <c r="C115" i="7"/>
  <c r="B115" i="7"/>
  <c r="D115" i="7"/>
  <c r="D81" i="7"/>
  <c r="C81" i="7"/>
  <c r="B81" i="7"/>
  <c r="B28" i="7"/>
  <c r="C28" i="7"/>
  <c r="D28" i="7"/>
  <c r="B109" i="7"/>
  <c r="C109" i="7"/>
  <c r="D109" i="7"/>
  <c r="D141" i="7"/>
  <c r="C141" i="7"/>
  <c r="B141" i="7"/>
  <c r="B43" i="7"/>
  <c r="D43" i="7"/>
  <c r="C43" i="7"/>
  <c r="C71" i="7"/>
  <c r="D71" i="7"/>
  <c r="B71" i="7"/>
  <c r="D121" i="7"/>
  <c r="C121" i="7"/>
  <c r="B121" i="7"/>
  <c r="D100" i="7"/>
  <c r="B100" i="7"/>
  <c r="C100" i="7"/>
  <c r="C36" i="7"/>
  <c r="D36" i="7"/>
  <c r="B36" i="7"/>
  <c r="C132" i="7"/>
  <c r="B132" i="7"/>
  <c r="D132" i="7"/>
  <c r="C16" i="7"/>
  <c r="D16" i="7"/>
  <c r="B16" i="7"/>
  <c r="C91" i="7"/>
  <c r="B91" i="7"/>
  <c r="D91" i="7"/>
  <c r="C51" i="7"/>
  <c r="B51" i="7"/>
  <c r="D51" i="7"/>
  <c r="D74" i="7"/>
  <c r="B74" i="7"/>
  <c r="C74" i="7"/>
  <c r="B143" i="7"/>
  <c r="C143" i="7"/>
  <c r="D143" i="7"/>
  <c r="C33" i="7"/>
  <c r="D33" i="7"/>
  <c r="B33" i="7"/>
  <c r="C11" i="7"/>
  <c r="D11" i="7"/>
  <c r="B11" i="7"/>
  <c r="D82" i="7"/>
  <c r="C82" i="7"/>
  <c r="B82" i="7"/>
  <c r="B69" i="7"/>
  <c r="D69" i="7"/>
  <c r="C69" i="7"/>
  <c r="C151" i="7"/>
  <c r="B151" i="7"/>
  <c r="D151" i="7"/>
  <c r="B105" i="7"/>
  <c r="D105" i="7"/>
  <c r="C105" i="7"/>
  <c r="C117" i="7"/>
  <c r="B117" i="7"/>
  <c r="D117" i="7"/>
  <c r="B89" i="7"/>
  <c r="C89" i="7"/>
  <c r="D89" i="7"/>
  <c r="D42" i="7"/>
  <c r="C42" i="7"/>
  <c r="B42" i="7"/>
  <c r="C38" i="7"/>
  <c r="D38" i="7"/>
  <c r="B38" i="7"/>
  <c r="B85" i="7"/>
  <c r="D85" i="7"/>
  <c r="C85" i="7"/>
  <c r="D161" i="7"/>
  <c r="B161" i="7"/>
  <c r="C161" i="7"/>
  <c r="D127" i="7"/>
  <c r="C127" i="7"/>
  <c r="B127" i="7"/>
  <c r="B23" i="7"/>
  <c r="C23" i="7"/>
  <c r="D23" i="7"/>
  <c r="D160" i="7"/>
  <c r="B160" i="7"/>
  <c r="C160" i="7"/>
  <c r="D106" i="7"/>
  <c r="B106" i="7"/>
  <c r="C106" i="7"/>
  <c r="C137" i="7"/>
  <c r="D137" i="7"/>
  <c r="B137" i="7"/>
  <c r="B83" i="7"/>
  <c r="C83" i="7"/>
  <c r="D83" i="7"/>
  <c r="B130" i="7"/>
  <c r="D130" i="7"/>
  <c r="C130" i="7"/>
  <c r="B75" i="7"/>
  <c r="D75" i="7"/>
  <c r="C75" i="7"/>
  <c r="B150" i="7"/>
  <c r="C150" i="7"/>
  <c r="D150" i="7"/>
  <c r="B129" i="7"/>
  <c r="D129" i="7"/>
  <c r="C129" i="7"/>
  <c r="D22" i="7"/>
  <c r="B22" i="7"/>
  <c r="C22" i="7"/>
  <c r="C13" i="7"/>
  <c r="D13" i="7"/>
  <c r="B13" i="7"/>
  <c r="D94" i="7"/>
  <c r="C94" i="7"/>
  <c r="B94" i="7"/>
  <c r="D166" i="7"/>
  <c r="C166" i="7"/>
  <c r="B166" i="7"/>
  <c r="C72" i="7"/>
  <c r="D72" i="7"/>
  <c r="B72" i="7"/>
  <c r="D66" i="7"/>
  <c r="C66" i="7"/>
  <c r="B66" i="7"/>
  <c r="D46" i="7"/>
  <c r="C46" i="7"/>
  <c r="B46" i="7"/>
  <c r="C14" i="7"/>
  <c r="D14" i="7"/>
  <c r="B14" i="7"/>
  <c r="B104" i="7"/>
  <c r="D104" i="7"/>
  <c r="C104" i="7"/>
  <c r="C138" i="7"/>
  <c r="B138" i="7"/>
  <c r="D138" i="7"/>
  <c r="B68" i="7"/>
  <c r="D68" i="7"/>
  <c r="C68" i="7"/>
  <c r="D159" i="7"/>
  <c r="B159" i="7"/>
  <c r="C159" i="7"/>
  <c r="D39" i="7"/>
  <c r="C39" i="7"/>
  <c r="B39" i="7"/>
  <c r="B149" i="7"/>
  <c r="C149" i="7"/>
  <c r="D149" i="7"/>
  <c r="B128" i="7"/>
  <c r="D128" i="7"/>
  <c r="C128" i="7"/>
  <c r="C133" i="7"/>
  <c r="B133" i="7"/>
  <c r="D133" i="7"/>
  <c r="D95" i="7"/>
  <c r="B95" i="7"/>
  <c r="C95" i="7"/>
  <c r="B87" i="7"/>
  <c r="C87" i="7"/>
  <c r="D87" i="7"/>
  <c r="D15" i="7"/>
  <c r="C15" i="7"/>
  <c r="B15" i="7"/>
  <c r="D10" i="7"/>
  <c r="B10" i="7"/>
  <c r="C10" i="7"/>
  <c r="B27" i="7"/>
  <c r="C27" i="7"/>
  <c r="D27" i="7"/>
  <c r="B123" i="7"/>
  <c r="D123" i="7"/>
  <c r="C123" i="7"/>
  <c r="D126" i="7"/>
  <c r="C126" i="7"/>
  <c r="B126" i="7"/>
  <c r="D41" i="7"/>
  <c r="C41" i="7"/>
  <c r="B41" i="7"/>
  <c r="C34" i="7"/>
  <c r="D34" i="7"/>
  <c r="B34" i="7"/>
  <c r="B90" i="7"/>
  <c r="C90" i="7"/>
  <c r="D90" i="7"/>
  <c r="C107" i="7"/>
  <c r="B107" i="7"/>
  <c r="D107" i="7"/>
  <c r="C118" i="7"/>
  <c r="D118" i="7"/>
  <c r="B118" i="7"/>
  <c r="D40" i="7"/>
  <c r="C40" i="7"/>
  <c r="B40" i="7"/>
  <c r="C76" i="7"/>
  <c r="B76" i="7"/>
  <c r="D76" i="7"/>
  <c r="B88" i="7"/>
  <c r="C88" i="7"/>
  <c r="D88" i="7"/>
  <c r="C110" i="7"/>
  <c r="B110" i="7"/>
  <c r="D110" i="7"/>
  <c r="B155" i="7"/>
  <c r="D155" i="7"/>
  <c r="C155" i="7"/>
  <c r="C17" i="7"/>
  <c r="B17" i="7"/>
  <c r="D17" i="7"/>
  <c r="D142" i="7"/>
  <c r="C142" i="7"/>
  <c r="B142" i="7"/>
  <c r="D101" i="7"/>
  <c r="B101" i="7"/>
  <c r="C101" i="7"/>
  <c r="C37" i="7"/>
  <c r="D37" i="7"/>
  <c r="B37" i="7"/>
  <c r="D67" i="7"/>
  <c r="C67" i="7"/>
  <c r="B67" i="7"/>
  <c r="D19" i="7"/>
  <c r="C19" i="7"/>
  <c r="B19" i="7"/>
  <c r="D122" i="7"/>
  <c r="C122" i="7"/>
  <c r="B122" i="7"/>
  <c r="D162" i="7"/>
  <c r="B162" i="7"/>
  <c r="C162" i="7"/>
  <c r="C98" i="7"/>
  <c r="D98" i="7"/>
  <c r="B98" i="7"/>
  <c r="D70" i="7"/>
  <c r="B70" i="7"/>
  <c r="C70" i="7"/>
  <c r="C136" i="7"/>
  <c r="B136" i="7"/>
  <c r="D136" i="7"/>
  <c r="C134" i="7"/>
  <c r="B134" i="7"/>
  <c r="D134" i="7"/>
  <c r="D62" i="7"/>
  <c r="C62" i="7"/>
  <c r="B62" i="7"/>
  <c r="B148" i="7"/>
  <c r="C148" i="7"/>
  <c r="D148" i="7"/>
  <c r="B9" i="7"/>
  <c r="D9" i="7"/>
  <c r="C9" i="7"/>
  <c r="B165" i="7"/>
  <c r="D165" i="7"/>
  <c r="C165" i="7"/>
  <c r="C32" i="7"/>
  <c r="D32" i="7"/>
  <c r="B32" i="7"/>
  <c r="C114" i="7"/>
  <c r="B114" i="7"/>
  <c r="D114" i="7"/>
  <c r="B25" i="7"/>
  <c r="D25" i="7"/>
  <c r="C25" i="7"/>
  <c r="B63" i="7"/>
  <c r="D63" i="7"/>
  <c r="C63" i="7"/>
  <c r="C116" i="7"/>
  <c r="B116" i="7"/>
  <c r="D116" i="7"/>
  <c r="D120" i="7"/>
  <c r="C120" i="7"/>
  <c r="B120" i="7"/>
  <c r="B50" i="7"/>
  <c r="C50" i="7"/>
  <c r="D50" i="7"/>
  <c r="D139" i="7"/>
  <c r="C139" i="7"/>
  <c r="B139" i="7"/>
  <c r="D26" i="7"/>
  <c r="B26" i="7"/>
  <c r="C26" i="7"/>
  <c r="B30" i="7"/>
  <c r="C30" i="7"/>
  <c r="D30" i="7"/>
  <c r="C77" i="7"/>
  <c r="B77" i="7"/>
  <c r="D77" i="7"/>
  <c r="C157" i="7"/>
  <c r="B157" i="7"/>
  <c r="D157" i="7"/>
  <c r="C112" i="7"/>
  <c r="B112" i="7"/>
  <c r="D112" i="7"/>
  <c r="D119" i="7"/>
  <c r="C119" i="7"/>
  <c r="B119" i="7"/>
  <c r="D146" i="7"/>
  <c r="C146" i="7"/>
  <c r="B146" i="7"/>
  <c r="B45" i="7"/>
  <c r="D45" i="7"/>
  <c r="C45" i="7"/>
  <c r="C58" i="7"/>
  <c r="D58" i="7"/>
  <c r="B58" i="7"/>
  <c r="D35" i="7"/>
  <c r="B35" i="7"/>
  <c r="C35" i="7"/>
  <c r="C96" i="7"/>
  <c r="D96" i="7"/>
  <c r="B96" i="7"/>
  <c r="C92" i="7"/>
  <c r="D92" i="7"/>
  <c r="B92" i="7"/>
  <c r="D21" i="7"/>
  <c r="C21" i="7"/>
  <c r="B21" i="7"/>
  <c r="D140" i="7"/>
  <c r="C140" i="7"/>
  <c r="B140" i="7"/>
  <c r="C131" i="7"/>
  <c r="B131" i="7"/>
  <c r="D131" i="7"/>
  <c r="B158" i="7" l="1"/>
  <c r="C158" i="7"/>
  <c r="C111" i="7"/>
  <c r="B156" i="7"/>
  <c r="I156" i="7" s="1"/>
  <c r="D145" i="7"/>
  <c r="B145" i="7"/>
  <c r="I145" i="7" s="1"/>
  <c r="D156" i="7"/>
  <c r="D111" i="7"/>
  <c r="P60" i="13"/>
  <c r="O61" i="13"/>
  <c r="E6" i="7"/>
  <c r="H6" i="7"/>
  <c r="G6" i="7"/>
  <c r="L6" i="7"/>
  <c r="F6" i="7"/>
  <c r="I6" i="7"/>
  <c r="K6" i="7"/>
  <c r="J6" i="7"/>
  <c r="K4" i="7"/>
  <c r="L4" i="7"/>
  <c r="G4" i="7"/>
  <c r="F4" i="7"/>
  <c r="I4" i="7"/>
  <c r="E4" i="7"/>
  <c r="J4" i="7"/>
  <c r="H4" i="7"/>
  <c r="G2" i="7"/>
  <c r="L2" i="7"/>
  <c r="I2" i="7"/>
  <c r="J2" i="7"/>
  <c r="F2" i="7"/>
  <c r="K2" i="7"/>
  <c r="H2" i="7"/>
  <c r="E2" i="7"/>
  <c r="E1" i="7"/>
  <c r="K1" i="7"/>
  <c r="F1" i="7"/>
  <c r="J1" i="7"/>
  <c r="I1" i="7"/>
  <c r="H1" i="7"/>
  <c r="G1" i="7"/>
  <c r="L1" i="7"/>
  <c r="J8" i="7"/>
  <c r="H8" i="7"/>
  <c r="G8" i="7"/>
  <c r="L8" i="7"/>
  <c r="E8" i="7"/>
  <c r="I8" i="7"/>
  <c r="K8" i="7"/>
  <c r="F8" i="7"/>
  <c r="H7" i="7"/>
  <c r="G7" i="7"/>
  <c r="I7" i="7"/>
  <c r="E7" i="7"/>
  <c r="J7" i="7"/>
  <c r="L7" i="7"/>
  <c r="F7" i="7"/>
  <c r="K7" i="7"/>
  <c r="I3" i="7"/>
  <c r="F3" i="7"/>
  <c r="K3" i="7"/>
  <c r="G3" i="7"/>
  <c r="E3" i="7"/>
  <c r="H3" i="7"/>
  <c r="L3" i="7"/>
  <c r="J3" i="7"/>
  <c r="G5" i="7"/>
  <c r="J5" i="7"/>
  <c r="F5" i="7"/>
  <c r="K5" i="7"/>
  <c r="E5" i="7"/>
  <c r="H5" i="7"/>
  <c r="I5" i="7"/>
  <c r="L5" i="7"/>
  <c r="I159" i="7"/>
  <c r="L159" i="7"/>
  <c r="E159" i="7"/>
  <c r="F159" i="7"/>
  <c r="K159" i="7"/>
  <c r="G159" i="7"/>
  <c r="H159" i="7"/>
  <c r="J159" i="7"/>
  <c r="J47" i="7"/>
  <c r="E47" i="7"/>
  <c r="F47" i="7"/>
  <c r="H47" i="7"/>
  <c r="K47" i="7"/>
  <c r="I47" i="7"/>
  <c r="G47" i="7"/>
  <c r="L47" i="7"/>
  <c r="E25" i="7"/>
  <c r="J25" i="7"/>
  <c r="K25" i="7"/>
  <c r="L25" i="7"/>
  <c r="F25" i="7"/>
  <c r="I25" i="7"/>
  <c r="G25" i="7"/>
  <c r="H25" i="7"/>
  <c r="F117" i="7"/>
  <c r="K117" i="7"/>
  <c r="I117" i="7"/>
  <c r="E117" i="7"/>
  <c r="G117" i="7"/>
  <c r="H117" i="7"/>
  <c r="L117" i="7"/>
  <c r="J117" i="7"/>
  <c r="F26" i="7"/>
  <c r="I26" i="7"/>
  <c r="L26" i="7"/>
  <c r="K26" i="7"/>
  <c r="E26" i="7"/>
  <c r="H26" i="7"/>
  <c r="J26" i="7"/>
  <c r="G26" i="7"/>
  <c r="L166" i="7"/>
  <c r="J166" i="7"/>
  <c r="F166" i="7"/>
  <c r="G166" i="7"/>
  <c r="E166" i="7"/>
  <c r="H166" i="7"/>
  <c r="I166" i="7"/>
  <c r="K166" i="7"/>
  <c r="I132" i="7"/>
  <c r="G132" i="7"/>
  <c r="E132" i="7"/>
  <c r="F132" i="7"/>
  <c r="K132" i="7"/>
  <c r="L132" i="7"/>
  <c r="H132" i="7"/>
  <c r="J132" i="7"/>
  <c r="L49" i="7"/>
  <c r="E49" i="7"/>
  <c r="I49" i="7"/>
  <c r="F49" i="7"/>
  <c r="K49" i="7"/>
  <c r="J49" i="7"/>
  <c r="G49" i="7"/>
  <c r="H49" i="7"/>
  <c r="K88" i="7"/>
  <c r="H88" i="7"/>
  <c r="E88" i="7"/>
  <c r="G88" i="7"/>
  <c r="F88" i="7"/>
  <c r="I88" i="7"/>
  <c r="J88" i="7"/>
  <c r="L88" i="7"/>
  <c r="L36" i="7"/>
  <c r="K36" i="7"/>
  <c r="H36" i="7"/>
  <c r="I36" i="7"/>
  <c r="F36" i="7"/>
  <c r="G36" i="7"/>
  <c r="E36" i="7"/>
  <c r="J36" i="7"/>
  <c r="G119" i="7"/>
  <c r="H119" i="7"/>
  <c r="K119" i="7"/>
  <c r="J119" i="7"/>
  <c r="L119" i="7"/>
  <c r="I119" i="7"/>
  <c r="F119" i="7"/>
  <c r="E119" i="7"/>
  <c r="J76" i="7"/>
  <c r="E76" i="7"/>
  <c r="L76" i="7"/>
  <c r="F76" i="7"/>
  <c r="G76" i="7"/>
  <c r="K76" i="7"/>
  <c r="H76" i="7"/>
  <c r="I76" i="7"/>
  <c r="L94" i="7"/>
  <c r="E94" i="7"/>
  <c r="F94" i="7"/>
  <c r="H94" i="7"/>
  <c r="J94" i="7"/>
  <c r="K94" i="7"/>
  <c r="G94" i="7"/>
  <c r="I94" i="7"/>
  <c r="F99" i="7"/>
  <c r="I99" i="7"/>
  <c r="G99" i="7"/>
  <c r="L99" i="7"/>
  <c r="H99" i="7"/>
  <c r="K99" i="7"/>
  <c r="J99" i="7"/>
  <c r="E99" i="7"/>
  <c r="H56" i="7"/>
  <c r="G56" i="7"/>
  <c r="I56" i="7"/>
  <c r="F56" i="7"/>
  <c r="J56" i="7"/>
  <c r="E56" i="7"/>
  <c r="L56" i="7"/>
  <c r="K56" i="7"/>
  <c r="G133" i="7"/>
  <c r="F133" i="7"/>
  <c r="H133" i="7"/>
  <c r="J133" i="7"/>
  <c r="L133" i="7"/>
  <c r="K133" i="7"/>
  <c r="I133" i="7"/>
  <c r="E133" i="7"/>
  <c r="E28" i="7"/>
  <c r="K28" i="7"/>
  <c r="F28" i="7"/>
  <c r="H28" i="7"/>
  <c r="G28" i="7"/>
  <c r="I28" i="7"/>
  <c r="L28" i="7"/>
  <c r="J28" i="7"/>
  <c r="G50" i="7"/>
  <c r="L50" i="7"/>
  <c r="J50" i="7"/>
  <c r="H50" i="7"/>
  <c r="K50" i="7"/>
  <c r="F50" i="7"/>
  <c r="I50" i="7"/>
  <c r="E50" i="7"/>
  <c r="E81" i="7"/>
  <c r="H81" i="7"/>
  <c r="I81" i="7"/>
  <c r="F81" i="7"/>
  <c r="G81" i="7"/>
  <c r="J81" i="7"/>
  <c r="K81" i="7"/>
  <c r="L81" i="7"/>
  <c r="K137" i="7"/>
  <c r="F137" i="7"/>
  <c r="L137" i="7"/>
  <c r="I137" i="7"/>
  <c r="H137" i="7"/>
  <c r="E137" i="7"/>
  <c r="G137" i="7"/>
  <c r="J137" i="7"/>
  <c r="L59" i="7"/>
  <c r="F59" i="7"/>
  <c r="J59" i="7"/>
  <c r="K59" i="7"/>
  <c r="I59" i="7"/>
  <c r="E59" i="7"/>
  <c r="G59" i="7"/>
  <c r="H59" i="7"/>
  <c r="J38" i="7"/>
  <c r="H38" i="7"/>
  <c r="E38" i="7"/>
  <c r="K38" i="7"/>
  <c r="G38" i="7"/>
  <c r="I38" i="7"/>
  <c r="L38" i="7"/>
  <c r="F38" i="7"/>
  <c r="I128" i="7"/>
  <c r="H128" i="7"/>
  <c r="J128" i="7"/>
  <c r="K128" i="7"/>
  <c r="L128" i="7"/>
  <c r="E128" i="7"/>
  <c r="G128" i="7"/>
  <c r="F128" i="7"/>
  <c r="K82" i="7"/>
  <c r="H82" i="7"/>
  <c r="F82" i="7"/>
  <c r="G82" i="7"/>
  <c r="J82" i="7"/>
  <c r="I82" i="7"/>
  <c r="L82" i="7"/>
  <c r="E82" i="7"/>
  <c r="K79" i="7"/>
  <c r="E79" i="7"/>
  <c r="H79" i="7"/>
  <c r="G79" i="7"/>
  <c r="J79" i="7"/>
  <c r="I79" i="7"/>
  <c r="L79" i="7"/>
  <c r="F79" i="7"/>
  <c r="K157" i="7"/>
  <c r="F157" i="7"/>
  <c r="J157" i="7"/>
  <c r="G157" i="7"/>
  <c r="H157" i="7"/>
  <c r="L157" i="7"/>
  <c r="E157" i="7"/>
  <c r="I157" i="7"/>
  <c r="I9" i="7"/>
  <c r="E9" i="7"/>
  <c r="L9" i="7"/>
  <c r="H9" i="7"/>
  <c r="F9" i="7"/>
  <c r="K9" i="7"/>
  <c r="J9" i="7"/>
  <c r="G9" i="7"/>
  <c r="J162" i="7"/>
  <c r="F162" i="7"/>
  <c r="H162" i="7"/>
  <c r="E162" i="7"/>
  <c r="K162" i="7"/>
  <c r="L162" i="7"/>
  <c r="G162" i="7"/>
  <c r="I162" i="7"/>
  <c r="E22" i="7"/>
  <c r="I22" i="7"/>
  <c r="J22" i="7"/>
  <c r="L22" i="7"/>
  <c r="G22" i="7"/>
  <c r="K22" i="7"/>
  <c r="H22" i="7"/>
  <c r="F22" i="7"/>
  <c r="H115" i="7"/>
  <c r="L115" i="7"/>
  <c r="I115" i="7"/>
  <c r="J115" i="7"/>
  <c r="F115" i="7"/>
  <c r="G115" i="7"/>
  <c r="K115" i="7"/>
  <c r="E115" i="7"/>
  <c r="E154" i="7"/>
  <c r="K154" i="7"/>
  <c r="F154" i="7"/>
  <c r="L154" i="7"/>
  <c r="G154" i="7"/>
  <c r="H154" i="7"/>
  <c r="J154" i="7"/>
  <c r="I154" i="7"/>
  <c r="J89" i="7"/>
  <c r="F89" i="7"/>
  <c r="E89" i="7"/>
  <c r="G89" i="7"/>
  <c r="H89" i="7"/>
  <c r="K89" i="7"/>
  <c r="I89" i="7"/>
  <c r="L89" i="7"/>
  <c r="E30" i="7"/>
  <c r="I30" i="7"/>
  <c r="G30" i="7"/>
  <c r="L30" i="7"/>
  <c r="J30" i="7"/>
  <c r="H30" i="7"/>
  <c r="F30" i="7"/>
  <c r="K30" i="7"/>
  <c r="H110" i="7"/>
  <c r="L110" i="7"/>
  <c r="K110" i="7"/>
  <c r="J110" i="7"/>
  <c r="E110" i="7"/>
  <c r="F110" i="7"/>
  <c r="G110" i="7"/>
  <c r="I110" i="7"/>
  <c r="G158" i="7"/>
  <c r="I158" i="7"/>
  <c r="K158" i="7"/>
  <c r="H158" i="7"/>
  <c r="J158" i="7"/>
  <c r="F158" i="7"/>
  <c r="L158" i="7"/>
  <c r="E158" i="7"/>
  <c r="E163" i="7"/>
  <c r="J163" i="7"/>
  <c r="I163" i="7"/>
  <c r="K163" i="7"/>
  <c r="L163" i="7"/>
  <c r="F163" i="7"/>
  <c r="G163" i="7"/>
  <c r="H163" i="7"/>
  <c r="K33" i="7"/>
  <c r="I33" i="7"/>
  <c r="F33" i="7"/>
  <c r="E33" i="7"/>
  <c r="L33" i="7"/>
  <c r="G33" i="7"/>
  <c r="J33" i="7"/>
  <c r="H33" i="7"/>
  <c r="J102" i="7"/>
  <c r="E102" i="7"/>
  <c r="I102" i="7"/>
  <c r="H102" i="7"/>
  <c r="F102" i="7"/>
  <c r="L102" i="7"/>
  <c r="G102" i="7"/>
  <c r="K102" i="7"/>
  <c r="J127" i="7"/>
  <c r="G127" i="7"/>
  <c r="I127" i="7"/>
  <c r="F127" i="7"/>
  <c r="E127" i="7"/>
  <c r="L127" i="7"/>
  <c r="K127" i="7"/>
  <c r="H127" i="7"/>
  <c r="G24" i="7"/>
  <c r="E24" i="7"/>
  <c r="I24" i="7"/>
  <c r="H24" i="7"/>
  <c r="K24" i="7"/>
  <c r="L24" i="7"/>
  <c r="F24" i="7"/>
  <c r="J24" i="7"/>
  <c r="E139" i="7"/>
  <c r="K139" i="7"/>
  <c r="I139" i="7"/>
  <c r="F139" i="7"/>
  <c r="J139" i="7"/>
  <c r="L139" i="7"/>
  <c r="H139" i="7"/>
  <c r="G139" i="7"/>
  <c r="L37" i="7"/>
  <c r="J37" i="7"/>
  <c r="K37" i="7"/>
  <c r="H37" i="7"/>
  <c r="G37" i="7"/>
  <c r="F37" i="7"/>
  <c r="E37" i="7"/>
  <c r="I37" i="7"/>
  <c r="G65" i="7"/>
  <c r="F65" i="7"/>
  <c r="J65" i="7"/>
  <c r="K65" i="7"/>
  <c r="I65" i="7"/>
  <c r="L65" i="7"/>
  <c r="H65" i="7"/>
  <c r="E65" i="7"/>
  <c r="I109" i="7"/>
  <c r="L109" i="7"/>
  <c r="E109" i="7"/>
  <c r="H109" i="7"/>
  <c r="K109" i="7"/>
  <c r="J109" i="7"/>
  <c r="G109" i="7"/>
  <c r="F109" i="7"/>
  <c r="J138" i="7"/>
  <c r="G138" i="7"/>
  <c r="L138" i="7"/>
  <c r="I138" i="7"/>
  <c r="F138" i="7"/>
  <c r="H138" i="7"/>
  <c r="K138" i="7"/>
  <c r="E138" i="7"/>
  <c r="J143" i="7"/>
  <c r="F143" i="7"/>
  <c r="L143" i="7"/>
  <c r="E143" i="7"/>
  <c r="H143" i="7"/>
  <c r="I143" i="7"/>
  <c r="G143" i="7"/>
  <c r="K143" i="7"/>
  <c r="J40" i="7"/>
  <c r="L40" i="7"/>
  <c r="K40" i="7"/>
  <c r="I40" i="7"/>
  <c r="H40" i="7"/>
  <c r="F40" i="7"/>
  <c r="G40" i="7"/>
  <c r="E40" i="7"/>
  <c r="F100" i="7"/>
  <c r="G100" i="7"/>
  <c r="H100" i="7"/>
  <c r="E100" i="7"/>
  <c r="J100" i="7"/>
  <c r="K100" i="7"/>
  <c r="I100" i="7"/>
  <c r="L100" i="7"/>
  <c r="F135" i="7"/>
  <c r="L135" i="7"/>
  <c r="J135" i="7"/>
  <c r="G135" i="7"/>
  <c r="I135" i="7"/>
  <c r="E135" i="7"/>
  <c r="K135" i="7"/>
  <c r="H135" i="7"/>
  <c r="K112" i="7"/>
  <c r="F112" i="7"/>
  <c r="G112" i="7"/>
  <c r="I112" i="7"/>
  <c r="E112" i="7"/>
  <c r="J112" i="7"/>
  <c r="H112" i="7"/>
  <c r="L112" i="7"/>
  <c r="J142" i="7"/>
  <c r="L142" i="7"/>
  <c r="F142" i="7"/>
  <c r="K142" i="7"/>
  <c r="G142" i="7"/>
  <c r="H142" i="7"/>
  <c r="E142" i="7"/>
  <c r="I142" i="7"/>
  <c r="L118" i="7"/>
  <c r="F118" i="7"/>
  <c r="H118" i="7"/>
  <c r="G118" i="7"/>
  <c r="K118" i="7"/>
  <c r="J118" i="7"/>
  <c r="E118" i="7"/>
  <c r="I118" i="7"/>
  <c r="F121" i="7"/>
  <c r="K121" i="7"/>
  <c r="J121" i="7"/>
  <c r="E121" i="7"/>
  <c r="G121" i="7"/>
  <c r="L121" i="7"/>
  <c r="H121" i="7"/>
  <c r="I121" i="7"/>
  <c r="G167" i="7"/>
  <c r="K167" i="7"/>
  <c r="E167" i="7"/>
  <c r="F167" i="7"/>
  <c r="I167" i="7"/>
  <c r="L167" i="7"/>
  <c r="H167" i="7"/>
  <c r="J167" i="7"/>
  <c r="L108" i="7"/>
  <c r="K108" i="7"/>
  <c r="F108" i="7"/>
  <c r="J108" i="7"/>
  <c r="G108" i="7"/>
  <c r="H108" i="7"/>
  <c r="E108" i="7"/>
  <c r="I108" i="7"/>
  <c r="I116" i="7"/>
  <c r="G116" i="7"/>
  <c r="L116" i="7"/>
  <c r="H116" i="7"/>
  <c r="J116" i="7"/>
  <c r="E116" i="7"/>
  <c r="F116" i="7"/>
  <c r="K116" i="7"/>
  <c r="K17" i="7"/>
  <c r="E17" i="7"/>
  <c r="L17" i="7"/>
  <c r="G17" i="7"/>
  <c r="H17" i="7"/>
  <c r="I17" i="7"/>
  <c r="F17" i="7"/>
  <c r="J17" i="7"/>
  <c r="K27" i="7"/>
  <c r="E27" i="7"/>
  <c r="J27" i="7"/>
  <c r="L27" i="7"/>
  <c r="G27" i="7"/>
  <c r="I27" i="7"/>
  <c r="F27" i="7"/>
  <c r="H27" i="7"/>
  <c r="G46" i="7"/>
  <c r="L46" i="7"/>
  <c r="I46" i="7"/>
  <c r="E46" i="7"/>
  <c r="K46" i="7"/>
  <c r="H46" i="7"/>
  <c r="F46" i="7"/>
  <c r="J46" i="7"/>
  <c r="G106" i="7"/>
  <c r="J106" i="7"/>
  <c r="L106" i="7"/>
  <c r="E106" i="7"/>
  <c r="F106" i="7"/>
  <c r="K106" i="7"/>
  <c r="H106" i="7"/>
  <c r="I106" i="7"/>
  <c r="E42" i="7"/>
  <c r="G42" i="7"/>
  <c r="F42" i="7"/>
  <c r="H42" i="7"/>
  <c r="K42" i="7"/>
  <c r="L42" i="7"/>
  <c r="I42" i="7"/>
  <c r="J42" i="7"/>
  <c r="G91" i="7"/>
  <c r="F91" i="7"/>
  <c r="I91" i="7"/>
  <c r="H91" i="7"/>
  <c r="L91" i="7"/>
  <c r="E91" i="7"/>
  <c r="K91" i="7"/>
  <c r="J91" i="7"/>
  <c r="H71" i="7"/>
  <c r="J71" i="7"/>
  <c r="I71" i="7"/>
  <c r="F71" i="7"/>
  <c r="K71" i="7"/>
  <c r="L71" i="7"/>
  <c r="G71" i="7"/>
  <c r="E71" i="7"/>
  <c r="I78" i="7"/>
  <c r="L78" i="7"/>
  <c r="F78" i="7"/>
  <c r="E78" i="7"/>
  <c r="G78" i="7"/>
  <c r="H78" i="7"/>
  <c r="K78" i="7"/>
  <c r="J78" i="7"/>
  <c r="J35" i="7"/>
  <c r="I35" i="7"/>
  <c r="K35" i="7"/>
  <c r="H35" i="7"/>
  <c r="L35" i="7"/>
  <c r="F35" i="7"/>
  <c r="E35" i="7"/>
  <c r="G35" i="7"/>
  <c r="H122" i="7"/>
  <c r="K122" i="7"/>
  <c r="J122" i="7"/>
  <c r="E122" i="7"/>
  <c r="G122" i="7"/>
  <c r="F122" i="7"/>
  <c r="I122" i="7"/>
  <c r="L122" i="7"/>
  <c r="G107" i="7"/>
  <c r="E107" i="7"/>
  <c r="L107" i="7"/>
  <c r="K107" i="7"/>
  <c r="I107" i="7"/>
  <c r="F107" i="7"/>
  <c r="H107" i="7"/>
  <c r="J107" i="7"/>
  <c r="I149" i="7"/>
  <c r="H149" i="7"/>
  <c r="L149" i="7"/>
  <c r="F149" i="7"/>
  <c r="G149" i="7"/>
  <c r="J149" i="7"/>
  <c r="K149" i="7"/>
  <c r="E149" i="7"/>
  <c r="F156" i="7"/>
  <c r="G156" i="7"/>
  <c r="E64" i="7"/>
  <c r="G64" i="7"/>
  <c r="K64" i="7"/>
  <c r="L64" i="7"/>
  <c r="H64" i="7"/>
  <c r="I64" i="7"/>
  <c r="J64" i="7"/>
  <c r="F64" i="7"/>
  <c r="H52" i="7"/>
  <c r="I52" i="7"/>
  <c r="J52" i="7"/>
  <c r="L52" i="7"/>
  <c r="E52" i="7"/>
  <c r="F52" i="7"/>
  <c r="K52" i="7"/>
  <c r="G52" i="7"/>
  <c r="J31" i="7"/>
  <c r="H31" i="7"/>
  <c r="L31" i="7"/>
  <c r="G31" i="7"/>
  <c r="E31" i="7"/>
  <c r="K31" i="7"/>
  <c r="I31" i="7"/>
  <c r="F31" i="7"/>
  <c r="E84" i="7"/>
  <c r="K84" i="7"/>
  <c r="G84" i="7"/>
  <c r="J84" i="7"/>
  <c r="F84" i="7"/>
  <c r="I84" i="7"/>
  <c r="H84" i="7"/>
  <c r="L84" i="7"/>
  <c r="H90" i="7"/>
  <c r="J90" i="7"/>
  <c r="L90" i="7"/>
  <c r="F90" i="7"/>
  <c r="I90" i="7"/>
  <c r="K90" i="7"/>
  <c r="E90" i="7"/>
  <c r="G90" i="7"/>
  <c r="F43" i="7"/>
  <c r="K43" i="7"/>
  <c r="L43" i="7"/>
  <c r="G43" i="7"/>
  <c r="I43" i="7"/>
  <c r="E43" i="7"/>
  <c r="J43" i="7"/>
  <c r="H43" i="7"/>
  <c r="J131" i="7"/>
  <c r="K131" i="7"/>
  <c r="I131" i="7"/>
  <c r="E131" i="7"/>
  <c r="H131" i="7"/>
  <c r="F131" i="7"/>
  <c r="G131" i="7"/>
  <c r="L131" i="7"/>
  <c r="G72" i="7"/>
  <c r="L72" i="7"/>
  <c r="E72" i="7"/>
  <c r="H72" i="7"/>
  <c r="K72" i="7"/>
  <c r="J72" i="7"/>
  <c r="I72" i="7"/>
  <c r="F72" i="7"/>
  <c r="E141" i="7"/>
  <c r="F141" i="7"/>
  <c r="H141" i="7"/>
  <c r="K141" i="7"/>
  <c r="I141" i="7"/>
  <c r="J141" i="7"/>
  <c r="G141" i="7"/>
  <c r="L141" i="7"/>
  <c r="E67" i="7"/>
  <c r="G67" i="7"/>
  <c r="J67" i="7"/>
  <c r="F67" i="7"/>
  <c r="I67" i="7"/>
  <c r="H67" i="7"/>
  <c r="L67" i="7"/>
  <c r="K67" i="7"/>
  <c r="L48" i="7"/>
  <c r="G48" i="7"/>
  <c r="I48" i="7"/>
  <c r="E48" i="7"/>
  <c r="H48" i="7"/>
  <c r="F48" i="7"/>
  <c r="J48" i="7"/>
  <c r="K48" i="7"/>
  <c r="J45" i="7"/>
  <c r="E45" i="7"/>
  <c r="F45" i="7"/>
  <c r="H45" i="7"/>
  <c r="G45" i="7"/>
  <c r="L45" i="7"/>
  <c r="I45" i="7"/>
  <c r="K45" i="7"/>
  <c r="E146" i="7"/>
  <c r="K146" i="7"/>
  <c r="G146" i="7"/>
  <c r="H146" i="7"/>
  <c r="J146" i="7"/>
  <c r="L146" i="7"/>
  <c r="F146" i="7"/>
  <c r="I146" i="7"/>
  <c r="F87" i="7"/>
  <c r="I87" i="7"/>
  <c r="E87" i="7"/>
  <c r="K87" i="7"/>
  <c r="G87" i="7"/>
  <c r="L87" i="7"/>
  <c r="J87" i="7"/>
  <c r="H87" i="7"/>
  <c r="L153" i="7"/>
  <c r="H153" i="7"/>
  <c r="F153" i="7"/>
  <c r="G153" i="7"/>
  <c r="E153" i="7"/>
  <c r="I153" i="7"/>
  <c r="J153" i="7"/>
  <c r="K153" i="7"/>
  <c r="I68" i="7"/>
  <c r="F68" i="7"/>
  <c r="G68" i="7"/>
  <c r="H68" i="7"/>
  <c r="J68" i="7"/>
  <c r="E68" i="7"/>
  <c r="L68" i="7"/>
  <c r="K68" i="7"/>
  <c r="L21" i="7"/>
  <c r="K21" i="7"/>
  <c r="I21" i="7"/>
  <c r="F21" i="7"/>
  <c r="G21" i="7"/>
  <c r="H21" i="7"/>
  <c r="J21" i="7"/>
  <c r="E21" i="7"/>
  <c r="I29" i="7"/>
  <c r="J29" i="7"/>
  <c r="F29" i="7"/>
  <c r="G29" i="7"/>
  <c r="E29" i="7"/>
  <c r="K29" i="7"/>
  <c r="L29" i="7"/>
  <c r="H29" i="7"/>
  <c r="I126" i="7"/>
  <c r="E126" i="7"/>
  <c r="J126" i="7"/>
  <c r="L126" i="7"/>
  <c r="F126" i="7"/>
  <c r="H126" i="7"/>
  <c r="G126" i="7"/>
  <c r="K126" i="7"/>
  <c r="F130" i="7"/>
  <c r="J130" i="7"/>
  <c r="K130" i="7"/>
  <c r="G130" i="7"/>
  <c r="E130" i="7"/>
  <c r="I130" i="7"/>
  <c r="L130" i="7"/>
  <c r="H130" i="7"/>
  <c r="G152" i="7"/>
  <c r="J152" i="7"/>
  <c r="I152" i="7"/>
  <c r="F152" i="7"/>
  <c r="E152" i="7"/>
  <c r="K152" i="7"/>
  <c r="H152" i="7"/>
  <c r="L152" i="7"/>
  <c r="H70" i="7"/>
  <c r="L70" i="7"/>
  <c r="K70" i="7"/>
  <c r="E70" i="7"/>
  <c r="G70" i="7"/>
  <c r="J70" i="7"/>
  <c r="F70" i="7"/>
  <c r="I70" i="7"/>
  <c r="J151" i="7"/>
  <c r="F151" i="7"/>
  <c r="E151" i="7"/>
  <c r="K151" i="7"/>
  <c r="H151" i="7"/>
  <c r="I151" i="7"/>
  <c r="G151" i="7"/>
  <c r="L151" i="7"/>
  <c r="H147" i="7"/>
  <c r="J147" i="7"/>
  <c r="I147" i="7"/>
  <c r="L147" i="7"/>
  <c r="E147" i="7"/>
  <c r="G147" i="7"/>
  <c r="K147" i="7"/>
  <c r="F147" i="7"/>
  <c r="J113" i="7"/>
  <c r="E113" i="7"/>
  <c r="F113" i="7"/>
  <c r="I113" i="7"/>
  <c r="G113" i="7"/>
  <c r="L113" i="7"/>
  <c r="K113" i="7"/>
  <c r="H113" i="7"/>
  <c r="I101" i="7"/>
  <c r="G101" i="7"/>
  <c r="E101" i="7"/>
  <c r="K101" i="7"/>
  <c r="H101" i="7"/>
  <c r="F101" i="7"/>
  <c r="L101" i="7"/>
  <c r="J101" i="7"/>
  <c r="H74" i="7"/>
  <c r="J74" i="7"/>
  <c r="K74" i="7"/>
  <c r="G74" i="7"/>
  <c r="E74" i="7"/>
  <c r="L74" i="7"/>
  <c r="I74" i="7"/>
  <c r="F74" i="7"/>
  <c r="L83" i="7"/>
  <c r="G83" i="7"/>
  <c r="K83" i="7"/>
  <c r="F83" i="7"/>
  <c r="E83" i="7"/>
  <c r="H83" i="7"/>
  <c r="I83" i="7"/>
  <c r="J83" i="7"/>
  <c r="I120" i="7"/>
  <c r="L120" i="7"/>
  <c r="J120" i="7"/>
  <c r="K120" i="7"/>
  <c r="F120" i="7"/>
  <c r="G120" i="7"/>
  <c r="E120" i="7"/>
  <c r="H120" i="7"/>
  <c r="I85" i="7"/>
  <c r="H85" i="7"/>
  <c r="E85" i="7"/>
  <c r="G85" i="7"/>
  <c r="J85" i="7"/>
  <c r="F85" i="7"/>
  <c r="K85" i="7"/>
  <c r="L85" i="7"/>
  <c r="L73" i="7"/>
  <c r="J73" i="7"/>
  <c r="E73" i="7"/>
  <c r="H73" i="7"/>
  <c r="F73" i="7"/>
  <c r="I73" i="7"/>
  <c r="K73" i="7"/>
  <c r="G73" i="7"/>
  <c r="E14" i="7"/>
  <c r="H14" i="7"/>
  <c r="L14" i="7"/>
  <c r="I14" i="7"/>
  <c r="J14" i="7"/>
  <c r="K14" i="7"/>
  <c r="G14" i="7"/>
  <c r="F14" i="7"/>
  <c r="L69" i="7"/>
  <c r="I69" i="7"/>
  <c r="J69" i="7"/>
  <c r="E69" i="7"/>
  <c r="G69" i="7"/>
  <c r="F69" i="7"/>
  <c r="H69" i="7"/>
  <c r="K69" i="7"/>
  <c r="G61" i="7"/>
  <c r="F61" i="7"/>
  <c r="H61" i="7"/>
  <c r="J61" i="7"/>
  <c r="E61" i="7"/>
  <c r="K61" i="7"/>
  <c r="I61" i="7"/>
  <c r="L61" i="7"/>
  <c r="F10" i="7"/>
  <c r="L10" i="7"/>
  <c r="E10" i="7"/>
  <c r="I10" i="7"/>
  <c r="J10" i="7"/>
  <c r="H10" i="7"/>
  <c r="G10" i="7"/>
  <c r="K10" i="7"/>
  <c r="K16" i="7"/>
  <c r="L16" i="7"/>
  <c r="E16" i="7"/>
  <c r="J16" i="7"/>
  <c r="F16" i="7"/>
  <c r="H16" i="7"/>
  <c r="I16" i="7"/>
  <c r="G16" i="7"/>
  <c r="I20" i="7"/>
  <c r="L20" i="7"/>
  <c r="E20" i="7"/>
  <c r="H20" i="7"/>
  <c r="J20" i="7"/>
  <c r="F20" i="7"/>
  <c r="G20" i="7"/>
  <c r="K20" i="7"/>
  <c r="J58" i="7"/>
  <c r="E58" i="7"/>
  <c r="K58" i="7"/>
  <c r="F58" i="7"/>
  <c r="L58" i="7"/>
  <c r="I58" i="7"/>
  <c r="G58" i="7"/>
  <c r="H58" i="7"/>
  <c r="I62" i="7"/>
  <c r="G62" i="7"/>
  <c r="E62" i="7"/>
  <c r="K62" i="7"/>
  <c r="F62" i="7"/>
  <c r="L62" i="7"/>
  <c r="J62" i="7"/>
  <c r="H62" i="7"/>
  <c r="K66" i="7"/>
  <c r="J66" i="7"/>
  <c r="L66" i="7"/>
  <c r="I66" i="7"/>
  <c r="F66" i="7"/>
  <c r="G66" i="7"/>
  <c r="E66" i="7"/>
  <c r="H66" i="7"/>
  <c r="H129" i="7"/>
  <c r="J129" i="7"/>
  <c r="F129" i="7"/>
  <c r="I129" i="7"/>
  <c r="K129" i="7"/>
  <c r="E129" i="7"/>
  <c r="G129" i="7"/>
  <c r="L129" i="7"/>
  <c r="K160" i="7"/>
  <c r="L160" i="7"/>
  <c r="F160" i="7"/>
  <c r="J160" i="7"/>
  <c r="I160" i="7"/>
  <c r="H160" i="7"/>
  <c r="G160" i="7"/>
  <c r="E160" i="7"/>
  <c r="J97" i="7"/>
  <c r="F97" i="7"/>
  <c r="L97" i="7"/>
  <c r="G97" i="7"/>
  <c r="E97" i="7"/>
  <c r="I97" i="7"/>
  <c r="H97" i="7"/>
  <c r="K97" i="7"/>
  <c r="K125" i="7"/>
  <c r="I125" i="7"/>
  <c r="H125" i="7"/>
  <c r="E125" i="7"/>
  <c r="L125" i="7"/>
  <c r="F125" i="7"/>
  <c r="J125" i="7"/>
  <c r="G125" i="7"/>
  <c r="H12" i="7"/>
  <c r="I12" i="7"/>
  <c r="L12" i="7"/>
  <c r="E12" i="7"/>
  <c r="G12" i="7"/>
  <c r="K12" i="7"/>
  <c r="F12" i="7"/>
  <c r="J12" i="7"/>
  <c r="I34" i="7"/>
  <c r="K34" i="7"/>
  <c r="H34" i="7"/>
  <c r="F34" i="7"/>
  <c r="J34" i="7"/>
  <c r="G34" i="7"/>
  <c r="L34" i="7"/>
  <c r="E34" i="7"/>
  <c r="K150" i="7"/>
  <c r="G150" i="7"/>
  <c r="I150" i="7"/>
  <c r="H150" i="7"/>
  <c r="F150" i="7"/>
  <c r="E150" i="7"/>
  <c r="L150" i="7"/>
  <c r="J150" i="7"/>
  <c r="E134" i="7"/>
  <c r="I134" i="7"/>
  <c r="K134" i="7"/>
  <c r="G134" i="7"/>
  <c r="H134" i="7"/>
  <c r="F134" i="7"/>
  <c r="L134" i="7"/>
  <c r="J134" i="7"/>
  <c r="K23" i="7"/>
  <c r="I23" i="7"/>
  <c r="J23" i="7"/>
  <c r="L23" i="7"/>
  <c r="H23" i="7"/>
  <c r="F23" i="7"/>
  <c r="E23" i="7"/>
  <c r="G23" i="7"/>
  <c r="J145" i="7"/>
  <c r="K145" i="7"/>
  <c r="E145" i="7"/>
  <c r="I140" i="7"/>
  <c r="E140" i="7"/>
  <c r="F140" i="7"/>
  <c r="J140" i="7"/>
  <c r="L140" i="7"/>
  <c r="K140" i="7"/>
  <c r="H140" i="7"/>
  <c r="G140" i="7"/>
  <c r="H55" i="7"/>
  <c r="L55" i="7"/>
  <c r="G55" i="7"/>
  <c r="J55" i="7"/>
  <c r="E55" i="7"/>
  <c r="F55" i="7"/>
  <c r="K55" i="7"/>
  <c r="I55" i="7"/>
  <c r="F114" i="7"/>
  <c r="K114" i="7"/>
  <c r="G114" i="7"/>
  <c r="L114" i="7"/>
  <c r="E114" i="7"/>
  <c r="H114" i="7"/>
  <c r="I114" i="7"/>
  <c r="J114" i="7"/>
  <c r="F41" i="7"/>
  <c r="L41" i="7"/>
  <c r="G41" i="7"/>
  <c r="I41" i="7"/>
  <c r="E41" i="7"/>
  <c r="J41" i="7"/>
  <c r="H41" i="7"/>
  <c r="K41" i="7"/>
  <c r="G75" i="7"/>
  <c r="J75" i="7"/>
  <c r="F75" i="7"/>
  <c r="H75" i="7"/>
  <c r="E75" i="7"/>
  <c r="I75" i="7"/>
  <c r="K75" i="7"/>
  <c r="L75" i="7"/>
  <c r="I111" i="7"/>
  <c r="G111" i="7"/>
  <c r="K111" i="7"/>
  <c r="F111" i="7"/>
  <c r="J111" i="7"/>
  <c r="E111" i="7"/>
  <c r="H111" i="7"/>
  <c r="L111" i="7"/>
  <c r="E136" i="7"/>
  <c r="J136" i="7"/>
  <c r="H136" i="7"/>
  <c r="L136" i="7"/>
  <c r="G136" i="7"/>
  <c r="F136" i="7"/>
  <c r="K136" i="7"/>
  <c r="I136" i="7"/>
  <c r="K32" i="7"/>
  <c r="F32" i="7"/>
  <c r="I32" i="7"/>
  <c r="L32" i="7"/>
  <c r="G32" i="7"/>
  <c r="E32" i="7"/>
  <c r="H32" i="7"/>
  <c r="J32" i="7"/>
  <c r="H95" i="7"/>
  <c r="J95" i="7"/>
  <c r="E95" i="7"/>
  <c r="I95" i="7"/>
  <c r="F95" i="7"/>
  <c r="L95" i="7"/>
  <c r="K95" i="7"/>
  <c r="G95" i="7"/>
  <c r="K105" i="7"/>
  <c r="H105" i="7"/>
  <c r="G105" i="7"/>
  <c r="L105" i="7"/>
  <c r="F105" i="7"/>
  <c r="I105" i="7"/>
  <c r="J105" i="7"/>
  <c r="E105" i="7"/>
  <c r="E57" i="7"/>
  <c r="F57" i="7"/>
  <c r="G57" i="7"/>
  <c r="K57" i="7"/>
  <c r="I57" i="7"/>
  <c r="J57" i="7"/>
  <c r="L57" i="7"/>
  <c r="H57" i="7"/>
  <c r="G53" i="7"/>
  <c r="F53" i="7"/>
  <c r="H53" i="7"/>
  <c r="K53" i="7"/>
  <c r="L53" i="7"/>
  <c r="E53" i="7"/>
  <c r="J53" i="7"/>
  <c r="I53" i="7"/>
  <c r="L161" i="7"/>
  <c r="I161" i="7"/>
  <c r="H161" i="7"/>
  <c r="F161" i="7"/>
  <c r="K161" i="7"/>
  <c r="J161" i="7"/>
  <c r="G161" i="7"/>
  <c r="E161" i="7"/>
  <c r="H124" i="7"/>
  <c r="F124" i="7"/>
  <c r="J124" i="7"/>
  <c r="G124" i="7"/>
  <c r="K124" i="7"/>
  <c r="I124" i="7"/>
  <c r="E124" i="7"/>
  <c r="L124" i="7"/>
  <c r="L18" i="7"/>
  <c r="J18" i="7"/>
  <c r="F18" i="7"/>
  <c r="H18" i="7"/>
  <c r="E18" i="7"/>
  <c r="I18" i="7"/>
  <c r="K18" i="7"/>
  <c r="G18" i="7"/>
  <c r="H92" i="7"/>
  <c r="J92" i="7"/>
  <c r="L92" i="7"/>
  <c r="E92" i="7"/>
  <c r="F92" i="7"/>
  <c r="G92" i="7"/>
  <c r="K92" i="7"/>
  <c r="I92" i="7"/>
  <c r="E86" i="7"/>
  <c r="J86" i="7"/>
  <c r="K86" i="7"/>
  <c r="H86" i="7"/>
  <c r="G86" i="7"/>
  <c r="F86" i="7"/>
  <c r="L86" i="7"/>
  <c r="I86" i="7"/>
  <c r="H98" i="7"/>
  <c r="I98" i="7"/>
  <c r="J98" i="7"/>
  <c r="L98" i="7"/>
  <c r="K98" i="7"/>
  <c r="G98" i="7"/>
  <c r="E98" i="7"/>
  <c r="F98" i="7"/>
  <c r="K13" i="7"/>
  <c r="G13" i="7"/>
  <c r="L13" i="7"/>
  <c r="J13" i="7"/>
  <c r="F13" i="7"/>
  <c r="H13" i="7"/>
  <c r="I13" i="7"/>
  <c r="E13" i="7"/>
  <c r="F144" i="7"/>
  <c r="J144" i="7"/>
  <c r="K144" i="7"/>
  <c r="G144" i="7"/>
  <c r="I144" i="7"/>
  <c r="L144" i="7"/>
  <c r="E144" i="7"/>
  <c r="H144" i="7"/>
  <c r="L165" i="7"/>
  <c r="H165" i="7"/>
  <c r="I165" i="7"/>
  <c r="F165" i="7"/>
  <c r="G165" i="7"/>
  <c r="K165" i="7"/>
  <c r="J165" i="7"/>
  <c r="E165" i="7"/>
  <c r="L104" i="7"/>
  <c r="J104" i="7"/>
  <c r="H104" i="7"/>
  <c r="E104" i="7"/>
  <c r="F104" i="7"/>
  <c r="K104" i="7"/>
  <c r="G104" i="7"/>
  <c r="I104" i="7"/>
  <c r="H54" i="7"/>
  <c r="J54" i="7"/>
  <c r="L54" i="7"/>
  <c r="G54" i="7"/>
  <c r="F54" i="7"/>
  <c r="K54" i="7"/>
  <c r="E54" i="7"/>
  <c r="I54" i="7"/>
  <c r="H80" i="7"/>
  <c r="I80" i="7"/>
  <c r="J80" i="7"/>
  <c r="L80" i="7"/>
  <c r="G80" i="7"/>
  <c r="F80" i="7"/>
  <c r="E80" i="7"/>
  <c r="K80" i="7"/>
  <c r="I96" i="7"/>
  <c r="L96" i="7"/>
  <c r="J96" i="7"/>
  <c r="K96" i="7"/>
  <c r="G96" i="7"/>
  <c r="H96" i="7"/>
  <c r="E96" i="7"/>
  <c r="F96" i="7"/>
  <c r="L123" i="7"/>
  <c r="J123" i="7"/>
  <c r="G123" i="7"/>
  <c r="E123" i="7"/>
  <c r="H123" i="7"/>
  <c r="F123" i="7"/>
  <c r="I123" i="7"/>
  <c r="K123" i="7"/>
  <c r="I51" i="7"/>
  <c r="G51" i="7"/>
  <c r="L51" i="7"/>
  <c r="H51" i="7"/>
  <c r="J51" i="7"/>
  <c r="F51" i="7"/>
  <c r="K51" i="7"/>
  <c r="E51" i="7"/>
  <c r="F77" i="7"/>
  <c r="J77" i="7"/>
  <c r="H77" i="7"/>
  <c r="I77" i="7"/>
  <c r="G77" i="7"/>
  <c r="E77" i="7"/>
  <c r="K77" i="7"/>
  <c r="L77" i="7"/>
  <c r="G148" i="7"/>
  <c r="I148" i="7"/>
  <c r="H148" i="7"/>
  <c r="E148" i="7"/>
  <c r="K148" i="7"/>
  <c r="J148" i="7"/>
  <c r="F148" i="7"/>
  <c r="L148" i="7"/>
  <c r="G39" i="7"/>
  <c r="E39" i="7"/>
  <c r="K39" i="7"/>
  <c r="F39" i="7"/>
  <c r="L39" i="7"/>
  <c r="H39" i="7"/>
  <c r="J39" i="7"/>
  <c r="I39" i="7"/>
  <c r="G103" i="7"/>
  <c r="I103" i="7"/>
  <c r="J103" i="7"/>
  <c r="H103" i="7"/>
  <c r="K103" i="7"/>
  <c r="E103" i="7"/>
  <c r="F103" i="7"/>
  <c r="L103" i="7"/>
  <c r="K63" i="7"/>
  <c r="I63" i="7"/>
  <c r="G63" i="7"/>
  <c r="E63" i="7"/>
  <c r="F63" i="7"/>
  <c r="J63" i="7"/>
  <c r="H63" i="7"/>
  <c r="L63" i="7"/>
  <c r="G19" i="7"/>
  <c r="I19" i="7"/>
  <c r="L19" i="7"/>
  <c r="H19" i="7"/>
  <c r="J19" i="7"/>
  <c r="E19" i="7"/>
  <c r="F19" i="7"/>
  <c r="K19" i="7"/>
  <c r="H155" i="7"/>
  <c r="J155" i="7"/>
  <c r="F155" i="7"/>
  <c r="K155" i="7"/>
  <c r="G155" i="7"/>
  <c r="L155" i="7"/>
  <c r="I155" i="7"/>
  <c r="E155" i="7"/>
  <c r="G15" i="7"/>
  <c r="F15" i="7"/>
  <c r="I15" i="7"/>
  <c r="H15" i="7"/>
  <c r="L15" i="7"/>
  <c r="K15" i="7"/>
  <c r="J15" i="7"/>
  <c r="E15" i="7"/>
  <c r="F11" i="7"/>
  <c r="L11" i="7"/>
  <c r="I11" i="7"/>
  <c r="E11" i="7"/>
  <c r="G11" i="7"/>
  <c r="H11" i="7"/>
  <c r="K11" i="7"/>
  <c r="J11" i="7"/>
  <c r="J93" i="7"/>
  <c r="E93" i="7"/>
  <c r="G93" i="7"/>
  <c r="L93" i="7"/>
  <c r="K93" i="7"/>
  <c r="F93" i="7"/>
  <c r="H93" i="7"/>
  <c r="I93" i="7"/>
  <c r="H44" i="7"/>
  <c r="I44" i="7"/>
  <c r="J44" i="7"/>
  <c r="L44" i="7"/>
  <c r="G44" i="7"/>
  <c r="F44" i="7"/>
  <c r="E44" i="7"/>
  <c r="K44" i="7"/>
  <c r="H164" i="7"/>
  <c r="L164" i="7"/>
  <c r="J164" i="7"/>
  <c r="K164" i="7"/>
  <c r="F164" i="7"/>
  <c r="I164" i="7"/>
  <c r="E164" i="7"/>
  <c r="G164" i="7"/>
  <c r="E60" i="7"/>
  <c r="L60" i="7"/>
  <c r="G60" i="7"/>
  <c r="I60" i="7"/>
  <c r="H60" i="7"/>
  <c r="K60" i="7"/>
  <c r="J60" i="7"/>
  <c r="F60" i="7"/>
  <c r="F168" i="7"/>
  <c r="I168" i="7"/>
  <c r="H168" i="7"/>
  <c r="K168" i="7"/>
  <c r="E168" i="7"/>
  <c r="J168" i="7"/>
  <c r="L168" i="7"/>
  <c r="G168" i="7"/>
  <c r="G62" i="13"/>
  <c r="J62" i="13"/>
  <c r="M62" i="13"/>
  <c r="L62" i="13"/>
  <c r="H62" i="13"/>
  <c r="I62" i="13"/>
  <c r="N62" i="13"/>
  <c r="K62" i="13"/>
  <c r="H156" i="7" l="1"/>
  <c r="L156" i="7"/>
  <c r="K156" i="7"/>
  <c r="E62" i="13"/>
  <c r="E156" i="7"/>
  <c r="J112" i="8" s="1"/>
  <c r="J156" i="7"/>
  <c r="F145" i="7"/>
  <c r="G145" i="7"/>
  <c r="H145" i="7"/>
  <c r="O19" i="8" s="1"/>
  <c r="P19" i="8" s="1"/>
  <c r="L145" i="7"/>
  <c r="S60" i="13"/>
  <c r="T60" i="13" s="1"/>
  <c r="Q60" i="13"/>
  <c r="O1" i="8"/>
  <c r="P1" i="8" s="1"/>
  <c r="O40" i="8"/>
  <c r="P40" i="8" s="1"/>
  <c r="Q40" i="8" s="1"/>
  <c r="R40" i="8" s="1"/>
  <c r="U40" i="8" s="1"/>
  <c r="O65" i="8"/>
  <c r="P65" i="8" s="1"/>
  <c r="Q65" i="8" s="1"/>
  <c r="R65" i="8" s="1"/>
  <c r="U65" i="8" s="1"/>
  <c r="O33" i="8"/>
  <c r="P33" i="8" s="1"/>
  <c r="Q33" i="8" s="1"/>
  <c r="O76" i="8"/>
  <c r="P76" i="8" s="1"/>
  <c r="Q76" i="8" s="1"/>
  <c r="O73" i="8"/>
  <c r="P73" i="8" s="1"/>
  <c r="Q73" i="8" s="1"/>
  <c r="R73" i="8" s="1"/>
  <c r="U73" i="8" s="1"/>
  <c r="O14" i="8"/>
  <c r="P14" i="8" s="1"/>
  <c r="Q14" i="8" s="1"/>
  <c r="O43" i="8"/>
  <c r="P43" i="8" s="1"/>
  <c r="Q43" i="8" s="1"/>
  <c r="O74" i="8"/>
  <c r="P74" i="8" s="1"/>
  <c r="Q74" i="8" s="1"/>
  <c r="R74" i="8" s="1"/>
  <c r="U74" i="8" s="1"/>
  <c r="O17" i="8"/>
  <c r="P17" i="8" s="1"/>
  <c r="Q17" i="8" s="1"/>
  <c r="R17" i="8" s="1"/>
  <c r="U17" i="8" s="1"/>
  <c r="O91" i="8"/>
  <c r="P91" i="8" s="1"/>
  <c r="Q91" i="8" s="1"/>
  <c r="O44" i="8"/>
  <c r="P44" i="8" s="1"/>
  <c r="Q44" i="8" s="1"/>
  <c r="O52" i="8"/>
  <c r="P52" i="8" s="1"/>
  <c r="Q52" i="8" s="1"/>
  <c r="O104" i="8"/>
  <c r="P104" i="8" s="1"/>
  <c r="Q104" i="8" s="1"/>
  <c r="O38" i="8"/>
  <c r="P38" i="8" s="1"/>
  <c r="Q38" i="8" s="1"/>
  <c r="O45" i="8"/>
  <c r="P45" i="8" s="1"/>
  <c r="Q45" i="8" s="1"/>
  <c r="O89" i="8"/>
  <c r="P89" i="8" s="1"/>
  <c r="Q89" i="8" s="1"/>
  <c r="R89" i="8" s="1"/>
  <c r="U89" i="8" s="1"/>
  <c r="O56" i="8"/>
  <c r="P56" i="8" s="1"/>
  <c r="Q56" i="8" s="1"/>
  <c r="R56" i="8" s="1"/>
  <c r="U56" i="8" s="1"/>
  <c r="O41" i="8"/>
  <c r="P41" i="8" s="1"/>
  <c r="Q41" i="8" s="1"/>
  <c r="R41" i="8" s="1"/>
  <c r="U41" i="8" s="1"/>
  <c r="O109" i="8"/>
  <c r="P109" i="8" s="1"/>
  <c r="Q109" i="8" s="1"/>
  <c r="O90" i="8"/>
  <c r="P90" i="8" s="1"/>
  <c r="Q90" i="8" s="1"/>
  <c r="R90" i="8" s="1"/>
  <c r="U90" i="8" s="1"/>
  <c r="O23" i="8"/>
  <c r="P23" i="8" s="1"/>
  <c r="O47" i="8"/>
  <c r="P47" i="8" s="1"/>
  <c r="Q47" i="8" s="1"/>
  <c r="R47" i="8" s="1"/>
  <c r="U47" i="8" s="1"/>
  <c r="O86" i="8"/>
  <c r="P86" i="8" s="1"/>
  <c r="Q86" i="8" s="1"/>
  <c r="O35" i="8"/>
  <c r="P35" i="8" s="1"/>
  <c r="Q35" i="8" s="1"/>
  <c r="O12" i="8"/>
  <c r="P12" i="8" s="1"/>
  <c r="Q12" i="8" s="1"/>
  <c r="O16" i="8"/>
  <c r="P16" i="8" s="1"/>
  <c r="Q16" i="8" s="1"/>
  <c r="R16" i="8" s="1"/>
  <c r="U16" i="8" s="1"/>
  <c r="O96" i="8"/>
  <c r="P96" i="8" s="1"/>
  <c r="Q96" i="8" s="1"/>
  <c r="R96" i="8" s="1"/>
  <c r="U96" i="8" s="1"/>
  <c r="O46" i="8"/>
  <c r="P46" i="8" s="1"/>
  <c r="Q46" i="8" s="1"/>
  <c r="O48" i="8"/>
  <c r="P48" i="8" s="1"/>
  <c r="Q48" i="8" s="1"/>
  <c r="O57" i="8"/>
  <c r="P57" i="8" s="1"/>
  <c r="Q57" i="8" s="1"/>
  <c r="R57" i="8" s="1"/>
  <c r="U57" i="8" s="1"/>
  <c r="O64" i="8"/>
  <c r="P64" i="8" s="1"/>
  <c r="Q64" i="8" s="1"/>
  <c r="R64" i="8" s="1"/>
  <c r="U64" i="8" s="1"/>
  <c r="O49" i="8"/>
  <c r="P49" i="8" s="1"/>
  <c r="Q49" i="8" s="1"/>
  <c r="O50" i="8"/>
  <c r="P50" i="8" s="1"/>
  <c r="Q50" i="8" s="1"/>
  <c r="R50" i="8" s="1"/>
  <c r="U50" i="8" s="1"/>
  <c r="O102" i="8"/>
  <c r="P102" i="8" s="1"/>
  <c r="Q102" i="8" s="1"/>
  <c r="O3" i="8"/>
  <c r="P3" i="8" s="1"/>
  <c r="Q3" i="8" s="1"/>
  <c r="O66" i="8"/>
  <c r="P66" i="8" s="1"/>
  <c r="Q66" i="8" s="1"/>
  <c r="R66" i="8" s="1"/>
  <c r="U66" i="8" s="1"/>
  <c r="O11" i="8"/>
  <c r="P11" i="8" s="1"/>
  <c r="Q11" i="8" s="1"/>
  <c r="O51" i="8"/>
  <c r="P51" i="8" s="1"/>
  <c r="Q51" i="8" s="1"/>
  <c r="O59" i="8"/>
  <c r="P59" i="8" s="1"/>
  <c r="Q59" i="8" s="1"/>
  <c r="R59" i="8" s="1"/>
  <c r="U59" i="8" s="1"/>
  <c r="O108" i="8"/>
  <c r="P108" i="8" s="1"/>
  <c r="Q108" i="8" s="1"/>
  <c r="O60" i="8"/>
  <c r="P60" i="8" s="1"/>
  <c r="Q60" i="8" s="1"/>
  <c r="R60" i="8" s="1"/>
  <c r="U60" i="8" s="1"/>
  <c r="O61" i="8"/>
  <c r="P61" i="8" s="1"/>
  <c r="Q61" i="8" s="1"/>
  <c r="R61" i="8" s="1"/>
  <c r="U61" i="8" s="1"/>
  <c r="O29" i="8"/>
  <c r="P29" i="8" s="1"/>
  <c r="Q29" i="8" s="1"/>
  <c r="R29" i="8" s="1"/>
  <c r="U29" i="8" s="1"/>
  <c r="O5" i="8"/>
  <c r="P5" i="8" s="1"/>
  <c r="Q5" i="8" s="1"/>
  <c r="R5" i="8" s="1"/>
  <c r="U5" i="8" s="1"/>
  <c r="O39" i="8"/>
  <c r="P39" i="8" s="1"/>
  <c r="Q39" i="8" s="1"/>
  <c r="R39" i="8" s="1"/>
  <c r="U39" i="8" s="1"/>
  <c r="J12" i="8"/>
  <c r="K12" i="8" s="1"/>
  <c r="L12" i="8" s="1"/>
  <c r="M12" i="8" s="1"/>
  <c r="J40" i="8"/>
  <c r="K40" i="8" s="1"/>
  <c r="L40" i="8" s="1"/>
  <c r="M40" i="8" s="1"/>
  <c r="J3" i="8"/>
  <c r="K3" i="8" s="1"/>
  <c r="L3" i="8" s="1"/>
  <c r="M3" i="8" s="1"/>
  <c r="J56" i="8"/>
  <c r="K56" i="8" s="1"/>
  <c r="L56" i="8" s="1"/>
  <c r="M56" i="8" s="1"/>
  <c r="J74" i="8"/>
  <c r="K74" i="8" s="1"/>
  <c r="L74" i="8" s="1"/>
  <c r="M74" i="8" s="1"/>
  <c r="J22" i="8"/>
  <c r="J55" i="8"/>
  <c r="J86" i="8"/>
  <c r="J32" i="8"/>
  <c r="K32" i="8" s="1"/>
  <c r="L32" i="8" s="1"/>
  <c r="M32" i="8" s="1"/>
  <c r="J116" i="8"/>
  <c r="K116" i="8" s="1"/>
  <c r="L116" i="8" s="1"/>
  <c r="M116" i="8" s="1"/>
  <c r="J6" i="8"/>
  <c r="K6" i="8" s="1"/>
  <c r="L6" i="8" s="1"/>
  <c r="M6" i="8" s="1"/>
  <c r="J16" i="8"/>
  <c r="K16" i="8" s="1"/>
  <c r="L16" i="8" s="1"/>
  <c r="M16" i="8" s="1"/>
  <c r="J53" i="8"/>
  <c r="K53" i="8" s="1"/>
  <c r="L53" i="8" s="1"/>
  <c r="M53" i="8" s="1"/>
  <c r="J114" i="8"/>
  <c r="K114" i="8" s="1"/>
  <c r="L114" i="8" s="1"/>
  <c r="J66" i="8"/>
  <c r="K66" i="8" s="1"/>
  <c r="L66" i="8" s="1"/>
  <c r="M66" i="8" s="1"/>
  <c r="J63" i="8"/>
  <c r="K63" i="8" s="1"/>
  <c r="L63" i="8" s="1"/>
  <c r="M63" i="8" s="1"/>
  <c r="J30" i="8"/>
  <c r="K30" i="8" s="1"/>
  <c r="L30" i="8" s="1"/>
  <c r="M30" i="8" s="1"/>
  <c r="J67" i="8"/>
  <c r="K67" i="8" s="1"/>
  <c r="L67" i="8" s="1"/>
  <c r="M67" i="8" s="1"/>
  <c r="J21" i="8"/>
  <c r="K21" i="8" s="1"/>
  <c r="L21" i="8" s="1"/>
  <c r="M21" i="8" s="1"/>
  <c r="J91" i="8"/>
  <c r="J50" i="8"/>
  <c r="K50" i="8" s="1"/>
  <c r="L50" i="8" s="1"/>
  <c r="M50" i="8" s="1"/>
  <c r="J87" i="8"/>
  <c r="K87" i="8" s="1"/>
  <c r="L87" i="8" s="1"/>
  <c r="M87" i="8" s="1"/>
  <c r="J1" i="8"/>
  <c r="K1" i="8" s="1"/>
  <c r="L1" i="8" s="1"/>
  <c r="M1" i="8" s="1"/>
  <c r="T1" i="8" s="1"/>
  <c r="J108" i="8"/>
  <c r="K108" i="8" s="1"/>
  <c r="L108" i="8" s="1"/>
  <c r="M108" i="8" s="1"/>
  <c r="J97" i="8"/>
  <c r="K97" i="8" s="1"/>
  <c r="L97" i="8" s="1"/>
  <c r="M97" i="8" s="1"/>
  <c r="J59" i="8"/>
  <c r="K59" i="8" s="1"/>
  <c r="L59" i="8" s="1"/>
  <c r="M59" i="8" s="1"/>
  <c r="J90" i="8"/>
  <c r="K90" i="8" s="1"/>
  <c r="L90" i="8" s="1"/>
  <c r="M90" i="8" s="1"/>
  <c r="J7" i="8"/>
  <c r="K7" i="8" s="1"/>
  <c r="L7" i="8" s="1"/>
  <c r="M7" i="8" s="1"/>
  <c r="J41" i="8"/>
  <c r="K41" i="8" s="1"/>
  <c r="L41" i="8" s="1"/>
  <c r="M41" i="8" s="1"/>
  <c r="J17" i="8"/>
  <c r="K17" i="8" s="1"/>
  <c r="L17" i="8" s="1"/>
  <c r="M17" i="8" s="1"/>
  <c r="J117" i="8"/>
  <c r="K117" i="8" s="1"/>
  <c r="L117" i="8" s="1"/>
  <c r="M117" i="8" s="1"/>
  <c r="J45" i="8"/>
  <c r="K45" i="8" s="1"/>
  <c r="L45" i="8" s="1"/>
  <c r="M45" i="8" s="1"/>
  <c r="J98" i="8"/>
  <c r="J71" i="8"/>
  <c r="K71" i="8" s="1"/>
  <c r="J79" i="8"/>
  <c r="K79" i="8" s="1"/>
  <c r="L79" i="8" s="1"/>
  <c r="M79" i="8" s="1"/>
  <c r="J18" i="8"/>
  <c r="J15" i="8"/>
  <c r="J84" i="8"/>
  <c r="J94" i="8"/>
  <c r="K94" i="8" s="1"/>
  <c r="L94" i="8" s="1"/>
  <c r="M94" i="8" s="1"/>
  <c r="J104" i="8"/>
  <c r="K104" i="8" s="1"/>
  <c r="L104" i="8" s="1"/>
  <c r="M104" i="8" s="1"/>
  <c r="J47" i="8"/>
  <c r="K47" i="8" s="1"/>
  <c r="L47" i="8" s="1"/>
  <c r="M47" i="8" s="1"/>
  <c r="J9" i="8"/>
  <c r="J31" i="8"/>
  <c r="J46" i="8"/>
  <c r="K46" i="8" s="1"/>
  <c r="L46" i="8" s="1"/>
  <c r="M46" i="8" s="1"/>
  <c r="J81" i="8"/>
  <c r="K81" i="8" s="1"/>
  <c r="L81" i="8" s="1"/>
  <c r="M81" i="8" s="1"/>
  <c r="J68" i="8"/>
  <c r="K68" i="8" s="1"/>
  <c r="L68" i="8" s="1"/>
  <c r="M68" i="8" s="1"/>
  <c r="J29" i="8"/>
  <c r="K29" i="8" s="1"/>
  <c r="L29" i="8" s="1"/>
  <c r="M29" i="8" s="1"/>
  <c r="J72" i="8"/>
  <c r="K72" i="8" s="1"/>
  <c r="L72" i="8" s="1"/>
  <c r="M72" i="8" s="1"/>
  <c r="J23" i="8"/>
  <c r="K23" i="8" s="1"/>
  <c r="L23" i="8" s="1"/>
  <c r="M23" i="8" s="1"/>
  <c r="J77" i="8"/>
  <c r="K77" i="8" s="1"/>
  <c r="L77" i="8" s="1"/>
  <c r="M77" i="8" s="1"/>
  <c r="J39" i="8"/>
  <c r="K39" i="8" s="1"/>
  <c r="L39" i="8" s="1"/>
  <c r="M39" i="8" s="1"/>
  <c r="J83" i="8"/>
  <c r="K83" i="8" s="1"/>
  <c r="L83" i="8" s="1"/>
  <c r="M83" i="8" s="1"/>
  <c r="J26" i="8"/>
  <c r="K26" i="8" s="1"/>
  <c r="L26" i="8" s="1"/>
  <c r="M26" i="8" s="1"/>
  <c r="J88" i="8"/>
  <c r="K88" i="8" s="1"/>
  <c r="L88" i="8" s="1"/>
  <c r="M88" i="8" s="1"/>
  <c r="J92" i="8"/>
  <c r="K92" i="8" s="1"/>
  <c r="L92" i="8" s="1"/>
  <c r="M92" i="8" s="1"/>
  <c r="J54" i="8"/>
  <c r="K54" i="8" s="1"/>
  <c r="L54" i="8" s="1"/>
  <c r="M54" i="8" s="1"/>
  <c r="J2" i="8"/>
  <c r="K2" i="8" s="1"/>
  <c r="L2" i="8" s="1"/>
  <c r="M2" i="8" s="1"/>
  <c r="T2" i="8" s="1"/>
  <c r="J20" i="8"/>
  <c r="J27" i="8"/>
  <c r="K27" i="8" s="1"/>
  <c r="L27" i="8" s="1"/>
  <c r="M27" i="8" s="1"/>
  <c r="J28" i="8"/>
  <c r="J60" i="8"/>
  <c r="J80" i="8"/>
  <c r="K80" i="8" s="1"/>
  <c r="L80" i="8" s="1"/>
  <c r="M80" i="8" s="1"/>
  <c r="J101" i="8"/>
  <c r="K101" i="8" s="1"/>
  <c r="L101" i="8" s="1"/>
  <c r="M101" i="8" s="1"/>
  <c r="J89" i="8"/>
  <c r="K89" i="8" s="1"/>
  <c r="L89" i="8" s="1"/>
  <c r="M89" i="8" s="1"/>
  <c r="J75" i="8"/>
  <c r="K75" i="8" s="1"/>
  <c r="L75" i="8" s="1"/>
  <c r="M75" i="8" s="1"/>
  <c r="J4" i="8"/>
  <c r="K4" i="8" s="1"/>
  <c r="L4" i="8" s="1"/>
  <c r="M4" i="8" s="1"/>
  <c r="J36" i="8"/>
  <c r="K36" i="8" s="1"/>
  <c r="L36" i="8" s="1"/>
  <c r="J52" i="8"/>
  <c r="K52" i="8" s="1"/>
  <c r="L52" i="8" s="1"/>
  <c r="M52" i="8" s="1"/>
  <c r="J14" i="8"/>
  <c r="J58" i="8"/>
  <c r="K58" i="8" s="1"/>
  <c r="L58" i="8" s="1"/>
  <c r="M58" i="8" s="1"/>
  <c r="J19" i="8"/>
  <c r="K19" i="8" s="1"/>
  <c r="L19" i="8" s="1"/>
  <c r="M19" i="8" s="1"/>
  <c r="J62" i="8"/>
  <c r="K62" i="8" s="1"/>
  <c r="L62" i="8" s="1"/>
  <c r="M62" i="8" s="1"/>
  <c r="J24" i="8"/>
  <c r="J76" i="8"/>
  <c r="K76" i="8" s="1"/>
  <c r="L76" i="8" s="1"/>
  <c r="T76" i="8" s="1"/>
  <c r="J13" i="8"/>
  <c r="K13" i="8" s="1"/>
  <c r="L13" i="8" s="1"/>
  <c r="M13" i="8" s="1"/>
  <c r="J93" i="8"/>
  <c r="K93" i="8" s="1"/>
  <c r="L93" i="8" s="1"/>
  <c r="M93" i="8" s="1"/>
  <c r="J10" i="8"/>
  <c r="K10" i="8" s="1"/>
  <c r="L10" i="8" s="1"/>
  <c r="M10" i="8" s="1"/>
  <c r="J5" i="8"/>
  <c r="K5" i="8" s="1"/>
  <c r="L5" i="8" s="1"/>
  <c r="M5" i="8" s="1"/>
  <c r="J65" i="8"/>
  <c r="K65" i="8" s="1"/>
  <c r="L65" i="8" s="1"/>
  <c r="M65" i="8" s="1"/>
  <c r="J118" i="8"/>
  <c r="K118" i="8" s="1"/>
  <c r="J107" i="8"/>
  <c r="K107" i="8" s="1"/>
  <c r="L107" i="8" s="1"/>
  <c r="M107" i="8" s="1"/>
  <c r="J69" i="8"/>
  <c r="K69" i="8" s="1"/>
  <c r="L69" i="8" s="1"/>
  <c r="M69" i="8" s="1"/>
  <c r="J37" i="8"/>
  <c r="K37" i="8" s="1"/>
  <c r="L37" i="8" s="1"/>
  <c r="J38" i="8"/>
  <c r="K38" i="8" s="1"/>
  <c r="L38" i="8" s="1"/>
  <c r="M38" i="8" s="1"/>
  <c r="J85" i="8"/>
  <c r="K85" i="8" s="1"/>
  <c r="L85" i="8" s="1"/>
  <c r="M85" i="8" s="1"/>
  <c r="J115" i="8"/>
  <c r="K115" i="8" s="1"/>
  <c r="L115" i="8" s="1"/>
  <c r="M115" i="8" s="1"/>
  <c r="J25" i="8"/>
  <c r="J99" i="8"/>
  <c r="K99" i="8" s="1"/>
  <c r="L99" i="8" s="1"/>
  <c r="M99" i="8" s="1"/>
  <c r="J42" i="8"/>
  <c r="K42" i="8" s="1"/>
  <c r="L42" i="8" s="1"/>
  <c r="M42" i="8" s="1"/>
  <c r="J43" i="8"/>
  <c r="J95" i="8"/>
  <c r="J48" i="8"/>
  <c r="J51" i="8"/>
  <c r="K51" i="8" s="1"/>
  <c r="L51" i="8" s="1"/>
  <c r="M51" i="8" s="1"/>
  <c r="J35" i="8"/>
  <c r="J61" i="8"/>
  <c r="K61" i="8" s="1"/>
  <c r="L61" i="8" s="1"/>
  <c r="M61" i="8" s="1"/>
  <c r="J96" i="8"/>
  <c r="J73" i="8"/>
  <c r="K73" i="8" s="1"/>
  <c r="L73" i="8" s="1"/>
  <c r="M73" i="8" s="1"/>
  <c r="J34" i="8"/>
  <c r="K34" i="8" s="1"/>
  <c r="J111" i="8"/>
  <c r="K111" i="8" s="1"/>
  <c r="L111" i="8" s="1"/>
  <c r="M111" i="8" s="1"/>
  <c r="J82" i="8"/>
  <c r="K82" i="8" s="1"/>
  <c r="L82" i="8" s="1"/>
  <c r="M82" i="8" s="1"/>
  <c r="J44" i="8"/>
  <c r="K44" i="8" s="1"/>
  <c r="L44" i="8" s="1"/>
  <c r="M44" i="8" s="1"/>
  <c r="J49" i="8"/>
  <c r="K49" i="8" s="1"/>
  <c r="L49" i="8" s="1"/>
  <c r="M49" i="8" s="1"/>
  <c r="J70" i="8"/>
  <c r="K70" i="8" s="1"/>
  <c r="L70" i="8" s="1"/>
  <c r="M70" i="8" s="1"/>
  <c r="J105" i="8"/>
  <c r="K105" i="8" s="1"/>
  <c r="L105" i="8" s="1"/>
  <c r="M105" i="8" s="1"/>
  <c r="J102" i="8"/>
  <c r="J64" i="8"/>
  <c r="K64" i="8" s="1"/>
  <c r="L64" i="8" s="1"/>
  <c r="M64" i="8" s="1"/>
  <c r="J110" i="8"/>
  <c r="K110" i="8" s="1"/>
  <c r="L110" i="8" s="1"/>
  <c r="M110" i="8" s="1"/>
  <c r="M114" i="8" l="1"/>
  <c r="M36" i="8"/>
  <c r="M37" i="8"/>
  <c r="K35" i="8"/>
  <c r="O80" i="8"/>
  <c r="P80" i="8" s="1"/>
  <c r="J8" i="8"/>
  <c r="J103" i="8"/>
  <c r="J57" i="8"/>
  <c r="K57" i="8" s="1"/>
  <c r="L57" i="8" s="1"/>
  <c r="M57" i="8" s="1"/>
  <c r="N58" i="8" s="1"/>
  <c r="J11" i="8"/>
  <c r="K11" i="8" s="1"/>
  <c r="L11" i="8" s="1"/>
  <c r="M11" i="8" s="1"/>
  <c r="T11" i="8" s="1"/>
  <c r="J100" i="8"/>
  <c r="K100" i="8" s="1"/>
  <c r="L100" i="8" s="1"/>
  <c r="M100" i="8" s="1"/>
  <c r="T100" i="8" s="1"/>
  <c r="J109" i="8"/>
  <c r="K109" i="8" s="1"/>
  <c r="L109" i="8" s="1"/>
  <c r="M109" i="8" s="1"/>
  <c r="T109" i="8" s="1"/>
  <c r="J106" i="8"/>
  <c r="K106" i="8" s="1"/>
  <c r="L106" i="8" s="1"/>
  <c r="M106" i="8" s="1"/>
  <c r="N105" i="8" s="1"/>
  <c r="J113" i="8"/>
  <c r="K113" i="8" s="1"/>
  <c r="L113" i="8" s="1"/>
  <c r="M113" i="8" s="1"/>
  <c r="T113" i="8" s="1"/>
  <c r="J33" i="8"/>
  <c r="K33" i="8" s="1"/>
  <c r="L33" i="8" s="1"/>
  <c r="M33" i="8" s="1"/>
  <c r="T33" i="8" s="1"/>
  <c r="J78" i="8"/>
  <c r="K78" i="8" s="1"/>
  <c r="L78" i="8" s="1"/>
  <c r="M78" i="8" s="1"/>
  <c r="N77" i="8" s="1"/>
  <c r="O92" i="8"/>
  <c r="P92" i="8" s="1"/>
  <c r="Q92" i="8" s="1"/>
  <c r="R92" i="8" s="1"/>
  <c r="L35" i="8"/>
  <c r="M35" i="8" s="1"/>
  <c r="T35" i="8" s="1"/>
  <c r="O34" i="8"/>
  <c r="P34" i="8" s="1"/>
  <c r="Q34" i="8" s="1"/>
  <c r="R34" i="8" s="1"/>
  <c r="U34" i="8" s="1"/>
  <c r="K96" i="8"/>
  <c r="L96" i="8" s="1"/>
  <c r="M96" i="8" s="1"/>
  <c r="T96" i="8" s="1"/>
  <c r="Y96" i="8" s="1"/>
  <c r="K8" i="8"/>
  <c r="L8" i="8" s="1"/>
  <c r="M8" i="8" s="1"/>
  <c r="N7" i="8" s="1"/>
  <c r="K95" i="8"/>
  <c r="L95" i="8" s="1"/>
  <c r="M95" i="8" s="1"/>
  <c r="N94" i="8" s="1"/>
  <c r="K24" i="8"/>
  <c r="L24" i="8" s="1"/>
  <c r="M24" i="8" s="1"/>
  <c r="T24" i="8" s="1"/>
  <c r="K15" i="8"/>
  <c r="L15" i="8" s="1"/>
  <c r="M15" i="8" s="1"/>
  <c r="N16" i="8" s="1"/>
  <c r="O21" i="8"/>
  <c r="P21" i="8" s="1"/>
  <c r="Q21" i="8" s="1"/>
  <c r="K20" i="8"/>
  <c r="L20" i="8" s="1"/>
  <c r="M20" i="8" s="1"/>
  <c r="T20" i="8" s="1"/>
  <c r="Q80" i="8"/>
  <c r="R80" i="8" s="1"/>
  <c r="U80" i="8" s="1"/>
  <c r="O68" i="8"/>
  <c r="P68" i="8" s="1"/>
  <c r="Q68" i="8" s="1"/>
  <c r="R68" i="8" s="1"/>
  <c r="U68" i="8" s="1"/>
  <c r="K103" i="8"/>
  <c r="L103" i="8" s="1"/>
  <c r="M103" i="8" s="1"/>
  <c r="N104" i="8" s="1"/>
  <c r="K112" i="8"/>
  <c r="L112" i="8" s="1"/>
  <c r="M112" i="8" s="1"/>
  <c r="N111" i="8" s="1"/>
  <c r="O103" i="8"/>
  <c r="P103" i="8" s="1"/>
  <c r="Q103" i="8" s="1"/>
  <c r="R103" i="8" s="1"/>
  <c r="U103" i="8" s="1"/>
  <c r="O107" i="8"/>
  <c r="P107" i="8" s="1"/>
  <c r="Q107" i="8" s="1"/>
  <c r="R107" i="8" s="1"/>
  <c r="U107" i="8" s="1"/>
  <c r="O8" i="8"/>
  <c r="P8" i="8" s="1"/>
  <c r="Q8" i="8" s="1"/>
  <c r="R8" i="8" s="1"/>
  <c r="U8" i="8" s="1"/>
  <c r="O26" i="8"/>
  <c r="P26" i="8" s="1"/>
  <c r="Q26" i="8" s="1"/>
  <c r="R26" i="8" s="1"/>
  <c r="U26" i="8" s="1"/>
  <c r="O13" i="8"/>
  <c r="P13" i="8" s="1"/>
  <c r="Q13" i="8" s="1"/>
  <c r="R13" i="8" s="1"/>
  <c r="U13" i="8" s="1"/>
  <c r="O36" i="8"/>
  <c r="P36" i="8" s="1"/>
  <c r="Q36" i="8" s="1"/>
  <c r="R36" i="8" s="1"/>
  <c r="O87" i="8"/>
  <c r="P87" i="8" s="1"/>
  <c r="Q87" i="8" s="1"/>
  <c r="R87" i="8" s="1"/>
  <c r="O31" i="8"/>
  <c r="P31" i="8" s="1"/>
  <c r="Q31" i="8" s="1"/>
  <c r="R31" i="8" s="1"/>
  <c r="U31" i="8" s="1"/>
  <c r="O106" i="8"/>
  <c r="P106" i="8" s="1"/>
  <c r="Q106" i="8" s="1"/>
  <c r="O54" i="8"/>
  <c r="P54" i="8" s="1"/>
  <c r="Q54" i="8" s="1"/>
  <c r="R54" i="8" s="1"/>
  <c r="U54" i="8" s="1"/>
  <c r="O27" i="8"/>
  <c r="P27" i="8" s="1"/>
  <c r="Q27" i="8" s="1"/>
  <c r="R27" i="8" s="1"/>
  <c r="U27" i="8" s="1"/>
  <c r="O42" i="8"/>
  <c r="P42" i="8" s="1"/>
  <c r="Q42" i="8" s="1"/>
  <c r="R42" i="8" s="1"/>
  <c r="U42" i="8" s="1"/>
  <c r="O81" i="8"/>
  <c r="P81" i="8" s="1"/>
  <c r="Q81" i="8" s="1"/>
  <c r="R81" i="8" s="1"/>
  <c r="U81" i="8" s="1"/>
  <c r="O95" i="8"/>
  <c r="P95" i="8" s="1"/>
  <c r="Q95" i="8" s="1"/>
  <c r="R95" i="8" s="1"/>
  <c r="U95" i="8" s="1"/>
  <c r="O71" i="8"/>
  <c r="P71" i="8" s="1"/>
  <c r="Q71" i="8" s="1"/>
  <c r="R71" i="8" s="1"/>
  <c r="K86" i="8"/>
  <c r="L86" i="8" s="1"/>
  <c r="M86" i="8" s="1"/>
  <c r="N87" i="8" s="1"/>
  <c r="O113" i="8"/>
  <c r="P113" i="8" s="1"/>
  <c r="Q113" i="8" s="1"/>
  <c r="O62" i="8"/>
  <c r="P62" i="8" s="1"/>
  <c r="Q62" i="8" s="1"/>
  <c r="R62" i="8" s="1"/>
  <c r="S61" i="8" s="1"/>
  <c r="O70" i="8"/>
  <c r="P70" i="8" s="1"/>
  <c r="Q70" i="8" s="1"/>
  <c r="R70" i="8" s="1"/>
  <c r="U70" i="8" s="1"/>
  <c r="O78" i="8"/>
  <c r="P78" i="8" s="1"/>
  <c r="Q78" i="8" s="1"/>
  <c r="O2" i="8"/>
  <c r="P2" i="8" s="1"/>
  <c r="Q2" i="8" s="1"/>
  <c r="R2" i="8" s="1"/>
  <c r="U2" i="8" s="1"/>
  <c r="Y2" i="8" s="1"/>
  <c r="O84" i="8"/>
  <c r="P84" i="8" s="1"/>
  <c r="Q84" i="8" s="1"/>
  <c r="R84" i="8" s="1"/>
  <c r="O72" i="8"/>
  <c r="P72" i="8" s="1"/>
  <c r="Q72" i="8" s="1"/>
  <c r="R72" i="8" s="1"/>
  <c r="O32" i="8"/>
  <c r="P32" i="8" s="1"/>
  <c r="Q32" i="8" s="1"/>
  <c r="R32" i="8" s="1"/>
  <c r="U32" i="8" s="1"/>
  <c r="O9" i="8"/>
  <c r="P9" i="8" s="1"/>
  <c r="Q9" i="8" s="1"/>
  <c r="R9" i="8" s="1"/>
  <c r="U9" i="8" s="1"/>
  <c r="O117" i="8"/>
  <c r="P117" i="8" s="1"/>
  <c r="Q117" i="8" s="1"/>
  <c r="R117" i="8" s="1"/>
  <c r="U117" i="8" s="1"/>
  <c r="O20" i="8"/>
  <c r="P20" i="8" s="1"/>
  <c r="Q20" i="8" s="1"/>
  <c r="R20" i="8" s="1"/>
  <c r="U20" i="8" s="1"/>
  <c r="K43" i="8"/>
  <c r="L43" i="8" s="1"/>
  <c r="M43" i="8" s="1"/>
  <c r="N42" i="8" s="1"/>
  <c r="K18" i="8"/>
  <c r="L18" i="8" s="1"/>
  <c r="M18" i="8" s="1"/>
  <c r="T18" i="8" s="1"/>
  <c r="X18" i="8" s="1"/>
  <c r="L71" i="8"/>
  <c r="M71" i="8" s="1"/>
  <c r="T71" i="8" s="1"/>
  <c r="K102" i="8"/>
  <c r="L102" i="8" s="1"/>
  <c r="M102" i="8" s="1"/>
  <c r="K25" i="8"/>
  <c r="L25" i="8" s="1"/>
  <c r="M25" i="8" s="1"/>
  <c r="K14" i="8"/>
  <c r="L14" i="8" s="1"/>
  <c r="M14" i="8" s="1"/>
  <c r="K98" i="8"/>
  <c r="L98" i="8" s="1"/>
  <c r="M98" i="8" s="1"/>
  <c r="N98" i="8" s="1"/>
  <c r="O88" i="8"/>
  <c r="P88" i="8" s="1"/>
  <c r="Q88" i="8" s="1"/>
  <c r="R88" i="8" s="1"/>
  <c r="U88" i="8" s="1"/>
  <c r="O110" i="8"/>
  <c r="P110" i="8" s="1"/>
  <c r="Q110" i="8" s="1"/>
  <c r="R110" i="8" s="1"/>
  <c r="O93" i="8"/>
  <c r="P93" i="8" s="1"/>
  <c r="Q93" i="8" s="1"/>
  <c r="R93" i="8" s="1"/>
  <c r="U93" i="8" s="1"/>
  <c r="O28" i="8"/>
  <c r="P28" i="8" s="1"/>
  <c r="Q28" i="8" s="1"/>
  <c r="R28" i="8" s="1"/>
  <c r="U28" i="8" s="1"/>
  <c r="O69" i="8"/>
  <c r="P69" i="8" s="1"/>
  <c r="Q69" i="8" s="1"/>
  <c r="R69" i="8" s="1"/>
  <c r="O18" i="8"/>
  <c r="P18" i="8" s="1"/>
  <c r="Q18" i="8" s="1"/>
  <c r="R18" i="8" s="1"/>
  <c r="S17" i="8" s="1"/>
  <c r="O94" i="8"/>
  <c r="P94" i="8" s="1"/>
  <c r="Q94" i="8" s="1"/>
  <c r="R94" i="8" s="1"/>
  <c r="U94" i="8" s="1"/>
  <c r="O25" i="8"/>
  <c r="P25" i="8" s="1"/>
  <c r="Q25" i="8" s="1"/>
  <c r="R25" i="8" s="1"/>
  <c r="L118" i="8"/>
  <c r="M118" i="8" s="1"/>
  <c r="T118" i="8" s="1"/>
  <c r="O4" i="8"/>
  <c r="P4" i="8" s="1"/>
  <c r="Q4" i="8" s="1"/>
  <c r="R4" i="8" s="1"/>
  <c r="O79" i="8"/>
  <c r="P79" i="8" s="1"/>
  <c r="Q79" i="8" s="1"/>
  <c r="R79" i="8" s="1"/>
  <c r="O75" i="8"/>
  <c r="P75" i="8" s="1"/>
  <c r="Q75" i="8" s="1"/>
  <c r="R75" i="8" s="1"/>
  <c r="K60" i="8"/>
  <c r="L60" i="8" s="1"/>
  <c r="M60" i="8" s="1"/>
  <c r="N61" i="8" s="1"/>
  <c r="K31" i="8"/>
  <c r="L31" i="8" s="1"/>
  <c r="M31" i="8" s="1"/>
  <c r="K55" i="8"/>
  <c r="L55" i="8" s="1"/>
  <c r="M55" i="8" s="1"/>
  <c r="T55" i="8" s="1"/>
  <c r="O114" i="8"/>
  <c r="P114" i="8" s="1"/>
  <c r="Q114" i="8" s="1"/>
  <c r="R114" i="8" s="1"/>
  <c r="O82" i="8"/>
  <c r="P82" i="8" s="1"/>
  <c r="Q82" i="8" s="1"/>
  <c r="R82" i="8" s="1"/>
  <c r="O30" i="8"/>
  <c r="P30" i="8" s="1"/>
  <c r="Q30" i="8" s="1"/>
  <c r="R30" i="8" s="1"/>
  <c r="U30" i="8" s="1"/>
  <c r="O63" i="8"/>
  <c r="P63" i="8" s="1"/>
  <c r="Q63" i="8" s="1"/>
  <c r="R63" i="8" s="1"/>
  <c r="S64" i="8" s="1"/>
  <c r="O37" i="8"/>
  <c r="P37" i="8" s="1"/>
  <c r="Q37" i="8" s="1"/>
  <c r="R37" i="8" s="1"/>
  <c r="O15" i="8"/>
  <c r="P15" i="8" s="1"/>
  <c r="Q15" i="8" s="1"/>
  <c r="R15" i="8" s="1"/>
  <c r="U15" i="8" s="1"/>
  <c r="O112" i="8"/>
  <c r="P112" i="8" s="1"/>
  <c r="Q112" i="8" s="1"/>
  <c r="R112" i="8" s="1"/>
  <c r="O111" i="8"/>
  <c r="P111" i="8" s="1"/>
  <c r="Q111" i="8" s="1"/>
  <c r="R111" i="8" s="1"/>
  <c r="U111" i="8" s="1"/>
  <c r="O97" i="8"/>
  <c r="P97" i="8" s="1"/>
  <c r="Q97" i="8" s="1"/>
  <c r="R97" i="8" s="1"/>
  <c r="U97" i="8" s="1"/>
  <c r="L34" i="8"/>
  <c r="M34" i="8" s="1"/>
  <c r="O6" i="8"/>
  <c r="P6" i="8" s="1"/>
  <c r="Q6" i="8" s="1"/>
  <c r="R6" i="8" s="1"/>
  <c r="O100" i="8"/>
  <c r="P100" i="8" s="1"/>
  <c r="Q100" i="8" s="1"/>
  <c r="R100" i="8" s="1"/>
  <c r="K28" i="8"/>
  <c r="L28" i="8" s="1"/>
  <c r="M28" i="8" s="1"/>
  <c r="N29" i="8" s="1"/>
  <c r="K9" i="8"/>
  <c r="L9" i="8" s="1"/>
  <c r="M9" i="8" s="1"/>
  <c r="K22" i="8"/>
  <c r="L22" i="8" s="1"/>
  <c r="M22" i="8" s="1"/>
  <c r="O101" i="8"/>
  <c r="P101" i="8" s="1"/>
  <c r="Q101" i="8" s="1"/>
  <c r="R101" i="8" s="1"/>
  <c r="U101" i="8" s="1"/>
  <c r="O105" i="8"/>
  <c r="P105" i="8" s="1"/>
  <c r="Q105" i="8" s="1"/>
  <c r="R105" i="8" s="1"/>
  <c r="O67" i="8"/>
  <c r="P67" i="8" s="1"/>
  <c r="Q67" i="8" s="1"/>
  <c r="R67" i="8" s="1"/>
  <c r="S66" i="8" s="1"/>
  <c r="O99" i="8"/>
  <c r="P99" i="8" s="1"/>
  <c r="Q99" i="8" s="1"/>
  <c r="R99" i="8" s="1"/>
  <c r="Q23" i="8"/>
  <c r="R23" i="8" s="1"/>
  <c r="Q19" i="8"/>
  <c r="R19" i="8" s="1"/>
  <c r="O53" i="8"/>
  <c r="P53" i="8" s="1"/>
  <c r="Q53" i="8" s="1"/>
  <c r="R53" i="8" s="1"/>
  <c r="O83" i="8"/>
  <c r="P83" i="8" s="1"/>
  <c r="Q83" i="8" s="1"/>
  <c r="R83" i="8" s="1"/>
  <c r="U83" i="8" s="1"/>
  <c r="O98" i="8"/>
  <c r="P98" i="8" s="1"/>
  <c r="Q98" i="8" s="1"/>
  <c r="R98" i="8" s="1"/>
  <c r="U98" i="8" s="1"/>
  <c r="O55" i="8"/>
  <c r="P55" i="8" s="1"/>
  <c r="Q55" i="8" s="1"/>
  <c r="R55" i="8" s="1"/>
  <c r="U55" i="8" s="1"/>
  <c r="O10" i="8"/>
  <c r="P10" i="8" s="1"/>
  <c r="Q10" i="8" s="1"/>
  <c r="R10" i="8" s="1"/>
  <c r="U10" i="8" s="1"/>
  <c r="O116" i="8"/>
  <c r="P116" i="8" s="1"/>
  <c r="Q116" i="8" s="1"/>
  <c r="R116" i="8" s="1"/>
  <c r="U116" i="8" s="1"/>
  <c r="K48" i="8"/>
  <c r="L48" i="8" s="1"/>
  <c r="M48" i="8" s="1"/>
  <c r="N47" i="8" s="1"/>
  <c r="K84" i="8"/>
  <c r="L84" i="8" s="1"/>
  <c r="M84" i="8" s="1"/>
  <c r="K91" i="8"/>
  <c r="L91" i="8" s="1"/>
  <c r="M91" i="8" s="1"/>
  <c r="N91" i="8" s="1"/>
  <c r="O58" i="8"/>
  <c r="P58" i="8" s="1"/>
  <c r="Q58" i="8" s="1"/>
  <c r="R58" i="8" s="1"/>
  <c r="U58" i="8" s="1"/>
  <c r="O85" i="8"/>
  <c r="P85" i="8" s="1"/>
  <c r="Q85" i="8" s="1"/>
  <c r="R85" i="8" s="1"/>
  <c r="O77" i="8"/>
  <c r="P77" i="8" s="1"/>
  <c r="Q77" i="8" s="1"/>
  <c r="R77" i="8" s="1"/>
  <c r="U77" i="8" s="1"/>
  <c r="O24" i="8"/>
  <c r="P24" i="8" s="1"/>
  <c r="Q24" i="8" s="1"/>
  <c r="R24" i="8" s="1"/>
  <c r="U24" i="8" s="1"/>
  <c r="O7" i="8"/>
  <c r="P7" i="8" s="1"/>
  <c r="Q7" i="8" s="1"/>
  <c r="R7" i="8" s="1"/>
  <c r="U7" i="8" s="1"/>
  <c r="O118" i="8"/>
  <c r="P118" i="8" s="1"/>
  <c r="Q118" i="8" s="1"/>
  <c r="R118" i="8" s="1"/>
  <c r="U118" i="8" s="1"/>
  <c r="O115" i="8"/>
  <c r="P115" i="8" s="1"/>
  <c r="Q115" i="8" s="1"/>
  <c r="R115" i="8" s="1"/>
  <c r="O22" i="8"/>
  <c r="P22" i="8" s="1"/>
  <c r="Q22" i="8" s="1"/>
  <c r="R22" i="8" s="1"/>
  <c r="U22" i="8" s="1"/>
  <c r="R14" i="8"/>
  <c r="U14" i="8" s="1"/>
  <c r="R12" i="8"/>
  <c r="U12" i="8" s="1"/>
  <c r="R48" i="8"/>
  <c r="U48" i="8" s="1"/>
  <c r="R38" i="8"/>
  <c r="U38" i="8" s="1"/>
  <c r="R51" i="8"/>
  <c r="U51" i="8" s="1"/>
  <c r="R43" i="8"/>
  <c r="U43" i="8" s="1"/>
  <c r="R44" i="8"/>
  <c r="U44" i="8" s="1"/>
  <c r="R46" i="8"/>
  <c r="U46" i="8" s="1"/>
  <c r="R11" i="8"/>
  <c r="U11" i="8" s="1"/>
  <c r="R21" i="8"/>
  <c r="U21" i="8" s="1"/>
  <c r="D63" i="13"/>
  <c r="F62" i="13" s="1"/>
  <c r="R3" i="8"/>
  <c r="U3" i="8" s="1"/>
  <c r="S40" i="8"/>
  <c r="R108" i="8"/>
  <c r="U108" i="8" s="1"/>
  <c r="N2" i="8"/>
  <c r="R102" i="8"/>
  <c r="R35" i="8"/>
  <c r="U35" i="8" s="1"/>
  <c r="T70" i="8"/>
  <c r="T85" i="8"/>
  <c r="T36" i="8"/>
  <c r="T23" i="8"/>
  <c r="T117" i="8"/>
  <c r="T53" i="8"/>
  <c r="N53" i="8"/>
  <c r="T106" i="8"/>
  <c r="R91" i="8"/>
  <c r="T92" i="8"/>
  <c r="T21" i="8"/>
  <c r="T62" i="8"/>
  <c r="N62" i="8"/>
  <c r="T88" i="8"/>
  <c r="N88" i="8"/>
  <c r="T67" i="8"/>
  <c r="X67" i="8" s="1"/>
  <c r="N67" i="8"/>
  <c r="T64" i="8"/>
  <c r="Y64" i="8" s="1"/>
  <c r="N64" i="8"/>
  <c r="T99" i="8"/>
  <c r="T58" i="8"/>
  <c r="X58" i="8" s="1"/>
  <c r="T83" i="8"/>
  <c r="T63" i="8"/>
  <c r="N63" i="8"/>
  <c r="R109" i="8"/>
  <c r="S60" i="8"/>
  <c r="T39" i="8"/>
  <c r="N39" i="8"/>
  <c r="T66" i="8"/>
  <c r="X66" i="8" s="1"/>
  <c r="N66" i="8"/>
  <c r="T110" i="8"/>
  <c r="T42" i="8"/>
  <c r="X42" i="8" s="1"/>
  <c r="T19" i="8"/>
  <c r="T26" i="8"/>
  <c r="T79" i="8"/>
  <c r="T30" i="8"/>
  <c r="T44" i="8"/>
  <c r="T37" i="8"/>
  <c r="N37" i="8"/>
  <c r="T75" i="8"/>
  <c r="X75" i="8" s="1"/>
  <c r="N75" i="8"/>
  <c r="N76" i="8"/>
  <c r="T29" i="8"/>
  <c r="T41" i="8"/>
  <c r="Y41" i="8" s="1"/>
  <c r="N41" i="8"/>
  <c r="T6" i="8"/>
  <c r="X6" i="8" s="1"/>
  <c r="N6" i="8"/>
  <c r="S65" i="8"/>
  <c r="T82" i="8"/>
  <c r="N82" i="8"/>
  <c r="T69" i="8"/>
  <c r="N69" i="8"/>
  <c r="T89" i="8"/>
  <c r="N89" i="8"/>
  <c r="T68" i="8"/>
  <c r="N68" i="8"/>
  <c r="T116" i="8"/>
  <c r="N116" i="8"/>
  <c r="T81" i="8"/>
  <c r="N81" i="8"/>
  <c r="T32" i="8"/>
  <c r="T46" i="8"/>
  <c r="N46" i="8"/>
  <c r="T7" i="8"/>
  <c r="R45" i="8"/>
  <c r="R76" i="8"/>
  <c r="T111" i="8"/>
  <c r="T107" i="8"/>
  <c r="N107" i="8"/>
  <c r="T101" i="8"/>
  <c r="T90" i="8"/>
  <c r="V89" i="8" s="1"/>
  <c r="T80" i="8"/>
  <c r="N80" i="8"/>
  <c r="T59" i="8"/>
  <c r="Y59" i="8" s="1"/>
  <c r="T54" i="8"/>
  <c r="T49" i="8"/>
  <c r="T38" i="8"/>
  <c r="N38" i="8"/>
  <c r="T4" i="8"/>
  <c r="N4" i="8"/>
  <c r="T72" i="8"/>
  <c r="T17" i="8"/>
  <c r="T16" i="8"/>
  <c r="T108" i="8"/>
  <c r="R104" i="8"/>
  <c r="T61" i="8"/>
  <c r="X61" i="8" s="1"/>
  <c r="T10" i="8"/>
  <c r="T27" i="8"/>
  <c r="T47" i="8"/>
  <c r="T74" i="8"/>
  <c r="N74" i="8"/>
  <c r="R49" i="8"/>
  <c r="R52" i="8"/>
  <c r="T105" i="8"/>
  <c r="T115" i="8"/>
  <c r="N115" i="8"/>
  <c r="T52" i="8"/>
  <c r="N52" i="8"/>
  <c r="T77" i="8"/>
  <c r="T45" i="8"/>
  <c r="N45" i="8"/>
  <c r="T114" i="8"/>
  <c r="T73" i="8"/>
  <c r="Y73" i="8" s="1"/>
  <c r="N73" i="8"/>
  <c r="T65" i="8"/>
  <c r="N65" i="8"/>
  <c r="T97" i="8"/>
  <c r="V96" i="8" s="1"/>
  <c r="T93" i="8"/>
  <c r="N93" i="8"/>
  <c r="T94" i="8"/>
  <c r="T103" i="8"/>
  <c r="T3" i="8"/>
  <c r="N3" i="8"/>
  <c r="T12" i="8"/>
  <c r="T5" i="8"/>
  <c r="N5" i="8"/>
  <c r="T104" i="8"/>
  <c r="T87" i="8"/>
  <c r="T56" i="8"/>
  <c r="T51" i="8"/>
  <c r="N51" i="8"/>
  <c r="T13" i="8"/>
  <c r="T50" i="8"/>
  <c r="N50" i="8"/>
  <c r="T40" i="8"/>
  <c r="V39" i="8" s="1"/>
  <c r="N40" i="8"/>
  <c r="R86" i="8"/>
  <c r="X1" i="8"/>
  <c r="Q1" i="8"/>
  <c r="R1" i="8" s="1"/>
  <c r="U1" i="8" s="1"/>
  <c r="N110" i="8" l="1"/>
  <c r="R78" i="8"/>
  <c r="R33" i="8"/>
  <c r="N108" i="8"/>
  <c r="N109" i="8"/>
  <c r="T8" i="8"/>
  <c r="N36" i="8"/>
  <c r="R106" i="8"/>
  <c r="U106" i="8" s="1"/>
  <c r="X107" i="8" s="1"/>
  <c r="N95" i="8"/>
  <c r="T95" i="8"/>
  <c r="Y95" i="8" s="1"/>
  <c r="N33" i="8"/>
  <c r="N106" i="8"/>
  <c r="N96" i="8"/>
  <c r="N57" i="8"/>
  <c r="T57" i="8"/>
  <c r="X57" i="8" s="1"/>
  <c r="R113" i="8"/>
  <c r="S114" i="8" s="1"/>
  <c r="N12" i="8"/>
  <c r="N100" i="8"/>
  <c r="N11" i="8"/>
  <c r="T112" i="8"/>
  <c r="V111" i="8" s="1"/>
  <c r="N32" i="8"/>
  <c r="X104" i="8"/>
  <c r="N20" i="8"/>
  <c r="N10" i="8"/>
  <c r="N103" i="8"/>
  <c r="X82" i="8"/>
  <c r="N85" i="8"/>
  <c r="N86" i="8"/>
  <c r="T86" i="8"/>
  <c r="X10" i="8"/>
  <c r="N25" i="8"/>
  <c r="N43" i="8"/>
  <c r="T102" i="8"/>
  <c r="V101" i="8" s="1"/>
  <c r="N102" i="8"/>
  <c r="T43" i="8"/>
  <c r="Y43" i="8" s="1"/>
  <c r="N15" i="8"/>
  <c r="N44" i="8"/>
  <c r="N101" i="8"/>
  <c r="N71" i="8"/>
  <c r="N23" i="8"/>
  <c r="N19" i="8"/>
  <c r="N72" i="8"/>
  <c r="T15" i="8"/>
  <c r="Y15" i="8" s="1"/>
  <c r="N70" i="8"/>
  <c r="N17" i="8"/>
  <c r="N18" i="8"/>
  <c r="T25" i="8"/>
  <c r="V24" i="8" s="1"/>
  <c r="N14" i="8"/>
  <c r="N26" i="8"/>
  <c r="N24" i="8"/>
  <c r="V55" i="8"/>
  <c r="N112" i="8"/>
  <c r="N13" i="8"/>
  <c r="N99" i="8"/>
  <c r="T98" i="8"/>
  <c r="X98" i="8" s="1"/>
  <c r="S28" i="8"/>
  <c r="N78" i="8"/>
  <c r="N114" i="8"/>
  <c r="T14" i="8"/>
  <c r="X14" i="8" s="1"/>
  <c r="T78" i="8"/>
  <c r="V77" i="8" s="1"/>
  <c r="N97" i="8"/>
  <c r="X29" i="8"/>
  <c r="N113" i="8"/>
  <c r="N35" i="8"/>
  <c r="S56" i="8"/>
  <c r="N56" i="8"/>
  <c r="N21" i="8"/>
  <c r="N49" i="8"/>
  <c r="N83" i="8"/>
  <c r="T91" i="8"/>
  <c r="X91" i="8" s="1"/>
  <c r="N27" i="8"/>
  <c r="T84" i="8"/>
  <c r="X84" i="8" s="1"/>
  <c r="T48" i="8"/>
  <c r="X48" i="8" s="1"/>
  <c r="N48" i="8"/>
  <c r="T28" i="8"/>
  <c r="V27" i="8" s="1"/>
  <c r="Y77" i="8"/>
  <c r="T22" i="8"/>
  <c r="Y22" i="8" s="1"/>
  <c r="N92" i="8"/>
  <c r="Y118" i="8"/>
  <c r="N117" i="8"/>
  <c r="N22" i="8"/>
  <c r="N90" i="8"/>
  <c r="N84" i="8"/>
  <c r="N79" i="8"/>
  <c r="N54" i="8"/>
  <c r="N31" i="8"/>
  <c r="N59" i="8"/>
  <c r="S58" i="8"/>
  <c r="N28" i="8"/>
  <c r="T9" i="8"/>
  <c r="V8" i="8" s="1"/>
  <c r="S59" i="8"/>
  <c r="N8" i="8"/>
  <c r="N30" i="8"/>
  <c r="N9" i="8"/>
  <c r="N34" i="8"/>
  <c r="N55" i="8"/>
  <c r="T34" i="8"/>
  <c r="Y34" i="8" s="1"/>
  <c r="V10" i="8"/>
  <c r="N118" i="8"/>
  <c r="X99" i="8"/>
  <c r="T31" i="8"/>
  <c r="X31" i="8" s="1"/>
  <c r="N60" i="8"/>
  <c r="S57" i="8"/>
  <c r="T60" i="8"/>
  <c r="X60" i="8" s="1"/>
  <c r="S81" i="8"/>
  <c r="S39" i="8"/>
  <c r="V12" i="8"/>
  <c r="S9" i="8"/>
  <c r="P61" i="13"/>
  <c r="O62" i="13"/>
  <c r="S7" i="8"/>
  <c r="S8" i="8"/>
  <c r="X69" i="8"/>
  <c r="Y80" i="8"/>
  <c r="S30" i="8"/>
  <c r="X39" i="8"/>
  <c r="X81" i="8"/>
  <c r="S41" i="8"/>
  <c r="X32" i="8"/>
  <c r="S55" i="8"/>
  <c r="S29" i="8"/>
  <c r="V34" i="8"/>
  <c r="V88" i="8"/>
  <c r="S13" i="8"/>
  <c r="S27" i="8"/>
  <c r="X27" i="8"/>
  <c r="S42" i="8"/>
  <c r="S47" i="8"/>
  <c r="S3" i="8"/>
  <c r="S10" i="8"/>
  <c r="S14" i="8"/>
  <c r="S22" i="8"/>
  <c r="S12" i="8"/>
  <c r="Y88" i="8"/>
  <c r="Y38" i="8"/>
  <c r="S48" i="8"/>
  <c r="S15" i="8"/>
  <c r="S89" i="8"/>
  <c r="S118" i="8"/>
  <c r="S11" i="8"/>
  <c r="S43" i="8"/>
  <c r="S16" i="8"/>
  <c r="V43" i="8"/>
  <c r="Y24" i="8"/>
  <c r="X4" i="8"/>
  <c r="Y3" i="8"/>
  <c r="S117" i="8"/>
  <c r="X109" i="8"/>
  <c r="S70" i="8"/>
  <c r="Y83" i="8"/>
  <c r="S116" i="8"/>
  <c r="X71" i="8"/>
  <c r="Y70" i="8"/>
  <c r="S21" i="8"/>
  <c r="X108" i="8"/>
  <c r="S98" i="8"/>
  <c r="S97" i="8"/>
  <c r="S93" i="8"/>
  <c r="S31" i="8"/>
  <c r="Y107" i="8"/>
  <c r="Y29" i="8"/>
  <c r="Y93" i="8"/>
  <c r="S103" i="8"/>
  <c r="S32" i="8"/>
  <c r="V57" i="8"/>
  <c r="S77" i="8"/>
  <c r="V74" i="8"/>
  <c r="Y61" i="8"/>
  <c r="V3" i="8"/>
  <c r="S34" i="8"/>
  <c r="Y27" i="8"/>
  <c r="Y10" i="8"/>
  <c r="V5" i="8"/>
  <c r="S94" i="8"/>
  <c r="Y32" i="8"/>
  <c r="Y81" i="8"/>
  <c r="V103" i="8"/>
  <c r="S95" i="8"/>
  <c r="V38" i="8"/>
  <c r="V9" i="8"/>
  <c r="V41" i="8"/>
  <c r="V80" i="8"/>
  <c r="U102" i="8"/>
  <c r="S102" i="8"/>
  <c r="S96" i="8"/>
  <c r="V28" i="8"/>
  <c r="S107" i="8"/>
  <c r="S106" i="8"/>
  <c r="Y101" i="8"/>
  <c r="U91" i="8"/>
  <c r="X92" i="8" s="1"/>
  <c r="S91" i="8"/>
  <c r="U45" i="8"/>
  <c r="S45" i="8"/>
  <c r="S46" i="8"/>
  <c r="X90" i="8"/>
  <c r="Y90" i="8"/>
  <c r="V2" i="8"/>
  <c r="X8" i="8"/>
  <c r="V7" i="8"/>
  <c r="X97" i="8"/>
  <c r="Y97" i="8"/>
  <c r="S2" i="8"/>
  <c r="U6" i="8"/>
  <c r="X7" i="8" s="1"/>
  <c r="S6" i="8"/>
  <c r="U112" i="8"/>
  <c r="X113" i="8" s="1"/>
  <c r="X62" i="8"/>
  <c r="V61" i="8"/>
  <c r="U105" i="8"/>
  <c r="X106" i="8" s="1"/>
  <c r="S105" i="8"/>
  <c r="U52" i="8"/>
  <c r="X53" i="8" s="1"/>
  <c r="S52" i="8"/>
  <c r="S51" i="8"/>
  <c r="Y8" i="8"/>
  <c r="U87" i="8"/>
  <c r="S87" i="8"/>
  <c r="U82" i="8"/>
  <c r="X83" i="8" s="1"/>
  <c r="S82" i="8"/>
  <c r="X112" i="8"/>
  <c r="U49" i="8"/>
  <c r="X50" i="8" s="1"/>
  <c r="S49" i="8"/>
  <c r="S50" i="8"/>
  <c r="X16" i="8"/>
  <c r="Y16" i="8"/>
  <c r="X74" i="8"/>
  <c r="V73" i="8"/>
  <c r="Y74" i="8"/>
  <c r="S83" i="8"/>
  <c r="X23" i="8"/>
  <c r="V22" i="8"/>
  <c r="V65" i="8"/>
  <c r="X12" i="8"/>
  <c r="V11" i="8"/>
  <c r="V16" i="8"/>
  <c r="X17" i="8"/>
  <c r="V108" i="8"/>
  <c r="Y21" i="8"/>
  <c r="X21" i="8"/>
  <c r="V20" i="8"/>
  <c r="V107" i="8"/>
  <c r="V98" i="8"/>
  <c r="V35" i="8"/>
  <c r="X36" i="8"/>
  <c r="V26" i="8"/>
  <c r="U36" i="8"/>
  <c r="X37" i="8" s="1"/>
  <c r="S36" i="8"/>
  <c r="X94" i="8"/>
  <c r="Y94" i="8"/>
  <c r="V81" i="8"/>
  <c r="X3" i="8"/>
  <c r="U99" i="8"/>
  <c r="S99" i="8"/>
  <c r="Y46" i="8"/>
  <c r="V54" i="8"/>
  <c r="X55" i="8"/>
  <c r="Y39" i="8"/>
  <c r="V68" i="8"/>
  <c r="U78" i="8"/>
  <c r="X79" i="8" s="1"/>
  <c r="S78" i="8"/>
  <c r="V117" i="8"/>
  <c r="X118" i="8"/>
  <c r="Y117" i="8"/>
  <c r="X117" i="8"/>
  <c r="V116" i="8"/>
  <c r="V66" i="8"/>
  <c r="X40" i="8"/>
  <c r="Y40" i="8"/>
  <c r="S44" i="8"/>
  <c r="X33" i="8"/>
  <c r="V32" i="8"/>
  <c r="V15" i="8"/>
  <c r="Y58" i="8"/>
  <c r="Y26" i="8"/>
  <c r="X47" i="8"/>
  <c r="V46" i="8"/>
  <c r="Y47" i="8"/>
  <c r="U69" i="8"/>
  <c r="X70" i="8" s="1"/>
  <c r="S69" i="8"/>
  <c r="S88" i="8"/>
  <c r="V31" i="8"/>
  <c r="U37" i="8"/>
  <c r="X38" i="8" s="1"/>
  <c r="S37" i="8"/>
  <c r="S38" i="8"/>
  <c r="X41" i="8"/>
  <c r="Z41" i="8" s="1"/>
  <c r="AC41" i="8" s="1"/>
  <c r="V40" i="8"/>
  <c r="Y50" i="8"/>
  <c r="Y108" i="8"/>
  <c r="Y55" i="8"/>
  <c r="X49" i="8"/>
  <c r="V48" i="8"/>
  <c r="U4" i="8"/>
  <c r="X5" i="8" s="1"/>
  <c r="S5" i="8"/>
  <c r="S4" i="8"/>
  <c r="Y103" i="8"/>
  <c r="S35" i="8"/>
  <c r="U23" i="8"/>
  <c r="X24" i="8" s="1"/>
  <c r="S23" i="8"/>
  <c r="S24" i="8"/>
  <c r="U104" i="8"/>
  <c r="S104" i="8"/>
  <c r="Y65" i="8"/>
  <c r="X65" i="8"/>
  <c r="V64" i="8"/>
  <c r="V17" i="8"/>
  <c r="X52" i="8"/>
  <c r="V51" i="8"/>
  <c r="Y66" i="8"/>
  <c r="Z66" i="8" s="1"/>
  <c r="AC66" i="8" s="1"/>
  <c r="V95" i="8"/>
  <c r="X96" i="8"/>
  <c r="Y7" i="8"/>
  <c r="Y30" i="8"/>
  <c r="X30" i="8"/>
  <c r="U84" i="8"/>
  <c r="S84" i="8"/>
  <c r="U75" i="8"/>
  <c r="S74" i="8"/>
  <c r="S75" i="8"/>
  <c r="U92" i="8"/>
  <c r="X93" i="8" s="1"/>
  <c r="S92" i="8"/>
  <c r="U53" i="8"/>
  <c r="S53" i="8"/>
  <c r="S54" i="8"/>
  <c r="U79" i="8"/>
  <c r="X80" i="8" s="1"/>
  <c r="S79" i="8"/>
  <c r="U86" i="8"/>
  <c r="X87" i="8" s="1"/>
  <c r="S86" i="8"/>
  <c r="X11" i="8"/>
  <c r="Y11" i="8"/>
  <c r="U100" i="8"/>
  <c r="X101" i="8" s="1"/>
  <c r="S100" i="8"/>
  <c r="S101" i="8"/>
  <c r="X59" i="8"/>
  <c r="V58" i="8"/>
  <c r="X56" i="8"/>
  <c r="Y56" i="8"/>
  <c r="V29" i="8"/>
  <c r="U63" i="8"/>
  <c r="X64" i="8" s="1"/>
  <c r="S63" i="8"/>
  <c r="S80" i="8"/>
  <c r="V93" i="8"/>
  <c r="Y20" i="8"/>
  <c r="U72" i="8"/>
  <c r="X73" i="8" s="1"/>
  <c r="S72" i="8"/>
  <c r="S73" i="8"/>
  <c r="Y116" i="8"/>
  <c r="U19" i="8"/>
  <c r="S20" i="8"/>
  <c r="S19" i="8"/>
  <c r="Y17" i="8"/>
  <c r="Y42" i="8"/>
  <c r="Y12" i="8"/>
  <c r="X13" i="8"/>
  <c r="Y13" i="8"/>
  <c r="U25" i="8"/>
  <c r="X26" i="8" s="1"/>
  <c r="S26" i="8"/>
  <c r="S25" i="8"/>
  <c r="X45" i="8"/>
  <c r="V44" i="8"/>
  <c r="U115" i="8"/>
  <c r="X116" i="8" s="1"/>
  <c r="S115" i="8"/>
  <c r="U71" i="8"/>
  <c r="X72" i="8" s="1"/>
  <c r="S71" i="8"/>
  <c r="Y54" i="8"/>
  <c r="Y5" i="8"/>
  <c r="U18" i="8"/>
  <c r="S18" i="8"/>
  <c r="U114" i="8"/>
  <c r="X115" i="8" s="1"/>
  <c r="Y1" i="8"/>
  <c r="X2" i="8"/>
  <c r="V1" i="8"/>
  <c r="Y35" i="8"/>
  <c r="X35" i="8"/>
  <c r="U67" i="8"/>
  <c r="X68" i="8" s="1"/>
  <c r="S68" i="8"/>
  <c r="S67" i="8"/>
  <c r="U33" i="8"/>
  <c r="S33" i="8"/>
  <c r="Y68" i="8"/>
  <c r="U109" i="8"/>
  <c r="X110" i="8" s="1"/>
  <c r="S109" i="8"/>
  <c r="S108" i="8"/>
  <c r="U85" i="8"/>
  <c r="X86" i="8" s="1"/>
  <c r="S85" i="8"/>
  <c r="V60" i="8"/>
  <c r="Y111" i="8"/>
  <c r="Y89" i="8"/>
  <c r="X89" i="8"/>
  <c r="V94" i="8"/>
  <c r="X95" i="8"/>
  <c r="X44" i="8"/>
  <c r="Y44" i="8"/>
  <c r="X51" i="8"/>
  <c r="Y51" i="8"/>
  <c r="V50" i="8"/>
  <c r="U62" i="8"/>
  <c r="X63" i="8" s="1"/>
  <c r="S62" i="8"/>
  <c r="S90" i="8"/>
  <c r="U110" i="8"/>
  <c r="X111" i="8" s="1"/>
  <c r="S111" i="8"/>
  <c r="S110" i="8"/>
  <c r="U76" i="8"/>
  <c r="X77" i="8" s="1"/>
  <c r="S76" i="8"/>
  <c r="V70" i="8"/>
  <c r="I63" i="13"/>
  <c r="H63" i="13"/>
  <c r="J63" i="13"/>
  <c r="G63" i="13"/>
  <c r="N63" i="13"/>
  <c r="K63" i="13"/>
  <c r="M63" i="13"/>
  <c r="L63" i="13"/>
  <c r="V56" i="8" l="1"/>
  <c r="S112" i="8"/>
  <c r="S113" i="8"/>
  <c r="U113" i="8"/>
  <c r="X114" i="8" s="1"/>
  <c r="Y57" i="8"/>
  <c r="Z57" i="8" s="1"/>
  <c r="AC57" i="8" s="1"/>
  <c r="X102" i="8"/>
  <c r="X43" i="8"/>
  <c r="Z43" i="8" s="1"/>
  <c r="AC43" i="8" s="1"/>
  <c r="E63" i="13"/>
  <c r="V42" i="8"/>
  <c r="Z118" i="8"/>
  <c r="Y102" i="8"/>
  <c r="V97" i="8"/>
  <c r="V14" i="8"/>
  <c r="X15" i="8"/>
  <c r="Z15" i="8" s="1"/>
  <c r="AC15" i="8" s="1"/>
  <c r="Y98" i="8"/>
  <c r="Z98" i="8" s="1"/>
  <c r="AC98" i="8" s="1"/>
  <c r="V83" i="8"/>
  <c r="X25" i="8"/>
  <c r="Z24" i="8" s="1"/>
  <c r="AC24" i="8" s="1"/>
  <c r="Y14" i="8"/>
  <c r="Z14" i="8" s="1"/>
  <c r="AC14" i="8" s="1"/>
  <c r="V13" i="8"/>
  <c r="X22" i="8"/>
  <c r="Z22" i="8" s="1"/>
  <c r="AC22" i="8" s="1"/>
  <c r="Y48" i="8"/>
  <c r="Z48" i="8" s="1"/>
  <c r="AC48" i="8" s="1"/>
  <c r="V47" i="8"/>
  <c r="X78" i="8"/>
  <c r="Z77" i="8" s="1"/>
  <c r="AC77" i="8" s="1"/>
  <c r="V21" i="8"/>
  <c r="V90" i="8"/>
  <c r="Y28" i="8"/>
  <c r="X28" i="8"/>
  <c r="Z27" i="8" s="1"/>
  <c r="AC27" i="8" s="1"/>
  <c r="V59" i="8"/>
  <c r="Y60" i="8"/>
  <c r="Z60" i="8" s="1"/>
  <c r="AC60" i="8" s="1"/>
  <c r="Z59" i="8"/>
  <c r="AC59" i="8" s="1"/>
  <c r="Y9" i="8"/>
  <c r="Y31" i="8"/>
  <c r="Z31" i="8" s="1"/>
  <c r="AC31" i="8" s="1"/>
  <c r="V30" i="8"/>
  <c r="X9" i="8"/>
  <c r="Z8" i="8" s="1"/>
  <c r="AC8" i="8" s="1"/>
  <c r="S61" i="13"/>
  <c r="T61" i="13" s="1"/>
  <c r="Q61" i="13"/>
  <c r="Z81" i="8"/>
  <c r="AC81" i="8" s="1"/>
  <c r="Z80" i="8"/>
  <c r="AC80" i="8" s="1"/>
  <c r="Z38" i="8"/>
  <c r="AC38" i="8" s="1"/>
  <c r="Z83" i="8"/>
  <c r="AC83" i="8" s="1"/>
  <c r="Z70" i="8"/>
  <c r="AC70" i="8" s="1"/>
  <c r="Z108" i="8"/>
  <c r="AC108" i="8" s="1"/>
  <c r="Z29" i="8"/>
  <c r="AC29" i="8" s="1"/>
  <c r="Z107" i="8"/>
  <c r="AC107" i="8" s="1"/>
  <c r="Z90" i="8"/>
  <c r="AC90" i="8" s="1"/>
  <c r="Z56" i="8"/>
  <c r="AC56" i="8" s="1"/>
  <c r="Z61" i="8"/>
  <c r="AC61" i="8" s="1"/>
  <c r="Z74" i="8"/>
  <c r="AC74" i="8" s="1"/>
  <c r="Z40" i="8"/>
  <c r="AC40" i="8" s="1"/>
  <c r="Z97" i="8"/>
  <c r="AC97" i="8" s="1"/>
  <c r="Z11" i="8"/>
  <c r="AC11" i="8" s="1"/>
  <c r="Z94" i="8"/>
  <c r="AC94" i="8" s="1"/>
  <c r="Z13" i="8"/>
  <c r="AC13" i="8" s="1"/>
  <c r="Z73" i="8"/>
  <c r="AC73" i="8" s="1"/>
  <c r="Z7" i="8"/>
  <c r="AC7" i="8" s="1"/>
  <c r="Z10" i="8"/>
  <c r="AC10" i="8" s="1"/>
  <c r="Z55" i="8"/>
  <c r="AC55" i="8" s="1"/>
  <c r="Z64" i="8"/>
  <c r="AC64" i="8" s="1"/>
  <c r="Z32" i="8"/>
  <c r="AC32" i="8" s="1"/>
  <c r="X120" i="8"/>
  <c r="Z89" i="8"/>
  <c r="AC89" i="8" s="1"/>
  <c r="Z93" i="8"/>
  <c r="AC93" i="8" s="1"/>
  <c r="Z12" i="8"/>
  <c r="AC12" i="8" s="1"/>
  <c r="Z68" i="8"/>
  <c r="AC68" i="8" s="1"/>
  <c r="V102" i="8"/>
  <c r="Z95" i="8"/>
  <c r="AC95" i="8" s="1"/>
  <c r="X103" i="8"/>
  <c r="Z51" i="8"/>
  <c r="AC51" i="8" s="1"/>
  <c r="Z44" i="8"/>
  <c r="AC44" i="8" s="1"/>
  <c r="V82" i="8"/>
  <c r="Y82" i="8"/>
  <c r="Z82" i="8" s="1"/>
  <c r="AC82" i="8" s="1"/>
  <c r="Y19" i="8"/>
  <c r="V19" i="8"/>
  <c r="V79" i="8"/>
  <c r="Y79" i="8"/>
  <c r="Z79" i="8" s="1"/>
  <c r="AC79" i="8" s="1"/>
  <c r="V69" i="8"/>
  <c r="Y69" i="8"/>
  <c r="Z69" i="8" s="1"/>
  <c r="AC69" i="8" s="1"/>
  <c r="V33" i="8"/>
  <c r="Y33" i="8"/>
  <c r="Y71" i="8"/>
  <c r="Z71" i="8" s="1"/>
  <c r="AC71" i="8" s="1"/>
  <c r="V71" i="8"/>
  <c r="V52" i="8"/>
  <c r="Y52" i="8"/>
  <c r="Z52" i="8" s="1"/>
  <c r="AC52" i="8" s="1"/>
  <c r="Z50" i="8"/>
  <c r="AC50" i="8" s="1"/>
  <c r="Y115" i="8"/>
  <c r="Z115" i="8" s="1"/>
  <c r="AC115" i="8" s="1"/>
  <c r="V115" i="8"/>
  <c r="Z26" i="8"/>
  <c r="AC26" i="8" s="1"/>
  <c r="Z65" i="8"/>
  <c r="AC65" i="8" s="1"/>
  <c r="Z58" i="8"/>
  <c r="AC58" i="8" s="1"/>
  <c r="Z16" i="8"/>
  <c r="AC16" i="8" s="1"/>
  <c r="V45" i="8"/>
  <c r="Y45" i="8"/>
  <c r="Z96" i="8"/>
  <c r="AC96" i="8" s="1"/>
  <c r="Y110" i="8"/>
  <c r="Z110" i="8" s="1"/>
  <c r="AC110" i="8" s="1"/>
  <c r="V110" i="8"/>
  <c r="Y53" i="8"/>
  <c r="V53" i="8"/>
  <c r="V78" i="8"/>
  <c r="Y78" i="8"/>
  <c r="Y105" i="8"/>
  <c r="V105" i="8"/>
  <c r="V92" i="8"/>
  <c r="Y92" i="8"/>
  <c r="Z92" i="8" s="1"/>
  <c r="AC92" i="8" s="1"/>
  <c r="Z2" i="8"/>
  <c r="AC2" i="8" s="1"/>
  <c r="Y67" i="8"/>
  <c r="Z67" i="8" s="1"/>
  <c r="AC67" i="8" s="1"/>
  <c r="V67" i="8"/>
  <c r="V72" i="8"/>
  <c r="Y72" i="8"/>
  <c r="Z72" i="8" s="1"/>
  <c r="AC72" i="8" s="1"/>
  <c r="Z39" i="8"/>
  <c r="AC39" i="8" s="1"/>
  <c r="V18" i="8"/>
  <c r="Y18" i="8"/>
  <c r="Y113" i="8"/>
  <c r="Z113" i="8" s="1"/>
  <c r="AC113" i="8" s="1"/>
  <c r="V113" i="8"/>
  <c r="Z116" i="8"/>
  <c r="AC116" i="8" s="1"/>
  <c r="Y36" i="8"/>
  <c r="Z36" i="8" s="1"/>
  <c r="AC36" i="8" s="1"/>
  <c r="V36" i="8"/>
  <c r="V104" i="8"/>
  <c r="Y104" i="8"/>
  <c r="Z111" i="8"/>
  <c r="AC111" i="8" s="1"/>
  <c r="Z35" i="8"/>
  <c r="AC35" i="8" s="1"/>
  <c r="Y112" i="8"/>
  <c r="Z112" i="8" s="1"/>
  <c r="AC112" i="8" s="1"/>
  <c r="V112" i="8"/>
  <c r="V84" i="8"/>
  <c r="Y84" i="8"/>
  <c r="X34" i="8"/>
  <c r="Z34" i="8" s="1"/>
  <c r="AC34" i="8" s="1"/>
  <c r="V76" i="8"/>
  <c r="Y76" i="8"/>
  <c r="Y23" i="8"/>
  <c r="Z23" i="8" s="1"/>
  <c r="AC23" i="8" s="1"/>
  <c r="V23" i="8"/>
  <c r="Y49" i="8"/>
  <c r="Z49" i="8" s="1"/>
  <c r="AC49" i="8" s="1"/>
  <c r="V49" i="8"/>
  <c r="V6" i="8"/>
  <c r="Y6" i="8"/>
  <c r="Z6" i="8" s="1"/>
  <c r="AC6" i="8" s="1"/>
  <c r="Z101" i="8"/>
  <c r="AC101" i="8" s="1"/>
  <c r="Y114" i="8"/>
  <c r="Z114" i="8" s="1"/>
  <c r="AC114" i="8" s="1"/>
  <c r="V114" i="8"/>
  <c r="V99" i="8"/>
  <c r="Y99" i="8"/>
  <c r="V106" i="8"/>
  <c r="Y106" i="8"/>
  <c r="Z106" i="8" s="1"/>
  <c r="AC106" i="8" s="1"/>
  <c r="V109" i="8"/>
  <c r="Y109" i="8"/>
  <c r="Z109" i="8" s="1"/>
  <c r="AC109" i="8" s="1"/>
  <c r="Z17" i="8"/>
  <c r="AC17" i="8" s="1"/>
  <c r="Y86" i="8"/>
  <c r="Z86" i="8" s="1"/>
  <c r="AC86" i="8" s="1"/>
  <c r="V86" i="8"/>
  <c r="V62" i="8"/>
  <c r="Y62" i="8"/>
  <c r="Z62" i="8" s="1"/>
  <c r="AC62" i="8" s="1"/>
  <c r="Z5" i="8"/>
  <c r="AC5" i="8" s="1"/>
  <c r="V63" i="8"/>
  <c r="Y63" i="8"/>
  <c r="Z63" i="8" s="1"/>
  <c r="AC63" i="8" s="1"/>
  <c r="V4" i="8"/>
  <c r="Y4" i="8"/>
  <c r="Z4" i="8" s="1"/>
  <c r="AC4" i="8" s="1"/>
  <c r="V87" i="8"/>
  <c r="Y87" i="8"/>
  <c r="X100" i="8"/>
  <c r="X88" i="8"/>
  <c r="Z88" i="8" s="1"/>
  <c r="AC88" i="8" s="1"/>
  <c r="Z117" i="8"/>
  <c r="AC117" i="8" s="1"/>
  <c r="Z47" i="8"/>
  <c r="AC47" i="8" s="1"/>
  <c r="X20" i="8"/>
  <c r="Z20" i="8" s="1"/>
  <c r="AC20" i="8" s="1"/>
  <c r="V75" i="8"/>
  <c r="Y75" i="8"/>
  <c r="X76" i="8"/>
  <c r="Z3" i="8"/>
  <c r="AC3" i="8" s="1"/>
  <c r="V25" i="8"/>
  <c r="Y25" i="8"/>
  <c r="Y91" i="8"/>
  <c r="Z91" i="8" s="1"/>
  <c r="AC91" i="8" s="1"/>
  <c r="V91" i="8"/>
  <c r="Z1" i="8"/>
  <c r="AC1" i="8" s="1"/>
  <c r="X85" i="8"/>
  <c r="Z30" i="8"/>
  <c r="AC30" i="8" s="1"/>
  <c r="X19" i="8"/>
  <c r="X46" i="8"/>
  <c r="Z46" i="8" s="1"/>
  <c r="AC46" i="8" s="1"/>
  <c r="X105" i="8"/>
  <c r="X54" i="8"/>
  <c r="Z54" i="8" s="1"/>
  <c r="AC54" i="8" s="1"/>
  <c r="Y85" i="8"/>
  <c r="V85" i="8"/>
  <c r="Y100" i="8"/>
  <c r="V100" i="8"/>
  <c r="V37" i="8"/>
  <c r="Y37" i="8"/>
  <c r="Z37" i="8" s="1"/>
  <c r="AC37" i="8" s="1"/>
  <c r="Z42" i="8" l="1"/>
  <c r="AC42" i="8" s="1"/>
  <c r="Z102" i="8"/>
  <c r="AC102" i="8" s="1"/>
  <c r="Z78" i="8"/>
  <c r="AC78" i="8" s="1"/>
  <c r="Z25" i="8"/>
  <c r="AC25" i="8" s="1"/>
  <c r="Z28" i="8"/>
  <c r="AC28" i="8" s="1"/>
  <c r="Z21" i="8"/>
  <c r="AC21" i="8" s="1"/>
  <c r="Z9" i="8"/>
  <c r="AC9" i="8" s="1"/>
  <c r="Y120" i="8"/>
  <c r="D64" i="13"/>
  <c r="F63" i="13" s="1"/>
  <c r="Z100" i="8"/>
  <c r="AC100" i="8" s="1"/>
  <c r="Z99" i="8"/>
  <c r="AC99" i="8" s="1"/>
  <c r="Z104" i="8"/>
  <c r="AC104" i="8" s="1"/>
  <c r="Z84" i="8"/>
  <c r="AC84" i="8" s="1"/>
  <c r="Z103" i="8"/>
  <c r="AC103" i="8" s="1"/>
  <c r="Z120" i="8"/>
  <c r="Z85" i="8"/>
  <c r="AC85" i="8" s="1"/>
  <c r="Z75" i="8"/>
  <c r="AC75" i="8" s="1"/>
  <c r="Z105" i="8"/>
  <c r="AC105" i="8" s="1"/>
  <c r="Z87" i="8"/>
  <c r="AC87" i="8" s="1"/>
  <c r="Z33" i="8"/>
  <c r="AC33" i="8" s="1"/>
  <c r="Z53" i="8"/>
  <c r="AC53" i="8" s="1"/>
  <c r="Z18" i="8"/>
  <c r="AC18" i="8" s="1"/>
  <c r="Z45" i="8"/>
  <c r="AC45" i="8" s="1"/>
  <c r="Z76" i="8"/>
  <c r="AC76" i="8" s="1"/>
  <c r="Z19" i="8"/>
  <c r="AC19" i="8" s="1"/>
  <c r="P62" i="13" l="1"/>
  <c r="O63" i="13"/>
  <c r="K64" i="13"/>
  <c r="J64" i="13"/>
  <c r="N64" i="13"/>
  <c r="M64" i="13"/>
  <c r="L64" i="13"/>
  <c r="I64" i="13"/>
  <c r="H64" i="13"/>
  <c r="G64" i="13"/>
  <c r="E64" i="13" l="1"/>
  <c r="D65" i="13" s="1"/>
  <c r="F64" i="13" s="1"/>
  <c r="S62" i="13"/>
  <c r="T62" i="13" s="1"/>
  <c r="Q62" i="13"/>
  <c r="P63" i="13" l="1"/>
  <c r="O64" i="13"/>
  <c r="G65" i="13"/>
  <c r="I65" i="13"/>
  <c r="N65" i="13"/>
  <c r="L65" i="13"/>
  <c r="H65" i="13"/>
  <c r="M65" i="13"/>
  <c r="J65" i="13"/>
  <c r="K65" i="13"/>
  <c r="E65" i="13" l="1"/>
  <c r="D66" i="13" s="1"/>
  <c r="F65" i="13" s="1"/>
  <c r="S63" i="13"/>
  <c r="T63" i="13" s="1"/>
  <c r="Q63" i="13"/>
  <c r="P64" i="13" l="1"/>
  <c r="O65" i="13"/>
  <c r="L66" i="13"/>
  <c r="H66" i="13"/>
  <c r="K66" i="13"/>
  <c r="G66" i="13"/>
  <c r="M66" i="13"/>
  <c r="N66" i="13"/>
  <c r="I66" i="13"/>
  <c r="J66" i="13"/>
  <c r="E66" i="13" l="1"/>
  <c r="D67" i="13" s="1"/>
  <c r="F66" i="13" s="1"/>
  <c r="Q64" i="13"/>
  <c r="S64" i="13"/>
  <c r="T64" i="13" s="1"/>
  <c r="P65" i="13" l="1"/>
  <c r="O66" i="13"/>
  <c r="J67" i="13"/>
  <c r="L67" i="13"/>
  <c r="K67" i="13"/>
  <c r="N67" i="13"/>
  <c r="M67" i="13"/>
  <c r="H67" i="13"/>
  <c r="G67" i="13"/>
  <c r="I67" i="13"/>
  <c r="E67" i="13" l="1"/>
  <c r="D68" i="13" s="1"/>
  <c r="F67" i="13" s="1"/>
  <c r="S65" i="13"/>
  <c r="T65" i="13" s="1"/>
  <c r="Q65" i="13"/>
  <c r="P66" i="13" l="1"/>
  <c r="O67" i="13"/>
  <c r="L68" i="13"/>
  <c r="K68" i="13"/>
  <c r="I68" i="13"/>
  <c r="H68" i="13"/>
  <c r="M68" i="13"/>
  <c r="G68" i="13"/>
  <c r="N68" i="13"/>
  <c r="J68" i="13"/>
  <c r="E68" i="13" l="1"/>
  <c r="D69" i="13" s="1"/>
  <c r="F68" i="13" s="1"/>
  <c r="S66" i="13"/>
  <c r="T66" i="13" s="1"/>
  <c r="Q66" i="13"/>
  <c r="P67" i="13" l="1"/>
  <c r="O68" i="13"/>
  <c r="N69" i="13"/>
  <c r="J69" i="13"/>
  <c r="M69" i="13"/>
  <c r="G69" i="13"/>
  <c r="H69" i="13"/>
  <c r="K69" i="13"/>
  <c r="L69" i="13"/>
  <c r="I69" i="13"/>
  <c r="E69" i="13" l="1"/>
  <c r="D70" i="13" s="1"/>
  <c r="F69" i="13" s="1"/>
  <c r="S67" i="13"/>
  <c r="T67" i="13" s="1"/>
  <c r="Q67" i="13"/>
  <c r="P68" i="13" l="1"/>
  <c r="O69" i="13"/>
  <c r="G70" i="13"/>
  <c r="L70" i="13"/>
  <c r="J70" i="13"/>
  <c r="K70" i="13"/>
  <c r="I70" i="13"/>
  <c r="M70" i="13"/>
  <c r="N70" i="13"/>
  <c r="H70" i="13"/>
  <c r="E70" i="13" l="1"/>
  <c r="D71" i="13" s="1"/>
  <c r="F70" i="13" s="1"/>
  <c r="S68" i="13"/>
  <c r="T68" i="13" s="1"/>
  <c r="Q68" i="13"/>
  <c r="P69" i="13" l="1"/>
  <c r="O70" i="13"/>
  <c r="H71" i="13"/>
  <c r="I71" i="13"/>
  <c r="G71" i="13"/>
  <c r="K71" i="13"/>
  <c r="N71" i="13"/>
  <c r="M71" i="13"/>
  <c r="L71" i="13"/>
  <c r="J71" i="13"/>
  <c r="E71" i="13" l="1"/>
  <c r="D72" i="13" s="1"/>
  <c r="F71" i="13" s="1"/>
  <c r="S69" i="13"/>
  <c r="T69" i="13" s="1"/>
  <c r="Q69" i="13"/>
  <c r="P70" i="13" l="1"/>
  <c r="O71" i="13"/>
  <c r="J72" i="13"/>
  <c r="N72" i="13"/>
  <c r="M72" i="13"/>
  <c r="G72" i="13"/>
  <c r="L72" i="13"/>
  <c r="K72" i="13"/>
  <c r="H72" i="13"/>
  <c r="I72" i="13"/>
  <c r="E72" i="13" l="1"/>
  <c r="D73" i="13" s="1"/>
  <c r="F72" i="13" s="1"/>
  <c r="Q70" i="13"/>
  <c r="S70" i="13"/>
  <c r="T70" i="13" s="1"/>
  <c r="P71" i="13" l="1"/>
  <c r="O72" i="13"/>
  <c r="N73" i="13"/>
  <c r="H73" i="13"/>
  <c r="I73" i="13"/>
  <c r="M73" i="13"/>
  <c r="G73" i="13"/>
  <c r="J73" i="13"/>
  <c r="K73" i="13"/>
  <c r="L73" i="13"/>
  <c r="E73" i="13" l="1"/>
  <c r="D74" i="13" s="1"/>
  <c r="F73" i="13" s="1"/>
  <c r="S71" i="13"/>
  <c r="T71" i="13" s="1"/>
  <c r="Q71" i="13"/>
  <c r="P72" i="13" l="1"/>
  <c r="O73" i="13"/>
  <c r="N74" i="13"/>
  <c r="M74" i="13"/>
  <c r="G74" i="13"/>
  <c r="I74" i="13"/>
  <c r="K74" i="13"/>
  <c r="L74" i="13"/>
  <c r="H74" i="13"/>
  <c r="J74" i="13"/>
  <c r="E74" i="13" l="1"/>
  <c r="D75" i="13" s="1"/>
  <c r="F74" i="13" s="1"/>
  <c r="S72" i="13"/>
  <c r="T72" i="13" s="1"/>
  <c r="Q72" i="13"/>
  <c r="P73" i="13" l="1"/>
  <c r="O74" i="13"/>
  <c r="I75" i="13"/>
  <c r="L75" i="13"/>
  <c r="J75" i="13"/>
  <c r="N75" i="13"/>
  <c r="G75" i="13"/>
  <c r="M75" i="13"/>
  <c r="H75" i="13"/>
  <c r="K75" i="13"/>
  <c r="E75" i="13" l="1"/>
  <c r="D76" i="13" s="1"/>
  <c r="F75" i="13" s="1"/>
  <c r="S73" i="13"/>
  <c r="T73" i="13" s="1"/>
  <c r="Q73" i="13"/>
  <c r="P74" i="13" l="1"/>
  <c r="O75" i="13"/>
  <c r="I76" i="13"/>
  <c r="M76" i="13"/>
  <c r="G76" i="13"/>
  <c r="L76" i="13"/>
  <c r="H76" i="13"/>
  <c r="J76" i="13"/>
  <c r="N76" i="13"/>
  <c r="K76" i="13"/>
  <c r="E76" i="13" l="1"/>
  <c r="D77" i="13" s="1"/>
  <c r="F76" i="13" s="1"/>
  <c r="S74" i="13"/>
  <c r="T74" i="13" s="1"/>
  <c r="Q74" i="13"/>
  <c r="P75" i="13" l="1"/>
  <c r="O76" i="13"/>
  <c r="J77" i="13"/>
  <c r="K77" i="13"/>
  <c r="I77" i="13"/>
  <c r="N77" i="13"/>
  <c r="M77" i="13"/>
  <c r="L77" i="13"/>
  <c r="H77" i="13"/>
  <c r="G77" i="13"/>
  <c r="E77" i="13" l="1"/>
  <c r="D78" i="13" s="1"/>
  <c r="F77" i="13" s="1"/>
  <c r="S75" i="13"/>
  <c r="T75" i="13" s="1"/>
  <c r="Q75" i="13"/>
  <c r="P76" i="13" l="1"/>
  <c r="O77" i="13"/>
  <c r="N78" i="13"/>
  <c r="I78" i="13"/>
  <c r="M78" i="13"/>
  <c r="J78" i="13"/>
  <c r="K78" i="13"/>
  <c r="H78" i="13"/>
  <c r="G78" i="13"/>
  <c r="L78" i="13"/>
  <c r="E78" i="13" l="1"/>
  <c r="D79" i="13" s="1"/>
  <c r="F78" i="13" s="1"/>
  <c r="Q76" i="13"/>
  <c r="S76" i="13"/>
  <c r="T76" i="13" s="1"/>
  <c r="P77" i="13" l="1"/>
  <c r="O78" i="13"/>
  <c r="N79" i="13"/>
  <c r="M79" i="13"/>
  <c r="K79" i="13"/>
  <c r="G79" i="13"/>
  <c r="J79" i="13"/>
  <c r="H79" i="13"/>
  <c r="I79" i="13"/>
  <c r="L79" i="13"/>
  <c r="E79" i="13" l="1"/>
  <c r="D80" i="13" s="1"/>
  <c r="F79" i="13" s="1"/>
  <c r="S77" i="13"/>
  <c r="T77" i="13" s="1"/>
  <c r="Q77" i="13"/>
  <c r="P78" i="13" l="1"/>
  <c r="O79" i="13"/>
  <c r="G80" i="13"/>
  <c r="K80" i="13"/>
  <c r="H80" i="13"/>
  <c r="L80" i="13"/>
  <c r="I80" i="13"/>
  <c r="J80" i="13"/>
  <c r="N80" i="13"/>
  <c r="M80" i="13"/>
  <c r="E80" i="13" l="1"/>
  <c r="D81" i="13" s="1"/>
  <c r="F80" i="13" s="1"/>
  <c r="Q78" i="13"/>
  <c r="S78" i="13"/>
  <c r="T78" i="13" s="1"/>
  <c r="P79" i="13" l="1"/>
  <c r="O80" i="13"/>
  <c r="K81" i="13"/>
  <c r="H81" i="13"/>
  <c r="M81" i="13"/>
  <c r="I81" i="13"/>
  <c r="J81" i="13"/>
  <c r="L81" i="13"/>
  <c r="N81" i="13"/>
  <c r="G81" i="13"/>
  <c r="E81" i="13" l="1"/>
  <c r="D82" i="13" s="1"/>
  <c r="F81" i="13" s="1"/>
  <c r="S79" i="13"/>
  <c r="T79" i="13" s="1"/>
  <c r="Q79" i="13"/>
  <c r="P80" i="13" l="1"/>
  <c r="O81" i="13"/>
  <c r="J82" i="13"/>
  <c r="K82" i="13"/>
  <c r="L82" i="13"/>
  <c r="M82" i="13"/>
  <c r="G82" i="13"/>
  <c r="I82" i="13"/>
  <c r="H82" i="13"/>
  <c r="N82" i="13"/>
  <c r="E82" i="13" l="1"/>
  <c r="D83" i="13" s="1"/>
  <c r="F82" i="13" s="1"/>
  <c r="S80" i="13"/>
  <c r="T80" i="13" s="1"/>
  <c r="Q80" i="13"/>
  <c r="P81" i="13" l="1"/>
  <c r="O82" i="13"/>
  <c r="G83" i="13"/>
  <c r="K83" i="13"/>
  <c r="L83" i="13"/>
  <c r="I83" i="13"/>
  <c r="H83" i="13"/>
  <c r="N83" i="13"/>
  <c r="J83" i="13"/>
  <c r="M83" i="13"/>
  <c r="E83" i="13" l="1"/>
  <c r="D84" i="13" s="1"/>
  <c r="F83" i="13" s="1"/>
  <c r="S81" i="13"/>
  <c r="T81" i="13" s="1"/>
  <c r="Q81" i="13"/>
  <c r="P82" i="13" l="1"/>
  <c r="O83" i="13"/>
  <c r="K84" i="13"/>
  <c r="M84" i="13"/>
  <c r="G84" i="13"/>
  <c r="I84" i="13"/>
  <c r="H84" i="13"/>
  <c r="N84" i="13"/>
  <c r="L84" i="13"/>
  <c r="J84" i="13"/>
  <c r="E84" i="13" l="1"/>
  <c r="D85" i="13" s="1"/>
  <c r="F84" i="13" s="1"/>
  <c r="S82" i="13"/>
  <c r="T82" i="13" s="1"/>
  <c r="Q82" i="13"/>
  <c r="O84" i="13" l="1"/>
  <c r="P83" i="13"/>
  <c r="M85" i="13"/>
  <c r="L85" i="13"/>
  <c r="H85" i="13"/>
  <c r="I85" i="13"/>
  <c r="N85" i="13"/>
  <c r="G85" i="13"/>
  <c r="J85" i="13"/>
  <c r="K85" i="13"/>
  <c r="E85" i="13" l="1"/>
  <c r="D86" i="13" s="1"/>
  <c r="F85" i="13" s="1"/>
  <c r="S83" i="13"/>
  <c r="T83" i="13" s="1"/>
  <c r="Q83" i="13"/>
  <c r="P84" i="13" l="1"/>
  <c r="O85" i="13"/>
  <c r="J86" i="13"/>
  <c r="G86" i="13"/>
  <c r="H86" i="13"/>
  <c r="M86" i="13"/>
  <c r="N86" i="13"/>
  <c r="L86" i="13"/>
  <c r="I86" i="13"/>
  <c r="K86" i="13"/>
  <c r="E86" i="13" l="1"/>
  <c r="D87" i="13" s="1"/>
  <c r="F86" i="13" s="1"/>
  <c r="Q84" i="13"/>
  <c r="S84" i="13"/>
  <c r="T84" i="13" s="1"/>
  <c r="P85" i="13" l="1"/>
  <c r="O86" i="13"/>
  <c r="J87" i="13"/>
  <c r="M87" i="13"/>
  <c r="N87" i="13"/>
  <c r="G87" i="13"/>
  <c r="L87" i="13"/>
  <c r="H87" i="13"/>
  <c r="I87" i="13"/>
  <c r="K87" i="13"/>
  <c r="E87" i="13" l="1"/>
  <c r="D88" i="13" s="1"/>
  <c r="F87" i="13" s="1"/>
  <c r="S85" i="13"/>
  <c r="T85" i="13" s="1"/>
  <c r="Q85" i="13"/>
  <c r="P86" i="13" l="1"/>
  <c r="O87" i="13"/>
  <c r="N88" i="13"/>
  <c r="G88" i="13"/>
  <c r="K88" i="13"/>
  <c r="I88" i="13"/>
  <c r="H88" i="13"/>
  <c r="J88" i="13"/>
  <c r="L88" i="13"/>
  <c r="M88" i="13"/>
  <c r="E88" i="13" l="1"/>
  <c r="D89" i="13" s="1"/>
  <c r="F88" i="13" s="1"/>
  <c r="S86" i="13"/>
  <c r="T86" i="13" s="1"/>
  <c r="Q86" i="13"/>
  <c r="P87" i="13" l="1"/>
  <c r="O88" i="13"/>
  <c r="N89" i="13"/>
  <c r="H89" i="13"/>
  <c r="J89" i="13"/>
  <c r="I89" i="13"/>
  <c r="K89" i="13"/>
  <c r="G89" i="13"/>
  <c r="L89" i="13"/>
  <c r="M89" i="13"/>
  <c r="E89" i="13" l="1"/>
  <c r="D90" i="13" s="1"/>
  <c r="F89" i="13" s="1"/>
  <c r="S87" i="13"/>
  <c r="T87" i="13" s="1"/>
  <c r="Q87" i="13"/>
  <c r="P88" i="13" l="1"/>
  <c r="O89" i="13"/>
  <c r="G90" i="13"/>
  <c r="J90" i="13"/>
  <c r="I90" i="13"/>
  <c r="M90" i="13"/>
  <c r="K90" i="13"/>
  <c r="H90" i="13"/>
  <c r="N90" i="13"/>
  <c r="L90" i="13"/>
  <c r="E90" i="13" l="1"/>
  <c r="D91" i="13" s="1"/>
  <c r="F90" i="13" s="1"/>
  <c r="Q88" i="13"/>
  <c r="S88" i="13"/>
  <c r="T88" i="13" s="1"/>
  <c r="P89" i="13" l="1"/>
  <c r="O90" i="13"/>
  <c r="I91" i="13"/>
  <c r="N91" i="13"/>
  <c r="K91" i="13"/>
  <c r="G91" i="13"/>
  <c r="M91" i="13"/>
  <c r="J91" i="13"/>
  <c r="L91" i="13"/>
  <c r="H91" i="13"/>
  <c r="E91" i="13" l="1"/>
  <c r="D92" i="13" s="1"/>
  <c r="F91" i="13" s="1"/>
  <c r="S89" i="13"/>
  <c r="T89" i="13" s="1"/>
  <c r="Q89" i="13"/>
  <c r="P90" i="13" l="1"/>
  <c r="O91" i="13"/>
  <c r="H92" i="13"/>
  <c r="M92" i="13"/>
  <c r="I92" i="13"/>
  <c r="L92" i="13"/>
  <c r="K92" i="13"/>
  <c r="N92" i="13"/>
  <c r="G92" i="13"/>
  <c r="J92" i="13"/>
  <c r="E92" i="13" l="1"/>
  <c r="D93" i="13" s="1"/>
  <c r="F92" i="13" s="1"/>
  <c r="S90" i="13"/>
  <c r="T90" i="13" s="1"/>
  <c r="Q90" i="13"/>
  <c r="P91" i="13" l="1"/>
  <c r="O92" i="13"/>
  <c r="J93" i="13"/>
  <c r="I93" i="13"/>
  <c r="K93" i="13"/>
  <c r="G93" i="13"/>
  <c r="M93" i="13"/>
  <c r="L93" i="13"/>
  <c r="N93" i="13"/>
  <c r="H93" i="13"/>
  <c r="E93" i="13" l="1"/>
  <c r="D94" i="13" s="1"/>
  <c r="F93" i="13" s="1"/>
  <c r="S91" i="13"/>
  <c r="T91" i="13" s="1"/>
  <c r="Q91" i="13"/>
  <c r="P92" i="13" l="1"/>
  <c r="O93" i="13"/>
  <c r="L94" i="13"/>
  <c r="I94" i="13"/>
  <c r="M94" i="13"/>
  <c r="J94" i="13"/>
  <c r="H94" i="13"/>
  <c r="K94" i="13"/>
  <c r="N94" i="13"/>
  <c r="G94" i="13"/>
  <c r="E94" i="13" l="1"/>
  <c r="D95" i="13" s="1"/>
  <c r="F94" i="13" s="1"/>
  <c r="S92" i="13"/>
  <c r="T92" i="13" s="1"/>
  <c r="Q92" i="13"/>
  <c r="O94" i="13" l="1"/>
  <c r="P93" i="13"/>
  <c r="N95" i="13"/>
  <c r="J95" i="13"/>
  <c r="M95" i="13"/>
  <c r="K95" i="13"/>
  <c r="G95" i="13"/>
  <c r="H95" i="13"/>
  <c r="I95" i="13"/>
  <c r="L95" i="13"/>
  <c r="E95" i="13" l="1"/>
  <c r="D96" i="13" s="1"/>
  <c r="F95" i="13" s="1"/>
  <c r="S93" i="13"/>
  <c r="T93" i="13" s="1"/>
  <c r="Q93" i="13"/>
  <c r="P94" i="13" l="1"/>
  <c r="O95" i="13"/>
  <c r="J96" i="13"/>
  <c r="N96" i="13"/>
  <c r="H96" i="13"/>
  <c r="I96" i="13"/>
  <c r="K96" i="13"/>
  <c r="L96" i="13"/>
  <c r="M96" i="13"/>
  <c r="G96" i="13"/>
  <c r="E96" i="13" l="1"/>
  <c r="D97" i="13" s="1"/>
  <c r="F96" i="13" s="1"/>
  <c r="S94" i="13"/>
  <c r="T94" i="13" s="1"/>
  <c r="Q94" i="13"/>
  <c r="P95" i="13" l="1"/>
  <c r="O96" i="13"/>
  <c r="K97" i="13"/>
  <c r="I97" i="13"/>
  <c r="L97" i="13"/>
  <c r="M97" i="13"/>
  <c r="N97" i="13"/>
  <c r="J97" i="13"/>
  <c r="H97" i="13"/>
  <c r="G97" i="13"/>
  <c r="E97" i="13" l="1"/>
  <c r="D98" i="13" s="1"/>
  <c r="F97" i="13" s="1"/>
  <c r="Q95" i="13"/>
  <c r="S95" i="13"/>
  <c r="T95" i="13" s="1"/>
  <c r="P96" i="13" l="1"/>
  <c r="O97" i="13"/>
  <c r="G98" i="13"/>
  <c r="I98" i="13"/>
  <c r="J98" i="13"/>
  <c r="M98" i="13"/>
  <c r="N98" i="13"/>
  <c r="H98" i="13"/>
  <c r="K98" i="13"/>
  <c r="L98" i="13"/>
  <c r="E98" i="13" l="1"/>
  <c r="D99" i="13" s="1"/>
  <c r="F98" i="13" s="1"/>
  <c r="S96" i="13"/>
  <c r="T96" i="13" s="1"/>
  <c r="Q96" i="13"/>
  <c r="P97" i="13" l="1"/>
  <c r="O98" i="13"/>
  <c r="H99" i="13"/>
  <c r="L99" i="13"/>
  <c r="M99" i="13"/>
  <c r="K99" i="13"/>
  <c r="N99" i="13"/>
  <c r="G99" i="13"/>
  <c r="I99" i="13"/>
  <c r="J99" i="13"/>
  <c r="E99" i="13" l="1"/>
  <c r="D100" i="13" s="1"/>
  <c r="F99" i="13" s="1"/>
  <c r="S97" i="13"/>
  <c r="T97" i="13" s="1"/>
  <c r="Q97" i="13"/>
  <c r="P98" i="13" l="1"/>
  <c r="O99" i="13"/>
  <c r="M100" i="13"/>
  <c r="H100" i="13"/>
  <c r="J100" i="13"/>
  <c r="G100" i="13"/>
  <c r="L100" i="13"/>
  <c r="N100" i="13"/>
  <c r="I100" i="13"/>
  <c r="K100" i="13"/>
  <c r="E100" i="13" l="1"/>
  <c r="D101" i="13" s="1"/>
  <c r="F100" i="13" s="1"/>
  <c r="S98" i="13"/>
  <c r="T98" i="13" s="1"/>
  <c r="Q98" i="13"/>
  <c r="P99" i="13" l="1"/>
  <c r="O100" i="13"/>
  <c r="I101" i="13"/>
  <c r="K101" i="13"/>
  <c r="H101" i="13"/>
  <c r="G101" i="13"/>
  <c r="M101" i="13"/>
  <c r="N101" i="13"/>
  <c r="L101" i="13"/>
  <c r="J101" i="13"/>
  <c r="E101" i="13" l="1"/>
  <c r="D102" i="13" s="1"/>
  <c r="F101" i="13" s="1"/>
  <c r="Q99" i="13"/>
  <c r="S99" i="13"/>
  <c r="T99" i="13" s="1"/>
  <c r="P100" i="13" l="1"/>
  <c r="O101" i="13"/>
  <c r="N102" i="13"/>
  <c r="K102" i="13"/>
  <c r="L102" i="13"/>
  <c r="I102" i="13"/>
  <c r="H102" i="13"/>
  <c r="J102" i="13"/>
  <c r="M102" i="13"/>
  <c r="G102" i="13"/>
  <c r="E102" i="13" l="1"/>
  <c r="D103" i="13" s="1"/>
  <c r="F102" i="13" s="1"/>
  <c r="Q100" i="13"/>
  <c r="S100" i="13"/>
  <c r="T100" i="13" s="1"/>
  <c r="P101" i="13" l="1"/>
  <c r="O102" i="13"/>
  <c r="G103" i="13"/>
  <c r="J103" i="13"/>
  <c r="K103" i="13"/>
  <c r="H103" i="13"/>
  <c r="M103" i="13"/>
  <c r="N103" i="13"/>
  <c r="I103" i="13"/>
  <c r="L103" i="13"/>
  <c r="E103" i="13" l="1"/>
  <c r="D104" i="13" s="1"/>
  <c r="F103" i="13" s="1"/>
  <c r="S101" i="13"/>
  <c r="T101" i="13" s="1"/>
  <c r="Q101" i="13"/>
  <c r="P102" i="13" l="1"/>
  <c r="O103" i="13"/>
  <c r="M104" i="13"/>
  <c r="L104" i="13"/>
  <c r="H104" i="13"/>
  <c r="I104" i="13"/>
  <c r="N104" i="13"/>
  <c r="G104" i="13"/>
  <c r="J104" i="13"/>
  <c r="K104" i="13"/>
  <c r="E104" i="13" l="1"/>
  <c r="D105" i="13" s="1"/>
  <c r="F104" i="13" s="1"/>
  <c r="S102" i="13"/>
  <c r="T102" i="13" s="1"/>
  <c r="Q102" i="13"/>
  <c r="P103" i="13" l="1"/>
  <c r="O104" i="13"/>
  <c r="I105" i="13"/>
  <c r="N105" i="13"/>
  <c r="K105" i="13"/>
  <c r="H105" i="13"/>
  <c r="G105" i="13"/>
  <c r="L105" i="13"/>
  <c r="M105" i="13"/>
  <c r="J105" i="13"/>
  <c r="E105" i="13" l="1"/>
  <c r="D106" i="13" s="1"/>
  <c r="F105" i="13" s="1"/>
  <c r="S103" i="13"/>
  <c r="T103" i="13" s="1"/>
  <c r="Q103" i="13"/>
  <c r="O105" i="13" l="1"/>
  <c r="P104" i="13"/>
  <c r="L106" i="13"/>
  <c r="G106" i="13"/>
  <c r="H106" i="13"/>
  <c r="N106" i="13"/>
  <c r="K106" i="13"/>
  <c r="J106" i="13"/>
  <c r="I106" i="13"/>
  <c r="M106" i="13"/>
  <c r="E106" i="13" l="1"/>
  <c r="D107" i="13" s="1"/>
  <c r="F106" i="13" s="1"/>
  <c r="S104" i="13"/>
  <c r="T104" i="13" s="1"/>
  <c r="Q104" i="13"/>
  <c r="P105" i="13" l="1"/>
  <c r="O106" i="13"/>
  <c r="G107" i="13"/>
  <c r="I107" i="13"/>
  <c r="K107" i="13"/>
  <c r="N107" i="13"/>
  <c r="H107" i="13"/>
  <c r="J107" i="13"/>
  <c r="L107" i="13"/>
  <c r="M107" i="13"/>
  <c r="E107" i="13" l="1"/>
  <c r="D108" i="13" s="1"/>
  <c r="F107" i="13" s="1"/>
  <c r="S105" i="13"/>
  <c r="T105" i="13" s="1"/>
  <c r="Q105" i="13"/>
  <c r="P106" i="13" l="1"/>
  <c r="O107" i="13"/>
  <c r="L108" i="13"/>
  <c r="K108" i="13"/>
  <c r="M108" i="13"/>
  <c r="G108" i="13"/>
  <c r="J108" i="13"/>
  <c r="H108" i="13"/>
  <c r="N108" i="13"/>
  <c r="I108" i="13"/>
  <c r="E108" i="13" l="1"/>
  <c r="D109" i="13" s="1"/>
  <c r="F108" i="13" s="1"/>
  <c r="S106" i="13"/>
  <c r="T106" i="13" s="1"/>
  <c r="Q106" i="13"/>
  <c r="P107" i="13" l="1"/>
  <c r="O108" i="13"/>
  <c r="L109" i="13"/>
  <c r="K109" i="13"/>
  <c r="J109" i="13"/>
  <c r="I109" i="13"/>
  <c r="H109" i="13"/>
  <c r="N109" i="13"/>
  <c r="G109" i="13"/>
  <c r="M109" i="13"/>
  <c r="E109" i="13" l="1"/>
  <c r="D110" i="13" s="1"/>
  <c r="F109" i="13" s="1"/>
  <c r="S107" i="13"/>
  <c r="T107" i="13" s="1"/>
  <c r="Q107" i="13"/>
  <c r="P108" i="13" l="1"/>
  <c r="O109" i="13"/>
  <c r="G110" i="13"/>
  <c r="H110" i="13"/>
  <c r="K110" i="13"/>
  <c r="L110" i="13"/>
  <c r="M110" i="13"/>
  <c r="J110" i="13"/>
  <c r="I110" i="13"/>
  <c r="N110" i="13"/>
  <c r="E110" i="13" l="1"/>
  <c r="D111" i="13" s="1"/>
  <c r="F110" i="13" s="1"/>
  <c r="S108" i="13"/>
  <c r="T108" i="13" s="1"/>
  <c r="Q108" i="13"/>
  <c r="P109" i="13" l="1"/>
  <c r="O110" i="13"/>
  <c r="K111" i="13"/>
  <c r="G111" i="13"/>
  <c r="M111" i="13"/>
  <c r="L111" i="13"/>
  <c r="J111" i="13"/>
  <c r="I111" i="13"/>
  <c r="N111" i="13"/>
  <c r="H111" i="13"/>
  <c r="E111" i="13" l="1"/>
  <c r="D112" i="13" s="1"/>
  <c r="F111" i="13" s="1"/>
  <c r="Q109" i="13"/>
  <c r="S109" i="13"/>
  <c r="T109" i="13" s="1"/>
  <c r="P110" i="13" l="1"/>
  <c r="O111" i="13"/>
  <c r="G112" i="13"/>
  <c r="K112" i="13"/>
  <c r="N112" i="13"/>
  <c r="M112" i="13"/>
  <c r="J112" i="13"/>
  <c r="I112" i="13"/>
  <c r="H112" i="13"/>
  <c r="L112" i="13"/>
  <c r="E112" i="13" l="1"/>
  <c r="D113" i="13" s="1"/>
  <c r="F112" i="13" s="1"/>
  <c r="S110" i="13"/>
  <c r="T110" i="13" s="1"/>
  <c r="Q110" i="13"/>
  <c r="P111" i="13" l="1"/>
  <c r="O112" i="13"/>
  <c r="N113" i="13"/>
  <c r="I113" i="13"/>
  <c r="H113" i="13"/>
  <c r="K113" i="13"/>
  <c r="M113" i="13"/>
  <c r="L113" i="13"/>
  <c r="G113" i="13"/>
  <c r="J113" i="13"/>
  <c r="E113" i="13" l="1"/>
  <c r="D114" i="13" s="1"/>
  <c r="F113" i="13" s="1"/>
  <c r="S111" i="13"/>
  <c r="T111" i="13" s="1"/>
  <c r="Q111" i="13"/>
  <c r="P112" i="13" l="1"/>
  <c r="O113" i="13"/>
  <c r="N114" i="13"/>
  <c r="G114" i="13"/>
  <c r="H114" i="13"/>
  <c r="J114" i="13"/>
  <c r="M114" i="13"/>
  <c r="L114" i="13"/>
  <c r="K114" i="13"/>
  <c r="I114" i="13"/>
  <c r="E114" i="13" l="1"/>
  <c r="D115" i="13" s="1"/>
  <c r="F114" i="13" s="1"/>
  <c r="S112" i="13"/>
  <c r="T112" i="13" s="1"/>
  <c r="Q112" i="13"/>
  <c r="P113" i="13" l="1"/>
  <c r="O114" i="13"/>
  <c r="G115" i="13"/>
  <c r="L115" i="13"/>
  <c r="N115" i="13"/>
  <c r="M115" i="13"/>
  <c r="I115" i="13"/>
  <c r="K115" i="13"/>
  <c r="H115" i="13"/>
  <c r="J115" i="13"/>
  <c r="E115" i="13" l="1"/>
  <c r="D116" i="13" s="1"/>
  <c r="F115" i="13" s="1"/>
  <c r="Q113" i="13"/>
  <c r="S113" i="13"/>
  <c r="T113" i="13" s="1"/>
  <c r="P114" i="13" l="1"/>
  <c r="O115" i="13"/>
  <c r="L116" i="13"/>
  <c r="I116" i="13"/>
  <c r="M116" i="13"/>
  <c r="J116" i="13"/>
  <c r="H116" i="13"/>
  <c r="G116" i="13"/>
  <c r="K116" i="13"/>
  <c r="N116" i="13"/>
  <c r="E116" i="13" l="1"/>
  <c r="D117" i="13"/>
  <c r="F116" i="13" s="1"/>
  <c r="S114" i="13"/>
  <c r="T114" i="13" s="1"/>
  <c r="Q114" i="13"/>
  <c r="P115" i="13" l="1"/>
  <c r="O116" i="13"/>
  <c r="J117" i="13"/>
  <c r="M117" i="13"/>
  <c r="I117" i="13"/>
  <c r="N117" i="13"/>
  <c r="K117" i="13"/>
  <c r="L117" i="13"/>
  <c r="G117" i="13"/>
  <c r="H117" i="13"/>
  <c r="E117" i="13" l="1"/>
  <c r="D118" i="13" s="1"/>
  <c r="F117" i="13" s="1"/>
  <c r="S115" i="13"/>
  <c r="T115" i="13" s="1"/>
  <c r="Q115" i="13"/>
  <c r="P116" i="13" l="1"/>
  <c r="O117" i="13"/>
  <c r="G118" i="13"/>
  <c r="M118" i="13"/>
  <c r="H118" i="13"/>
  <c r="L118" i="13"/>
  <c r="N118" i="13"/>
  <c r="J118" i="13"/>
  <c r="I118" i="13"/>
  <c r="K118" i="13"/>
  <c r="E118" i="13" l="1"/>
  <c r="D119" i="13" s="1"/>
  <c r="F118" i="13" s="1"/>
  <c r="Q116" i="13"/>
  <c r="S116" i="13"/>
  <c r="T116" i="13" s="1"/>
  <c r="P117" i="13" l="1"/>
  <c r="O118" i="13"/>
  <c r="N119" i="13"/>
  <c r="G119" i="13"/>
  <c r="M119" i="13"/>
  <c r="H119" i="13"/>
  <c r="J119" i="13"/>
  <c r="K119" i="13"/>
  <c r="L119" i="13"/>
  <c r="I119" i="13"/>
  <c r="E119" i="13" l="1"/>
  <c r="D120" i="13" s="1"/>
  <c r="F119" i="13" s="1"/>
  <c r="Q117" i="13"/>
  <c r="S117" i="13"/>
  <c r="T117" i="13" s="1"/>
  <c r="P118" i="13" l="1"/>
  <c r="O119" i="13"/>
  <c r="N120" i="13"/>
  <c r="I120" i="13"/>
  <c r="L120" i="13"/>
  <c r="J120" i="13"/>
  <c r="M120" i="13"/>
  <c r="G120" i="13"/>
  <c r="K120" i="13"/>
  <c r="H120" i="13"/>
  <c r="E120" i="13" l="1"/>
  <c r="D121" i="13" s="1"/>
  <c r="F120" i="13" s="1"/>
  <c r="Q118" i="13"/>
  <c r="S118" i="13"/>
  <c r="T118" i="13" s="1"/>
  <c r="P119" i="13" l="1"/>
  <c r="O120" i="13"/>
  <c r="I121" i="13"/>
  <c r="K121" i="13"/>
  <c r="J121" i="13"/>
  <c r="G121" i="13"/>
  <c r="N121" i="13"/>
  <c r="L121" i="13"/>
  <c r="H121" i="13"/>
  <c r="M121" i="13"/>
  <c r="E121" i="13" l="1"/>
  <c r="D122" i="13"/>
  <c r="F121" i="13" s="1"/>
  <c r="S119" i="13"/>
  <c r="T119" i="13" s="1"/>
  <c r="Q119" i="13"/>
  <c r="P120" i="13" l="1"/>
  <c r="O121" i="13"/>
  <c r="I122" i="13"/>
  <c r="G122" i="13"/>
  <c r="L122" i="13"/>
  <c r="H122" i="13"/>
  <c r="M122" i="13"/>
  <c r="J122" i="13"/>
  <c r="K122" i="13"/>
  <c r="N122" i="13"/>
  <c r="E122" i="13" l="1"/>
  <c r="D123" i="13" s="1"/>
  <c r="F122" i="13" s="1"/>
  <c r="S120" i="13"/>
  <c r="T120" i="13" s="1"/>
  <c r="Q120" i="13"/>
  <c r="P121" i="13" l="1"/>
  <c r="O122" i="13"/>
  <c r="N123" i="13"/>
  <c r="J123" i="13"/>
  <c r="H123" i="13"/>
  <c r="G123" i="13"/>
  <c r="M123" i="13"/>
  <c r="K123" i="13"/>
  <c r="L123" i="13"/>
  <c r="I123" i="13"/>
  <c r="E123" i="13" l="1"/>
  <c r="D124" i="13" s="1"/>
  <c r="F123" i="13" s="1"/>
  <c r="S121" i="13"/>
  <c r="T121" i="13" s="1"/>
  <c r="Q121" i="13"/>
  <c r="P122" i="13" l="1"/>
  <c r="O123" i="13"/>
  <c r="K124" i="13"/>
  <c r="M124" i="13"/>
  <c r="J124" i="13"/>
  <c r="H124" i="13"/>
  <c r="L124" i="13"/>
  <c r="N124" i="13"/>
  <c r="I124" i="13"/>
  <c r="G124" i="13"/>
  <c r="E124" i="13" l="1"/>
  <c r="D125" i="13" s="1"/>
  <c r="F124" i="13" s="1"/>
  <c r="S122" i="13"/>
  <c r="T122" i="13" s="1"/>
  <c r="Q122" i="13"/>
  <c r="P123" i="13" l="1"/>
  <c r="O124" i="13"/>
  <c r="G125" i="13"/>
  <c r="H125" i="13"/>
  <c r="M125" i="13"/>
  <c r="L125" i="13"/>
  <c r="N125" i="13"/>
  <c r="K125" i="13"/>
  <c r="J125" i="13"/>
  <c r="I125" i="13"/>
  <c r="E125" i="13" l="1"/>
  <c r="D126" i="13" s="1"/>
  <c r="F125" i="13" s="1"/>
  <c r="S123" i="13"/>
  <c r="T123" i="13" s="1"/>
  <c r="Q123" i="13"/>
  <c r="P124" i="13" l="1"/>
  <c r="O125" i="13"/>
  <c r="L126" i="13"/>
  <c r="J126" i="13"/>
  <c r="G126" i="13"/>
  <c r="H126" i="13"/>
  <c r="I126" i="13"/>
  <c r="K126" i="13"/>
  <c r="M126" i="13"/>
  <c r="N126" i="13"/>
  <c r="E126" i="13" l="1"/>
  <c r="D127" i="13" s="1"/>
  <c r="F126" i="13" s="1"/>
  <c r="S124" i="13"/>
  <c r="T124" i="13" s="1"/>
  <c r="Q124" i="13"/>
  <c r="P125" i="13" l="1"/>
  <c r="O126" i="13"/>
  <c r="J127" i="13"/>
  <c r="G127" i="13"/>
  <c r="K127" i="13"/>
  <c r="M127" i="13"/>
  <c r="L127" i="13"/>
  <c r="I127" i="13"/>
  <c r="H127" i="13"/>
  <c r="N127" i="13"/>
  <c r="E127" i="13" l="1"/>
  <c r="D128" i="13" s="1"/>
  <c r="F127" i="13" s="1"/>
  <c r="Q125" i="13"/>
  <c r="S125" i="13"/>
  <c r="T125" i="13" s="1"/>
  <c r="O127" i="13" l="1"/>
  <c r="P126" i="13"/>
  <c r="L128" i="13"/>
  <c r="H128" i="13"/>
  <c r="J128" i="13"/>
  <c r="K128" i="13"/>
  <c r="I128" i="13"/>
  <c r="N128" i="13"/>
  <c r="G128" i="13"/>
  <c r="M128" i="13"/>
  <c r="E128" i="13" l="1"/>
  <c r="D129" i="13" s="1"/>
  <c r="F128" i="13" s="1"/>
  <c r="Q126" i="13"/>
  <c r="S126" i="13"/>
  <c r="T126" i="13" s="1"/>
  <c r="P127" i="13" l="1"/>
  <c r="O128" i="13"/>
  <c r="N129" i="13"/>
  <c r="J129" i="13"/>
  <c r="L129" i="13"/>
  <c r="G129" i="13"/>
  <c r="H129" i="13"/>
  <c r="I129" i="13"/>
  <c r="K129" i="13"/>
  <c r="M129" i="13"/>
  <c r="E129" i="13" l="1"/>
  <c r="D130" i="13" s="1"/>
  <c r="F129" i="13" s="1"/>
  <c r="Q127" i="13"/>
  <c r="S127" i="13"/>
  <c r="T127" i="13" s="1"/>
  <c r="O129" i="13" l="1"/>
  <c r="P128" i="13"/>
  <c r="G130" i="13"/>
  <c r="I130" i="13"/>
  <c r="L130" i="13"/>
  <c r="H130" i="13"/>
  <c r="J130" i="13"/>
  <c r="N130" i="13"/>
  <c r="M130" i="13"/>
  <c r="K130" i="13"/>
  <c r="E130" i="13" l="1"/>
  <c r="D131" i="13" s="1"/>
  <c r="F130" i="13" s="1"/>
  <c r="Q128" i="13"/>
  <c r="S128" i="13"/>
  <c r="T128" i="13" s="1"/>
  <c r="P129" i="13" l="1"/>
  <c r="O130" i="13"/>
  <c r="H131" i="13"/>
  <c r="I131" i="13"/>
  <c r="N131" i="13"/>
  <c r="J131" i="13"/>
  <c r="L131" i="13"/>
  <c r="K131" i="13"/>
  <c r="G131" i="13"/>
  <c r="M131" i="13"/>
  <c r="E131" i="13" l="1"/>
  <c r="D132" i="13" s="1"/>
  <c r="F131" i="13" s="1"/>
  <c r="S129" i="13"/>
  <c r="T129" i="13" s="1"/>
  <c r="Q129" i="13"/>
  <c r="O131" i="13" l="1"/>
  <c r="P130" i="13"/>
  <c r="H132" i="13"/>
  <c r="M132" i="13"/>
  <c r="I132" i="13"/>
  <c r="K132" i="13"/>
  <c r="G132" i="13"/>
  <c r="J132" i="13"/>
  <c r="N132" i="13"/>
  <c r="L132" i="13"/>
  <c r="E132" i="13" l="1"/>
  <c r="D133" i="13" s="1"/>
  <c r="F132" i="13" s="1"/>
  <c r="Q130" i="13"/>
  <c r="S130" i="13"/>
  <c r="T130" i="13" s="1"/>
  <c r="P131" i="13" l="1"/>
  <c r="O132" i="13"/>
  <c r="N133" i="13"/>
  <c r="J133" i="13"/>
  <c r="H133" i="13"/>
  <c r="I133" i="13"/>
  <c r="M133" i="13"/>
  <c r="G133" i="13"/>
  <c r="L133" i="13"/>
  <c r="K133" i="13"/>
  <c r="E133" i="13" l="1"/>
  <c r="D134" i="13"/>
  <c r="F133" i="13" s="1"/>
  <c r="S131" i="13"/>
  <c r="T131" i="13" s="1"/>
  <c r="Q131" i="13"/>
  <c r="P132" i="13" l="1"/>
  <c r="O133" i="13"/>
  <c r="N134" i="13"/>
  <c r="H134" i="13"/>
  <c r="M134" i="13"/>
  <c r="J134" i="13"/>
  <c r="I134" i="13"/>
  <c r="K134" i="13"/>
  <c r="L134" i="13"/>
  <c r="G134" i="13"/>
  <c r="E134" i="13" l="1"/>
  <c r="D135" i="13"/>
  <c r="F134" i="13" s="1"/>
  <c r="S132" i="13"/>
  <c r="T132" i="13" s="1"/>
  <c r="Q132" i="13"/>
  <c r="P133" i="13" l="1"/>
  <c r="O134" i="13"/>
  <c r="G135" i="13"/>
  <c r="I135" i="13"/>
  <c r="L135" i="13"/>
  <c r="J135" i="13"/>
  <c r="H135" i="13"/>
  <c r="K135" i="13"/>
  <c r="M135" i="13"/>
  <c r="N135" i="13"/>
  <c r="E135" i="13" l="1"/>
  <c r="D136" i="13" s="1"/>
  <c r="F135" i="13" s="1"/>
  <c r="S133" i="13"/>
  <c r="T133" i="13" s="1"/>
  <c r="Q133" i="13"/>
  <c r="P134" i="13" l="1"/>
  <c r="O135" i="13"/>
  <c r="H136" i="13"/>
  <c r="J136" i="13"/>
  <c r="L136" i="13"/>
  <c r="K136" i="13"/>
  <c r="I136" i="13"/>
  <c r="G136" i="13"/>
  <c r="M136" i="13"/>
  <c r="N136" i="13"/>
  <c r="E136" i="13" l="1"/>
  <c r="D137" i="13" s="1"/>
  <c r="F136" i="13" s="1"/>
  <c r="Q134" i="13"/>
  <c r="S134" i="13"/>
  <c r="T134" i="13" s="1"/>
  <c r="P135" i="13" l="1"/>
  <c r="O136" i="13"/>
  <c r="N137" i="13"/>
  <c r="G137" i="13"/>
  <c r="L137" i="13"/>
  <c r="J137" i="13"/>
  <c r="M137" i="13"/>
  <c r="H137" i="13"/>
  <c r="K137" i="13"/>
  <c r="I137" i="13"/>
  <c r="E137" i="13" l="1"/>
  <c r="D138" i="13" s="1"/>
  <c r="F137" i="13" s="1"/>
  <c r="S135" i="13"/>
  <c r="T135" i="13" s="1"/>
  <c r="Q135" i="13"/>
  <c r="P136" i="13" l="1"/>
  <c r="O137" i="13"/>
  <c r="L138" i="13"/>
  <c r="H138" i="13"/>
  <c r="I138" i="13"/>
  <c r="J138" i="13"/>
  <c r="N138" i="13"/>
  <c r="M138" i="13"/>
  <c r="K138" i="13"/>
  <c r="G138" i="13"/>
  <c r="E138" i="13" l="1"/>
  <c r="D139" i="13" s="1"/>
  <c r="F138" i="13" s="1"/>
  <c r="S136" i="13"/>
  <c r="T136" i="13" s="1"/>
  <c r="Q136" i="13"/>
  <c r="P137" i="13" l="1"/>
  <c r="O138" i="13"/>
  <c r="L139" i="13"/>
  <c r="H139" i="13"/>
  <c r="M139" i="13"/>
  <c r="G139" i="13"/>
  <c r="K139" i="13"/>
  <c r="N139" i="13"/>
  <c r="I139" i="13"/>
  <c r="J139" i="13"/>
  <c r="E139" i="13" l="1"/>
  <c r="D140" i="13" s="1"/>
  <c r="F139" i="13" s="1"/>
  <c r="S137" i="13"/>
  <c r="T137" i="13" s="1"/>
  <c r="Q137" i="13"/>
  <c r="P138" i="13" l="1"/>
  <c r="O139" i="13"/>
  <c r="G140" i="13"/>
  <c r="J140" i="13"/>
  <c r="H140" i="13"/>
  <c r="N140" i="13"/>
  <c r="L140" i="13"/>
  <c r="K140" i="13"/>
  <c r="I140" i="13"/>
  <c r="M140" i="13"/>
  <c r="E140" i="13" l="1"/>
  <c r="D141" i="13" s="1"/>
  <c r="F140" i="13" s="1"/>
  <c r="S138" i="13"/>
  <c r="T138" i="13" s="1"/>
  <c r="Q138" i="13"/>
  <c r="P139" i="13" l="1"/>
  <c r="O140" i="13"/>
  <c r="J141" i="13"/>
  <c r="I141" i="13"/>
  <c r="H141" i="13"/>
  <c r="M141" i="13"/>
  <c r="K141" i="13"/>
  <c r="N141" i="13"/>
  <c r="L141" i="13"/>
  <c r="G141" i="13"/>
  <c r="E141" i="13" l="1"/>
  <c r="D142" i="13" s="1"/>
  <c r="F141" i="13" s="1"/>
  <c r="S139" i="13"/>
  <c r="T139" i="13" s="1"/>
  <c r="Q139" i="13"/>
  <c r="O141" i="13" l="1"/>
  <c r="P140" i="13"/>
  <c r="J142" i="13"/>
  <c r="I142" i="13"/>
  <c r="N142" i="13"/>
  <c r="G142" i="13"/>
  <c r="K142" i="13"/>
  <c r="H142" i="13"/>
  <c r="M142" i="13"/>
  <c r="L142" i="13"/>
  <c r="E142" i="13" l="1"/>
  <c r="D143" i="13" s="1"/>
  <c r="F142" i="13" s="1"/>
  <c r="S140" i="13"/>
  <c r="T140" i="13" s="1"/>
  <c r="Q140" i="13"/>
  <c r="P141" i="13" l="1"/>
  <c r="O142" i="13"/>
  <c r="N143" i="13"/>
  <c r="H143" i="13"/>
  <c r="I143" i="13"/>
  <c r="K143" i="13"/>
  <c r="G143" i="13"/>
  <c r="L143" i="13"/>
  <c r="M143" i="13"/>
  <c r="J143" i="13"/>
  <c r="E143" i="13" l="1"/>
  <c r="D144" i="13" s="1"/>
  <c r="F143" i="13" s="1"/>
  <c r="S141" i="13"/>
  <c r="T141" i="13" s="1"/>
  <c r="Q141" i="13"/>
  <c r="O143" i="13" l="1"/>
  <c r="P142" i="13"/>
  <c r="K144" i="13"/>
  <c r="M144" i="13"/>
  <c r="H144" i="13"/>
  <c r="L144" i="13"/>
  <c r="I144" i="13"/>
  <c r="J144" i="13"/>
  <c r="N144" i="13"/>
  <c r="G144" i="13"/>
  <c r="E144" i="13" l="1"/>
  <c r="D145" i="13" s="1"/>
  <c r="F144" i="13" s="1"/>
  <c r="S142" i="13"/>
  <c r="T142" i="13" s="1"/>
  <c r="Q142" i="13"/>
  <c r="O144" i="13" l="1"/>
  <c r="P143" i="13"/>
  <c r="N145" i="13"/>
  <c r="G145" i="13"/>
  <c r="M145" i="13"/>
  <c r="I145" i="13"/>
  <c r="L145" i="13"/>
  <c r="J145" i="13"/>
  <c r="H145" i="13"/>
  <c r="K145" i="13"/>
  <c r="E145" i="13" l="1"/>
  <c r="D146" i="13" s="1"/>
  <c r="F145" i="13" s="1"/>
  <c r="S143" i="13"/>
  <c r="T143" i="13" s="1"/>
  <c r="Q143" i="13"/>
  <c r="P144" i="13" l="1"/>
  <c r="O145" i="13"/>
  <c r="H146" i="13"/>
  <c r="N146" i="13"/>
  <c r="G146" i="13"/>
  <c r="L146" i="13"/>
  <c r="I146" i="13"/>
  <c r="J146" i="13"/>
  <c r="M146" i="13"/>
  <c r="K146" i="13"/>
  <c r="E146" i="13" l="1"/>
  <c r="D147" i="13" s="1"/>
  <c r="F146" i="13" s="1"/>
  <c r="S144" i="13"/>
  <c r="T144" i="13" s="1"/>
  <c r="Q144" i="13"/>
  <c r="P145" i="13" l="1"/>
  <c r="O146" i="13"/>
  <c r="H147" i="13"/>
  <c r="L147" i="13"/>
  <c r="G147" i="13"/>
  <c r="M147" i="13"/>
  <c r="J147" i="13"/>
  <c r="I147" i="13"/>
  <c r="K147" i="13"/>
  <c r="N147" i="13"/>
  <c r="E147" i="13" l="1"/>
  <c r="D148" i="13" s="1"/>
  <c r="F147" i="13" s="1"/>
  <c r="S145" i="13"/>
  <c r="T145" i="13" s="1"/>
  <c r="Q145" i="13"/>
  <c r="P146" i="13" l="1"/>
  <c r="O147" i="13"/>
  <c r="L148" i="13"/>
  <c r="G148" i="13"/>
  <c r="K148" i="13"/>
  <c r="M148" i="13"/>
  <c r="I148" i="13"/>
  <c r="H148" i="13"/>
  <c r="N148" i="13"/>
  <c r="J148" i="13"/>
  <c r="E148" i="13" l="1"/>
  <c r="D149" i="13" s="1"/>
  <c r="F148" i="13" s="1"/>
  <c r="Q146" i="13"/>
  <c r="S146" i="13"/>
  <c r="T146" i="13" s="1"/>
  <c r="P147" i="13" l="1"/>
  <c r="O148" i="13"/>
  <c r="N149" i="13"/>
  <c r="M149" i="13"/>
  <c r="H149" i="13"/>
  <c r="G149" i="13"/>
  <c r="K149" i="13"/>
  <c r="I149" i="13"/>
  <c r="L149" i="13"/>
  <c r="J149" i="13"/>
  <c r="E149" i="13" l="1"/>
  <c r="D150" i="13"/>
  <c r="F149" i="13" s="1"/>
  <c r="S147" i="13"/>
  <c r="T147" i="13" s="1"/>
  <c r="Q147" i="13"/>
  <c r="O149" i="13" l="1"/>
  <c r="P148" i="13"/>
  <c r="M150" i="13"/>
  <c r="H150" i="13"/>
  <c r="G150" i="13"/>
  <c r="K150" i="13"/>
  <c r="J150" i="13"/>
  <c r="I150" i="13"/>
  <c r="L150" i="13"/>
  <c r="N150" i="13"/>
  <c r="E150" i="13" l="1"/>
  <c r="D151" i="13" s="1"/>
  <c r="F150" i="13" s="1"/>
  <c r="S148" i="13"/>
  <c r="T148" i="13" s="1"/>
  <c r="Q148" i="13"/>
  <c r="P149" i="13" l="1"/>
  <c r="O150" i="13"/>
  <c r="J151" i="13"/>
  <c r="H151" i="13"/>
  <c r="G151" i="13"/>
  <c r="M151" i="13"/>
  <c r="I151" i="13"/>
  <c r="K151" i="13"/>
  <c r="L151" i="13"/>
  <c r="N151" i="13"/>
  <c r="E151" i="13" l="1"/>
  <c r="D152" i="13" s="1"/>
  <c r="F151" i="13" s="1"/>
  <c r="S149" i="13"/>
  <c r="T149" i="13" s="1"/>
  <c r="Q149" i="13"/>
  <c r="O151" i="13" l="1"/>
  <c r="P150" i="13"/>
  <c r="K152" i="13"/>
  <c r="N152" i="13"/>
  <c r="I152" i="13"/>
  <c r="L152" i="13"/>
  <c r="J152" i="13"/>
  <c r="M152" i="13"/>
  <c r="H152" i="13"/>
  <c r="G152" i="13"/>
  <c r="E152" i="13" l="1"/>
  <c r="D153" i="13" s="1"/>
  <c r="F152" i="13" s="1"/>
  <c r="Q150" i="13"/>
  <c r="S150" i="13"/>
  <c r="T150" i="13" s="1"/>
  <c r="P151" i="13" l="1"/>
  <c r="O152" i="13"/>
  <c r="K153" i="13"/>
  <c r="M153" i="13"/>
  <c r="G153" i="13"/>
  <c r="L153" i="13"/>
  <c r="N153" i="13"/>
  <c r="H153" i="13"/>
  <c r="I153" i="13"/>
  <c r="J153" i="13"/>
  <c r="E153" i="13" l="1"/>
  <c r="D154" i="13" s="1"/>
  <c r="F153" i="13" s="1"/>
  <c r="Q151" i="13"/>
  <c r="S151" i="13"/>
  <c r="T151" i="13" s="1"/>
  <c r="P152" i="13" l="1"/>
  <c r="O153" i="13"/>
  <c r="L154" i="13"/>
  <c r="J154" i="13"/>
  <c r="M154" i="13"/>
  <c r="G154" i="13"/>
  <c r="N154" i="13"/>
  <c r="I154" i="13"/>
  <c r="K154" i="13"/>
  <c r="H154" i="13"/>
  <c r="E154" i="13" l="1"/>
  <c r="D155" i="13"/>
  <c r="F154" i="13" s="1"/>
  <c r="S152" i="13"/>
  <c r="T152" i="13" s="1"/>
  <c r="Q152" i="13"/>
  <c r="P153" i="13" l="1"/>
  <c r="O154" i="13"/>
  <c r="J155" i="13"/>
  <c r="M155" i="13"/>
  <c r="H155" i="13"/>
  <c r="K155" i="13"/>
  <c r="L155" i="13"/>
  <c r="G155" i="13"/>
  <c r="N155" i="13"/>
  <c r="I155" i="13"/>
  <c r="E155" i="13" l="1"/>
  <c r="D156" i="13" s="1"/>
  <c r="F155" i="13" s="1"/>
  <c r="S153" i="13"/>
  <c r="T153" i="13" s="1"/>
  <c r="Q153" i="13"/>
  <c r="P154" i="13" l="1"/>
  <c r="O155" i="13"/>
  <c r="L156" i="13"/>
  <c r="M156" i="13"/>
  <c r="K156" i="13"/>
  <c r="I156" i="13"/>
  <c r="H156" i="13"/>
  <c r="N156" i="13"/>
  <c r="J156" i="13"/>
  <c r="G156" i="13"/>
  <c r="E156" i="13" l="1"/>
  <c r="D157" i="13" s="1"/>
  <c r="F156" i="13" s="1"/>
  <c r="S154" i="13"/>
  <c r="T154" i="13" s="1"/>
  <c r="Q154" i="13"/>
  <c r="P155" i="13" l="1"/>
  <c r="O156" i="13"/>
  <c r="G157" i="13"/>
  <c r="N157" i="13"/>
  <c r="L157" i="13"/>
  <c r="K157" i="13"/>
  <c r="H157" i="13"/>
  <c r="I157" i="13"/>
  <c r="J157" i="13"/>
  <c r="M157" i="13"/>
  <c r="E157" i="13" l="1"/>
  <c r="D158" i="13" s="1"/>
  <c r="F157" i="13" s="1"/>
  <c r="S155" i="13"/>
  <c r="T155" i="13" s="1"/>
  <c r="Q155" i="13"/>
  <c r="O157" i="13" l="1"/>
  <c r="P156" i="13"/>
  <c r="H158" i="13"/>
  <c r="I158" i="13"/>
  <c r="N158" i="13"/>
  <c r="G158" i="13"/>
  <c r="M158" i="13"/>
  <c r="K158" i="13"/>
  <c r="J158" i="13"/>
  <c r="L158" i="13"/>
  <c r="D159" i="13" l="1"/>
  <c r="F158" i="13" s="1"/>
  <c r="S156" i="13"/>
  <c r="T156" i="13" s="1"/>
  <c r="Q156" i="13"/>
  <c r="O158" i="13" l="1"/>
  <c r="P157" i="13"/>
  <c r="L159" i="13"/>
  <c r="K159" i="13"/>
  <c r="G159" i="13"/>
  <c r="N159" i="13"/>
  <c r="J159" i="13"/>
  <c r="I159" i="13"/>
  <c r="H159" i="13"/>
  <c r="M159" i="13"/>
  <c r="E159" i="13" l="1"/>
  <c r="D160" i="13" s="1"/>
  <c r="F159" i="13" s="1"/>
  <c r="Q157" i="13"/>
  <c r="S157" i="13"/>
  <c r="T157" i="13" s="1"/>
  <c r="P158" i="13" l="1"/>
  <c r="O159" i="13"/>
  <c r="L160" i="13"/>
  <c r="I160" i="13"/>
  <c r="J160" i="13"/>
  <c r="N160" i="13"/>
  <c r="G160" i="13"/>
  <c r="H160" i="13"/>
  <c r="M160" i="13"/>
  <c r="K160" i="13"/>
  <c r="E160" i="13" l="1"/>
  <c r="D161" i="13" s="1"/>
  <c r="F160" i="13" s="1"/>
  <c r="Q158" i="13"/>
  <c r="S158" i="13"/>
  <c r="T158" i="13" s="1"/>
  <c r="P159" i="13" l="1"/>
  <c r="O160" i="13"/>
  <c r="I161" i="13"/>
  <c r="H161" i="13"/>
  <c r="N161" i="13"/>
  <c r="L161" i="13"/>
  <c r="K161" i="13"/>
  <c r="G161" i="13"/>
  <c r="M161" i="13"/>
  <c r="J161" i="13"/>
  <c r="E161" i="13" l="1"/>
  <c r="D162" i="13" s="1"/>
  <c r="F161" i="13" s="1"/>
  <c r="Q159" i="13"/>
  <c r="S159" i="13"/>
  <c r="T159" i="13" s="1"/>
  <c r="O161" i="13" l="1"/>
  <c r="P160" i="13"/>
  <c r="K162" i="13"/>
  <c r="I162" i="13"/>
  <c r="N162" i="13"/>
  <c r="H162" i="13"/>
  <c r="M162" i="13"/>
  <c r="J162" i="13"/>
  <c r="G162" i="13"/>
  <c r="L162" i="13"/>
  <c r="E162" i="13" l="1"/>
  <c r="D163" i="13" s="1"/>
  <c r="F162" i="13" s="1"/>
  <c r="Q160" i="13"/>
  <c r="S160" i="13"/>
  <c r="T160" i="13" s="1"/>
  <c r="P161" i="13" l="1"/>
  <c r="O162" i="13"/>
  <c r="K163" i="13"/>
  <c r="N163" i="13"/>
  <c r="M163" i="13"/>
  <c r="L163" i="13"/>
  <c r="G163" i="13"/>
  <c r="J163" i="13"/>
  <c r="H163" i="13"/>
  <c r="I163" i="13"/>
  <c r="E163" i="13" l="1"/>
  <c r="D164" i="13" s="1"/>
  <c r="F163" i="13" s="1"/>
  <c r="S161" i="13"/>
  <c r="T161" i="13" s="1"/>
  <c r="Q161" i="13"/>
  <c r="O163" i="13" l="1"/>
  <c r="P162" i="13"/>
  <c r="M164" i="13"/>
  <c r="L164" i="13"/>
  <c r="H164" i="13"/>
  <c r="J164" i="13"/>
  <c r="G164" i="13"/>
  <c r="N164" i="13"/>
  <c r="I164" i="13"/>
  <c r="K164" i="13"/>
  <c r="E164" i="13" l="1"/>
  <c r="D165" i="13" s="1"/>
  <c r="F164" i="13" s="1"/>
  <c r="S162" i="13"/>
  <c r="T162" i="13" s="1"/>
  <c r="Q162" i="13"/>
  <c r="P163" i="13" l="1"/>
  <c r="O164" i="13"/>
  <c r="N165" i="13"/>
  <c r="G165" i="13"/>
  <c r="L165" i="13"/>
  <c r="K165" i="13"/>
  <c r="I165" i="13"/>
  <c r="H165" i="13"/>
  <c r="M165" i="13"/>
  <c r="J165" i="13"/>
  <c r="E165" i="13" l="1"/>
  <c r="D166" i="13" s="1"/>
  <c r="F165" i="13" s="1"/>
  <c r="Q163" i="13"/>
  <c r="S163" i="13"/>
  <c r="T163" i="13" s="1"/>
  <c r="P164" i="13" l="1"/>
  <c r="O165" i="13"/>
  <c r="K166" i="13"/>
  <c r="H166" i="13"/>
  <c r="M166" i="13"/>
  <c r="J166" i="13"/>
  <c r="L166" i="13"/>
  <c r="N166" i="13"/>
  <c r="G166" i="13"/>
  <c r="I166" i="13"/>
  <c r="E166" i="13" l="1"/>
  <c r="D167" i="13" s="1"/>
  <c r="F166" i="13" s="1"/>
  <c r="S164" i="13"/>
  <c r="T164" i="13" s="1"/>
  <c r="Q164" i="13"/>
  <c r="P165" i="13" l="1"/>
  <c r="O166" i="13"/>
  <c r="H167" i="13"/>
  <c r="G167" i="13"/>
  <c r="K167" i="13"/>
  <c r="N167" i="13"/>
  <c r="I167" i="13"/>
  <c r="L167" i="13"/>
  <c r="J167" i="13"/>
  <c r="M167" i="13"/>
  <c r="E167" i="13" l="1"/>
  <c r="D168" i="13" s="1"/>
  <c r="F167" i="13" s="1"/>
  <c r="S165" i="13"/>
  <c r="T165" i="13" s="1"/>
  <c r="Q165" i="13"/>
  <c r="O167" i="13" l="1"/>
  <c r="P166" i="13"/>
  <c r="N168" i="13"/>
  <c r="M168" i="13"/>
  <c r="G168" i="13"/>
  <c r="I168" i="13"/>
  <c r="L168" i="13"/>
  <c r="K168" i="13"/>
  <c r="H168" i="13"/>
  <c r="J168" i="13"/>
  <c r="E168" i="13" l="1"/>
  <c r="D169" i="13" s="1"/>
  <c r="F168" i="13" s="1"/>
  <c r="S166" i="13"/>
  <c r="T166" i="13" s="1"/>
  <c r="Q166" i="13"/>
  <c r="P167" i="13" l="1"/>
  <c r="O168" i="13"/>
  <c r="L169" i="13"/>
  <c r="M169" i="13"/>
  <c r="K169" i="13"/>
  <c r="G169" i="13"/>
  <c r="I169" i="13"/>
  <c r="N169" i="13"/>
  <c r="J169" i="13"/>
  <c r="H169" i="13"/>
  <c r="E169" i="13" l="1"/>
  <c r="D170" i="13" s="1"/>
  <c r="F169" i="13" s="1"/>
  <c r="Q167" i="13"/>
  <c r="S167" i="13"/>
  <c r="T167" i="13" s="1"/>
  <c r="P168" i="13" l="1"/>
  <c r="O169" i="13"/>
  <c r="G170" i="13"/>
  <c r="K170" i="13"/>
  <c r="I170" i="13"/>
  <c r="L170" i="13"/>
  <c r="H170" i="13"/>
  <c r="M170" i="13"/>
  <c r="J170" i="13"/>
  <c r="N170" i="13"/>
  <c r="E170" i="13" l="1"/>
  <c r="D171" i="13" s="1"/>
  <c r="F170" i="13" s="1"/>
  <c r="S168" i="13"/>
  <c r="T168" i="13" s="1"/>
  <c r="Q168" i="13"/>
  <c r="P169" i="13" l="1"/>
  <c r="O170" i="13"/>
  <c r="I171" i="13"/>
  <c r="G171" i="13"/>
  <c r="J171" i="13"/>
  <c r="N171" i="13"/>
  <c r="L171" i="13"/>
  <c r="M171" i="13"/>
  <c r="H171" i="13"/>
  <c r="K171" i="13"/>
  <c r="E171" i="13" l="1"/>
  <c r="D172" i="13" s="1"/>
  <c r="F171" i="13" s="1"/>
  <c r="Q169" i="13"/>
  <c r="S169" i="13"/>
  <c r="T169" i="13" s="1"/>
  <c r="P170" i="13" l="1"/>
  <c r="O171" i="13"/>
  <c r="J172" i="13"/>
  <c r="M172" i="13"/>
  <c r="G172" i="13"/>
  <c r="N172" i="13"/>
  <c r="I172" i="13"/>
  <c r="L172" i="13"/>
  <c r="H172" i="13"/>
  <c r="K172" i="13"/>
  <c r="E172" i="13" l="1"/>
  <c r="D173" i="13" s="1"/>
  <c r="F172" i="13" s="1"/>
  <c r="S170" i="13"/>
  <c r="T170" i="13" s="1"/>
  <c r="Q170" i="13"/>
  <c r="P171" i="13" l="1"/>
  <c r="O172" i="13"/>
  <c r="H173" i="13"/>
  <c r="I173" i="13"/>
  <c r="M173" i="13"/>
  <c r="L173" i="13"/>
  <c r="K173" i="13"/>
  <c r="J173" i="13"/>
  <c r="N173" i="13"/>
  <c r="G173" i="13"/>
  <c r="E173" i="13" l="1"/>
  <c r="D174" i="13" s="1"/>
  <c r="F173" i="13" s="1"/>
  <c r="Q171" i="13"/>
  <c r="S171" i="13"/>
  <c r="T171" i="13" s="1"/>
  <c r="O173" i="13" l="1"/>
  <c r="P172" i="13"/>
  <c r="L174" i="13"/>
  <c r="J174" i="13"/>
  <c r="H174" i="13"/>
  <c r="K174" i="13"/>
  <c r="I174" i="13"/>
  <c r="N174" i="13"/>
  <c r="M174" i="13"/>
  <c r="G174" i="13"/>
  <c r="E174" i="13" l="1"/>
  <c r="D175" i="13" s="1"/>
  <c r="F174" i="13" s="1"/>
  <c r="S172" i="13"/>
  <c r="T172" i="13" s="1"/>
  <c r="Q172" i="13"/>
  <c r="P173" i="13" l="1"/>
  <c r="O174" i="13"/>
  <c r="M175" i="13"/>
  <c r="J175" i="13"/>
  <c r="I175" i="13"/>
  <c r="G175" i="13"/>
  <c r="L175" i="13"/>
  <c r="H175" i="13"/>
  <c r="K175" i="13"/>
  <c r="N175" i="13"/>
  <c r="E175" i="13" l="1"/>
  <c r="D176" i="13"/>
  <c r="F175" i="13" s="1"/>
  <c r="S173" i="13"/>
  <c r="T173" i="13" s="1"/>
  <c r="Q173" i="13"/>
  <c r="O175" i="13" l="1"/>
  <c r="P174" i="13"/>
  <c r="J176" i="13"/>
  <c r="N176" i="13"/>
  <c r="G176" i="13"/>
  <c r="L176" i="13"/>
  <c r="M176" i="13"/>
  <c r="H176" i="13"/>
  <c r="I176" i="13"/>
  <c r="K176" i="13"/>
  <c r="E176" i="13" l="1"/>
  <c r="D177" i="13" s="1"/>
  <c r="F176" i="13" s="1"/>
  <c r="S174" i="13"/>
  <c r="T174" i="13" s="1"/>
  <c r="Q174" i="13"/>
  <c r="P175" i="13" l="1"/>
  <c r="O176" i="13"/>
  <c r="J177" i="13"/>
  <c r="N177" i="13"/>
  <c r="I177" i="13"/>
  <c r="K177" i="13"/>
  <c r="L177" i="13"/>
  <c r="H177" i="13"/>
  <c r="G177" i="13"/>
  <c r="M177" i="13"/>
  <c r="E177" i="13" l="1"/>
  <c r="D178" i="13" s="1"/>
  <c r="F177" i="13" s="1"/>
  <c r="S175" i="13"/>
  <c r="T175" i="13" s="1"/>
  <c r="Q175" i="13"/>
  <c r="P176" i="13" l="1"/>
  <c r="O177" i="13"/>
  <c r="H178" i="13"/>
  <c r="J178" i="13"/>
  <c r="M178" i="13"/>
  <c r="K178" i="13"/>
  <c r="I178" i="13"/>
  <c r="G178" i="13"/>
  <c r="N178" i="13"/>
  <c r="L178" i="13"/>
  <c r="E178" i="13" l="1"/>
  <c r="D179" i="13" s="1"/>
  <c r="F178" i="13" s="1"/>
  <c r="S176" i="13"/>
  <c r="T176" i="13" s="1"/>
  <c r="Q176" i="13"/>
  <c r="P177" i="13" l="1"/>
  <c r="O178" i="13"/>
  <c r="N179" i="13"/>
  <c r="G179" i="13"/>
  <c r="H179" i="13"/>
  <c r="K179" i="13"/>
  <c r="J179" i="13"/>
  <c r="M179" i="13"/>
  <c r="L179" i="13"/>
  <c r="I179" i="13"/>
  <c r="E179" i="13" l="1"/>
  <c r="D180" i="13" s="1"/>
  <c r="F179" i="13" s="1"/>
  <c r="S177" i="13"/>
  <c r="T177" i="13" s="1"/>
  <c r="Q177" i="13"/>
  <c r="P178" i="13" l="1"/>
  <c r="O179" i="13"/>
  <c r="L180" i="13"/>
  <c r="I180" i="13"/>
  <c r="K180" i="13"/>
  <c r="H180" i="13"/>
  <c r="M180" i="13"/>
  <c r="G180" i="13"/>
  <c r="N180" i="13"/>
  <c r="J180" i="13"/>
  <c r="E180" i="13" l="1"/>
  <c r="D181" i="13" s="1"/>
  <c r="F180" i="13" s="1"/>
  <c r="S178" i="13"/>
  <c r="T178" i="13" s="1"/>
  <c r="Q178" i="13"/>
  <c r="O180" i="13" l="1"/>
  <c r="P179" i="13"/>
  <c r="I181" i="13"/>
  <c r="N181" i="13"/>
  <c r="G181" i="13"/>
  <c r="K181" i="13"/>
  <c r="M181" i="13"/>
  <c r="L181" i="13"/>
  <c r="J181" i="13"/>
  <c r="H181" i="13"/>
  <c r="E181" i="13" l="1"/>
  <c r="D182" i="13" s="1"/>
  <c r="F181" i="13" s="1"/>
  <c r="Q179" i="13"/>
  <c r="S179" i="13"/>
  <c r="T179" i="13" s="1"/>
  <c r="O181" i="13" l="1"/>
  <c r="P180" i="13"/>
  <c r="J182" i="13"/>
  <c r="G182" i="13"/>
  <c r="M182" i="13"/>
  <c r="N182" i="13"/>
  <c r="K182" i="13"/>
  <c r="I182" i="13"/>
  <c r="H182" i="13"/>
  <c r="L182" i="13"/>
  <c r="E182" i="13" l="1"/>
  <c r="D183" i="13" s="1"/>
  <c r="F182" i="13" s="1"/>
  <c r="Q180" i="13"/>
  <c r="S180" i="13"/>
  <c r="T180" i="13" s="1"/>
  <c r="P181" i="13" l="1"/>
  <c r="O182" i="13"/>
  <c r="H183" i="13"/>
  <c r="J183" i="13"/>
  <c r="M183" i="13"/>
  <c r="G183" i="13"/>
  <c r="K183" i="13"/>
  <c r="I183" i="13"/>
  <c r="N183" i="13"/>
  <c r="L183" i="13"/>
  <c r="E183" i="13" l="1"/>
  <c r="D184" i="13" s="1"/>
  <c r="F183" i="13" s="1"/>
  <c r="S181" i="13"/>
  <c r="T181" i="13" s="1"/>
  <c r="Q181" i="13"/>
  <c r="P182" i="13" l="1"/>
  <c r="O183" i="13"/>
  <c r="L184" i="13"/>
  <c r="J184" i="13"/>
  <c r="K184" i="13"/>
  <c r="I184" i="13"/>
  <c r="N184" i="13"/>
  <c r="H184" i="13"/>
  <c r="G184" i="13"/>
  <c r="M184" i="13"/>
  <c r="E184" i="13" l="1"/>
  <c r="D185" i="13" s="1"/>
  <c r="F184" i="13" s="1"/>
  <c r="S182" i="13"/>
  <c r="T182" i="13" s="1"/>
  <c r="Q182" i="13"/>
  <c r="P183" i="13" l="1"/>
  <c r="O184" i="13"/>
  <c r="N185" i="13"/>
  <c r="M185" i="13"/>
  <c r="H185" i="13"/>
  <c r="K185" i="13"/>
  <c r="I185" i="13"/>
  <c r="J185" i="13"/>
  <c r="G185" i="13"/>
  <c r="L185" i="13"/>
  <c r="E185" i="13" l="1"/>
  <c r="D186" i="13" s="1"/>
  <c r="F185" i="13" s="1"/>
  <c r="S183" i="13"/>
  <c r="T183" i="13" s="1"/>
  <c r="Q183" i="13"/>
  <c r="O185" i="13" l="1"/>
  <c r="P184" i="13"/>
  <c r="K186" i="13"/>
  <c r="I186" i="13"/>
  <c r="L186" i="13"/>
  <c r="J186" i="13"/>
  <c r="N186" i="13"/>
  <c r="M186" i="13"/>
  <c r="G186" i="13"/>
  <c r="H186" i="13"/>
  <c r="E186" i="13" l="1"/>
  <c r="D187" i="13" s="1"/>
  <c r="F186" i="13" s="1"/>
  <c r="Q184" i="13"/>
  <c r="S184" i="13"/>
  <c r="T184" i="13" s="1"/>
  <c r="O186" i="13" l="1"/>
  <c r="P185" i="13"/>
  <c r="H187" i="13"/>
  <c r="M187" i="13"/>
  <c r="G187" i="13"/>
  <c r="L187" i="13"/>
  <c r="J187" i="13"/>
  <c r="K187" i="13"/>
  <c r="N187" i="13"/>
  <c r="I187" i="13"/>
  <c r="E187" i="13" l="1"/>
  <c r="D188" i="13" s="1"/>
  <c r="F187" i="13" s="1"/>
  <c r="Q185" i="13"/>
  <c r="S185" i="13"/>
  <c r="T185" i="13" s="1"/>
  <c r="P186" i="13" l="1"/>
  <c r="O187" i="13"/>
  <c r="L188" i="13"/>
  <c r="M188" i="13"/>
  <c r="H188" i="13"/>
  <c r="N188" i="13"/>
  <c r="K188" i="13"/>
  <c r="I188" i="13"/>
  <c r="G188" i="13"/>
  <c r="J188" i="13"/>
  <c r="E188" i="13" l="1"/>
  <c r="D189" i="13" s="1"/>
  <c r="F188" i="13" s="1"/>
  <c r="S186" i="13"/>
  <c r="T186" i="13" s="1"/>
  <c r="Q186" i="13"/>
  <c r="P187" i="13" l="1"/>
  <c r="O188" i="13"/>
  <c r="G189" i="13"/>
  <c r="I189" i="13"/>
  <c r="M189" i="13"/>
  <c r="H189" i="13"/>
  <c r="N189" i="13"/>
  <c r="J189" i="13"/>
  <c r="K189" i="13"/>
  <c r="L189" i="13"/>
  <c r="E189" i="13" l="1"/>
  <c r="D190" i="13"/>
  <c r="F189" i="13" s="1"/>
  <c r="Q187" i="13"/>
  <c r="S187" i="13"/>
  <c r="T187" i="13" s="1"/>
  <c r="P188" i="13" l="1"/>
  <c r="O189" i="13"/>
  <c r="N190" i="13"/>
  <c r="H190" i="13"/>
  <c r="M190" i="13"/>
  <c r="J190" i="13"/>
  <c r="G190" i="13"/>
  <c r="L190" i="13"/>
  <c r="I190" i="13"/>
  <c r="K190" i="13"/>
  <c r="E190" i="13" l="1"/>
  <c r="D191" i="13" s="1"/>
  <c r="F190" i="13" s="1"/>
  <c r="Q188" i="13"/>
  <c r="S188" i="13"/>
  <c r="T188" i="13" s="1"/>
  <c r="P189" i="13" l="1"/>
  <c r="O190" i="13"/>
  <c r="K191" i="13"/>
  <c r="I191" i="13"/>
  <c r="L191" i="13"/>
  <c r="G191" i="13"/>
  <c r="N191" i="13"/>
  <c r="M191" i="13"/>
  <c r="J191" i="13"/>
  <c r="H191" i="13"/>
  <c r="E191" i="13" l="1"/>
  <c r="D192" i="13" s="1"/>
  <c r="F191" i="13" s="1"/>
  <c r="Q189" i="13"/>
  <c r="S189" i="13"/>
  <c r="T189" i="13" s="1"/>
  <c r="P190" i="13" l="1"/>
  <c r="O191" i="13"/>
  <c r="G192" i="13"/>
  <c r="M192" i="13"/>
  <c r="L192" i="13"/>
  <c r="K192" i="13"/>
  <c r="N192" i="13"/>
  <c r="J192" i="13"/>
  <c r="I192" i="13"/>
  <c r="H192" i="13"/>
  <c r="E192" i="13" l="1"/>
  <c r="D193" i="13" s="1"/>
  <c r="F192" i="13" s="1"/>
  <c r="S190" i="13"/>
  <c r="T190" i="13" s="1"/>
  <c r="Q190" i="13"/>
  <c r="P191" i="13" l="1"/>
  <c r="O192" i="13"/>
  <c r="N193" i="13"/>
  <c r="I193" i="13"/>
  <c r="M193" i="13"/>
  <c r="L193" i="13"/>
  <c r="K193" i="13"/>
  <c r="H193" i="13"/>
  <c r="J193" i="13"/>
  <c r="G193" i="13"/>
  <c r="E193" i="13" l="1"/>
  <c r="D194" i="13" s="1"/>
  <c r="F193" i="13" s="1"/>
  <c r="S191" i="13"/>
  <c r="T191" i="13" s="1"/>
  <c r="Q191" i="13"/>
  <c r="O193" i="13" l="1"/>
  <c r="P192" i="13"/>
  <c r="N194" i="13"/>
  <c r="G194" i="13"/>
  <c r="M194" i="13"/>
  <c r="J194" i="13"/>
  <c r="H194" i="13"/>
  <c r="I194" i="13"/>
  <c r="K194" i="13"/>
  <c r="L194" i="13"/>
  <c r="E194" i="13" l="1"/>
  <c r="D195" i="13" s="1"/>
  <c r="F194" i="13" s="1"/>
  <c r="Q192" i="13"/>
  <c r="S192" i="13"/>
  <c r="T192" i="13" s="1"/>
  <c r="P193" i="13" l="1"/>
  <c r="O194" i="13"/>
  <c r="G195" i="13"/>
  <c r="K195" i="13"/>
  <c r="M195" i="13"/>
  <c r="J195" i="13"/>
  <c r="L195" i="13"/>
  <c r="I195" i="13"/>
  <c r="N195" i="13"/>
  <c r="H195" i="13"/>
  <c r="E195" i="13" l="1"/>
  <c r="D196" i="13" s="1"/>
  <c r="F195" i="13" s="1"/>
  <c r="S193" i="13"/>
  <c r="T193" i="13" s="1"/>
  <c r="Q193" i="13"/>
  <c r="P194" i="13" l="1"/>
  <c r="O195" i="13"/>
  <c r="M196" i="13"/>
  <c r="I196" i="13"/>
  <c r="K196" i="13"/>
  <c r="L196" i="13"/>
  <c r="J196" i="13"/>
  <c r="H196" i="13"/>
  <c r="N196" i="13"/>
  <c r="G196" i="13"/>
  <c r="E196" i="13" l="1"/>
  <c r="D197" i="13" s="1"/>
  <c r="F196" i="13" s="1"/>
  <c r="S194" i="13"/>
  <c r="T194" i="13" s="1"/>
  <c r="Q194" i="13"/>
  <c r="P195" i="13" l="1"/>
  <c r="O196" i="13"/>
  <c r="L197" i="13"/>
  <c r="G197" i="13"/>
  <c r="N197" i="13"/>
  <c r="K197" i="13"/>
  <c r="J197" i="13"/>
  <c r="H197" i="13"/>
  <c r="I197" i="13"/>
  <c r="M197" i="13"/>
  <c r="E197" i="13" l="1"/>
  <c r="D198" i="13"/>
  <c r="F197" i="13" s="1"/>
  <c r="Q195" i="13"/>
  <c r="S195" i="13"/>
  <c r="T195" i="13" s="1"/>
  <c r="P196" i="13" l="1"/>
  <c r="O197" i="13"/>
  <c r="K198" i="13"/>
  <c r="I198" i="13"/>
  <c r="H198" i="13"/>
  <c r="M198" i="13"/>
  <c r="G198" i="13"/>
  <c r="J198" i="13"/>
  <c r="N198" i="13"/>
  <c r="L198" i="13"/>
  <c r="E198" i="13" l="1"/>
  <c r="D199" i="13" s="1"/>
  <c r="F198" i="13" s="1"/>
  <c r="S196" i="13"/>
  <c r="T196" i="13" s="1"/>
  <c r="Q196" i="13"/>
  <c r="P197" i="13" l="1"/>
  <c r="O198" i="13"/>
  <c r="N199" i="13"/>
  <c r="M199" i="13"/>
  <c r="I199" i="13"/>
  <c r="G199" i="13"/>
  <c r="L199" i="13"/>
  <c r="K199" i="13"/>
  <c r="J199" i="13"/>
  <c r="H199" i="13"/>
  <c r="E199" i="13" l="1"/>
  <c r="D200" i="13" s="1"/>
  <c r="F199" i="13" s="1"/>
  <c r="S197" i="13"/>
  <c r="T197" i="13" s="1"/>
  <c r="Q197" i="13"/>
  <c r="O199" i="13" l="1"/>
  <c r="P198" i="13"/>
  <c r="L200" i="13"/>
  <c r="K200" i="13"/>
  <c r="J200" i="13"/>
  <c r="I200" i="13"/>
  <c r="N200" i="13"/>
  <c r="M200" i="13"/>
  <c r="H200" i="13"/>
  <c r="G200" i="13"/>
  <c r="E200" i="13" l="1"/>
  <c r="D201" i="13" s="1"/>
  <c r="F200" i="13" s="1"/>
  <c r="S198" i="13"/>
  <c r="T198" i="13" s="1"/>
  <c r="Q198" i="13"/>
  <c r="P199" i="13" l="1"/>
  <c r="O200" i="13"/>
  <c r="K201" i="13"/>
  <c r="L201" i="13"/>
  <c r="G201" i="13"/>
  <c r="M201" i="13"/>
  <c r="N201" i="13"/>
  <c r="I201" i="13"/>
  <c r="H201" i="13"/>
  <c r="J201" i="13"/>
  <c r="E201" i="13" l="1"/>
  <c r="D202" i="13"/>
  <c r="F201" i="13" s="1"/>
  <c r="Q199" i="13"/>
  <c r="S199" i="13"/>
  <c r="T199" i="13" s="1"/>
  <c r="P200" i="13" l="1"/>
  <c r="O201" i="13"/>
  <c r="H202" i="13"/>
  <c r="K202" i="13"/>
  <c r="G202" i="13"/>
  <c r="J202" i="13"/>
  <c r="M202" i="13"/>
  <c r="I202" i="13"/>
  <c r="L202" i="13"/>
  <c r="N202" i="13"/>
  <c r="E202" i="13" l="1"/>
  <c r="D203" i="13" s="1"/>
  <c r="F202" i="13" s="1"/>
  <c r="S200" i="13"/>
  <c r="T200" i="13" s="1"/>
  <c r="Q200" i="13"/>
  <c r="P201" i="13" l="1"/>
  <c r="O202" i="13"/>
  <c r="J203" i="13"/>
  <c r="N203" i="13"/>
  <c r="M203" i="13"/>
  <c r="K203" i="13"/>
  <c r="I203" i="13"/>
  <c r="G203" i="13"/>
  <c r="H203" i="13"/>
  <c r="L203" i="13"/>
  <c r="E203" i="13" l="1"/>
  <c r="D204" i="13" s="1"/>
  <c r="F203" i="13" s="1"/>
  <c r="S201" i="13"/>
  <c r="T201" i="13" s="1"/>
  <c r="Q201" i="13"/>
  <c r="P202" i="13" l="1"/>
  <c r="O203" i="13"/>
  <c r="J204" i="13"/>
  <c r="G204" i="13"/>
  <c r="I204" i="13"/>
  <c r="H204" i="13"/>
  <c r="L204" i="13"/>
  <c r="K204" i="13"/>
  <c r="N204" i="13"/>
  <c r="M204" i="13"/>
  <c r="E204" i="13" l="1"/>
  <c r="D205" i="13" s="1"/>
  <c r="F204" i="13" s="1"/>
  <c r="Q202" i="13"/>
  <c r="S202" i="13"/>
  <c r="T202" i="13" s="1"/>
  <c r="O204" i="13" l="1"/>
  <c r="S203" i="13" s="1"/>
  <c r="T203" i="13" s="1"/>
  <c r="P203" i="13"/>
  <c r="Q203" i="13" l="1"/>
</calcChain>
</file>

<file path=xl/sharedStrings.xml><?xml version="1.0" encoding="utf-8"?>
<sst xmlns="http://schemas.openxmlformats.org/spreadsheetml/2006/main" count="2017" uniqueCount="1713">
  <si>
    <t>因此，</t>
  </si>
  <si>
    <t>细心的小伙伴会发现，</t>
  </si>
  <si>
    <t>让我们继续去叠加剩余的操作。</t>
  </si>
  <si>
    <t>让我们再次重新观察这些三乘三的格子。</t>
  </si>
  <si>
    <t>事实上，</t>
  </si>
  <si>
    <t>通过这个方法，</t>
  </si>
  <si>
    <t>另外，</t>
  </si>
  <si>
    <t>同样，</t>
  </si>
  <si>
    <t>那么，</t>
  </si>
  <si>
    <t>同时，</t>
  </si>
  <si>
    <t>目标：从全暗状态打开所有灯（或者全亮状态关闭所有灯）。</t>
  </si>
  <si>
    <t>对同一按钮点击两次，等同于没有按。</t>
  </si>
  <si>
    <t>用不同顺序点击按钮，灯的最终状态是一样的。</t>
  </si>
  <si>
    <t>因此，对格子内的按钮，我们只需考虑按或不按，并且不用关心顺序。</t>
  </si>
  <si>
    <t>我们可以将按钮和灯分开表示，所有按钮的状态为一组，对应灯的状态为一组。</t>
  </si>
  <si>
    <t>我们的目标是：找到一个按钮组，其对应灯的状态为全亮。那么，我们如何找到这样一个组按钮呢？</t>
  </si>
  <si>
    <t>那么，我们该怎么办呢？有没有更快更巧妙的解法呢？</t>
  </si>
  <si>
    <t>细心的小伙伴会发现，无论什么局面，我们都能一行一行点击按钮，点亮尽可能多的灯。</t>
  </si>
  <si>
    <t>例如，我们在第1行随机点击了几个按钮。此时，第1行的灯有些是亮的，有些是暗的。</t>
  </si>
  <si>
    <t>为了让第1行的灯全亮，我们可以去按暗的灯下方的第2行的对应按钮。</t>
  </si>
  <si>
    <t>这时候，第2行的某些灯是暗的。因为按第2行的按钮会熄灭第1行的灯，我们要按第3行的按钮。</t>
  </si>
  <si>
    <t>这里仍有灯是暗的，因此不是正确解法。让我们换一种解法。</t>
  </si>
  <si>
    <t>这次，让我们点击第1行的前两个按钮。</t>
  </si>
  <si>
    <t>由于从第2行开始，每一行的按法都由上一行的灯确定，因此，我们只需遍历第1行的所有按法，递推最后一行灯即可。</t>
  </si>
  <si>
    <t>对于某一特定的灯，只有周围几个按钮可以改变其状态。例如位于左上角的灯，只会被左上角的三个按钮影响。</t>
  </si>
  <si>
    <t>有没有办法叠加多种操作后，只亮一个灯呢？</t>
  </si>
  <si>
    <t>如果每一个灯都可以单独点亮，那我们就能把这些操作都叠加起来，让所有灯全亮。</t>
  </si>
  <si>
    <t>让我们观察第1个灯。这里，操作1、操作2都翻转了第1个灯。</t>
  </si>
  <si>
    <t>同样，操作4也会翻转第1个灯，我们也把操作1叠加到操作4上。</t>
  </si>
  <si>
    <t>然后我们把操作2叠加到操作4和操作5上。</t>
  </si>
  <si>
    <t>重复以上步骤，就能确保操作n只能翻转第n到9个灯。</t>
  </si>
  <si>
    <t>我们再观察操作7。操作7会同时翻转第7个灯和第9个灯。</t>
  </si>
  <si>
    <t>最终，我们得到了全部单独翻转第1到第9个灯的操作。</t>
  </si>
  <si>
    <t>不难发现，我们刚才的操作，就是对这个矩阵进行高斯消元。通过把一行加到另一行，或者交换两行，让矩阵变为上三角矩阵。</t>
  </si>
  <si>
    <t>然后，再把行逆推回去，变为单位矩阵。</t>
  </si>
  <si>
    <t>最后，再把所有行加起来，就得到一组完整的解法。</t>
  </si>
  <si>
    <t>可以注意到，消元后的矩阵最后两行，灯矩阵的部分为空白。也就是说，这两组操作没有翻动任何灯，我们称之为静默操作。</t>
  </si>
  <si>
    <t>我们将其两两组合，形成四种静默操作。</t>
  </si>
  <si>
    <t>按钮会影响周围的灯，同样，灯也只会被附近的按钮翻转。因此，灯的最终状态可以表示为若干个按钮的叠加，也就是全亮。</t>
  </si>
  <si>
    <t>前者，我们对按钮和灯矩阵进行消元，相当于同时乘以逆矩阵。现在，我们对灯向量做相同的操作，便获得了按钮的状态，也就是解法。</t>
  </si>
  <si>
    <t>由于灯向量是全亮，矩阵和向量相乘，等同于把所有按法叠加。通过这个方法，我们无需求出逆矩阵，直接通过消元获得了解法。</t>
  </si>
  <si>
    <t>刚才，我们把按钮和灯当作整体叠加，并未分行。然而，从首行穷举法可知，只要确定第一行按钮，就能推得最后一行灯。</t>
  </si>
  <si>
    <t>是否可以将叠加法和首行穷举法结合，用第一行按钮直接表示最后一行的灯呢？</t>
  </si>
  <si>
    <t>从首行穷举法可知，灯由周围的按钮确定，下一行的按钮则是灯的翻转。我们把一行的灯单独列出来，用按钮表示状态。</t>
  </si>
  <si>
    <t>例如这里，左边第一行代表第一个灯由第1、2个按钮决定，旁边的蓝色方格代表按钮是灯的翻转。</t>
  </si>
  <si>
    <t>注意，两个状态先叠加再翻转，等价于先翻转其中一个再叠加。因此，我们可以将翻转的情况单独列出来。</t>
  </si>
  <si>
    <t>另外，如果某个按钮被叠加了两次，那就等同于没有叠加。同样，如果灯被翻转两次，也等同于没有翻转。</t>
  </si>
  <si>
    <t>接着推导第二行，可由上一行按钮状态叠加确定，因为灯的翻转可以单独列出，也由灯的翻转状态叠加确定。</t>
  </si>
  <si>
    <t>这里分别表示第二行第一个按钮和灯，分别为上一行的按钮或灯的叠加或翻转。</t>
  </si>
  <si>
    <t>接着推导剩余的部分。</t>
  </si>
  <si>
    <t>于是，我们可以由第一行按钮的状态开始，不断推导，得到最后一行灯是由第一行哪几个按钮叠加的。</t>
  </si>
  <si>
    <t>由于在推导的过程中灯进行了翻转，因此最终灯向量也是翻转过的状态。</t>
  </si>
  <si>
    <t>现在，我们对矩阵消元，同时操作灯向量，最终得到第一行按钮的状态。</t>
  </si>
  <si>
    <t>求出静默操作需要获得逆矩阵，有兴趣的小伙伴可以自己试一下。实际上，由于矩阵的高度对称性，这里的列向量和静默操作是相同的。</t>
  </si>
  <si>
    <t>我们将每一个灯都分开来推导，但实际上这些灯之间是有关联的。将矩阵重排后可以观察到，这些矩阵有着高度的对称性。</t>
  </si>
  <si>
    <t>仔细观察这些矩阵可以发现，每个格子的上下左右四个格子的状态数量恰好是偶数个。</t>
  </si>
  <si>
    <t>由于最后一个矩阵才是我们需要的，因此我们只需要知道最后一个矩阵的第一行，就可以推得余下的。</t>
  </si>
  <si>
    <t>由于第一行按钮的状态只有16种，因此所有16种都是静默操作。这里，任意一种第一行按钮，都能通过后三行消除所有灯。</t>
  </si>
  <si>
    <t>同时，16种静默操作也对应着16种解法。这里，同样从任意一种第一行按钮，也能通过后面三行点亮所有灯。</t>
  </si>
  <si>
    <t>这里列出了 $N=1$ 到 $N=16$ 的情况。这个序列被OEIS收录到了：https://oeis.org/A159257。</t>
  </si>
  <si>
    <t>关于这个矩阵的秩，可以使用上述公式进行计算。</t>
  </si>
  <si>
    <t>刚才我们探讨了解的数量，但是没有证明解一定存在。那么对于普通的点灯游戏，解是否一定存在呢？</t>
  </si>
  <si>
    <t>事实上，只要点灯游戏满足两个要求，那它就是可解的。</t>
  </si>
  <si>
    <t>这里的结论并不局限于方阵。事实上，任何形状和空间布局的点灯游戏都是可解的。</t>
  </si>
  <si>
    <t>如果格子没有连成整体，则分开的部分不会互相影响。因此，我们只需要分别求解连起来的部分。</t>
  </si>
  <si>
    <t>下面，让我用简单的方式，使用数学归纳法，来证明所有的点灯游戏都是可解的。</t>
  </si>
  <si>
    <t>首先，让我们考虑只有1，2，3个按钮的情况。这里列举出了所有可能的布局，这些布局显然都是可解的。</t>
  </si>
  <si>
    <t>让我们求解这些3个按钮的格子，然后再将去除的格子补回来。</t>
  </si>
  <si>
    <t>如果任意一个补回来的格子周围的按钮数是奇数，它就会被点亮。那么，这个解法就是4个按钮的解法。</t>
  </si>
  <si>
    <t>不幸的是，所有补回来的格子周围的按钮数都是偶数，因此，所有这些格子都没有被点亮。</t>
  </si>
  <si>
    <t>现在，让我们尝试把这4种状态叠加起来。可以看到，这次所有灯都被点亮了。</t>
  </si>
  <si>
    <t>这是因为，有4种情况各翻转了3个灯，叠加后的4个灯就各翻转了3次。由于翻转次数是奇数，所有灯就都翻转了过来。</t>
  </si>
  <si>
    <t>和刚才一样，我们分别去掉了一个格子求解，再补回来。这里的9种情况恰好补回来的格子也都没有亮。</t>
  </si>
  <si>
    <t>我们把它们叠加起来。由于每个灯翻转了偶数次，因此所有灯都是暗的。</t>
  </si>
  <si>
    <t>然后，我们再依次叠加四个角的按法。现在，所有灯都被翻转了。</t>
  </si>
  <si>
    <t>如此一来，我们恰好补足了刚才没有翻的偶数个灯，也就把所有灯点亮了。</t>
  </si>
  <si>
    <t>不难证明，所有的点灯游戏，总有一种操作可以翻转奇数个灯，因此，我们可以用这种办法求解奇数个按钮的点灯游戏。</t>
  </si>
  <si>
    <t>由此，我们便证明了，对于任意按钮数量的点灯游戏，我们总能找到解法。</t>
  </si>
  <si>
    <t>事实上，这个证明可以用形式语言表达。</t>
  </si>
  <si>
    <t>同时，这个证明和图论息息相关。</t>
  </si>
  <si>
    <t>为了寻找更快的解法，我们可以尝试从这些方向思考问题。</t>
  </si>
  <si>
    <t>由于 UP 主能力有限，有更好的想法或实现思路的朋友，欢迎在评论区留言交流！</t>
  </si>
  <si>
    <t>规则：在 $N\times N$ 的格子内，点击一个按钮，该格及周围的灯会被同时翻转。</t>
  </si>
  <si>
    <t>$N\times N$ 个按钮共有 $2^{N\times N}$ 种组合，每种组合对应唯一的灯状态。只要所有情况都试一遍，看看灯的状态如何即可。</t>
  </si>
  <si>
    <t>例如，当 $N=2$ 时，对应的状态为 $2^{2\times 2}=2^4=16$。很快我们就能列举出所有的情况并得出结论。</t>
  </si>
  <si>
    <t>又例如，当 $N=3$ 时，对应的状态为 $2^{3\times 3}=2^9=512$。我们也可以穷举所有情况得出结论。</t>
  </si>
  <si>
    <t>对于 $N=5$，也就是一开始的经典问题，其状态数为 $2^{5\times 5}=2^{25}=33\,554\,432$，需要计算机来求解。</t>
  </si>
  <si>
    <t>当 $N=6$ 时，状态数为 $2^{36}=68\,719\,476\,736$。复杂度增长得太快，计算机也难以求解。</t>
  </si>
  <si>
    <t>重复这一步骤，直到按完最后一行的按钮。如果最后一行的灯恰好全亮了，那我们就找到了一种解法。</t>
  </si>
  <si>
    <t>经过递推，最后一行灯都被点亮了，因此这就是一种正确解法。</t>
  </si>
  <si>
    <t>通过这种行之间的关系，我们把随机性限制在第1行，使穷举量降到了 $2^N$。这里，我们在 32 种按法中找到了四种解法。</t>
  </si>
  <si>
    <t>这个方法的复杂度仍是指数级别的。那么，有没有更快更精妙的解法呢？</t>
  </si>
  <si>
    <t>对于 $N\times N$ 的格子来说，我们的基本操作只有 $N\times N$ 种，也就是按或者不按某个按钮。</t>
  </si>
  <si>
    <t>按多个按钮相当于把多种操作叠加起来。我们把这三个操作叠加起来得到第1个灯的状态。</t>
  </si>
  <si>
    <t>现在，让我们重新观察 $3\times 3$ 的格子，共有九种操作，标记为操作1到9。</t>
  </si>
  <si>
    <t>现在，我们把操作1叠加到操作2上，操作2就不会翻转第1个灯了。</t>
  </si>
  <si>
    <t>如此一来，只有操作1能够翻转第1个灯。</t>
  </si>
  <si>
    <t>接着我们看第2个灯。</t>
  </si>
  <si>
    <t>同样的，在操作2到9中，找到会翻转第2个灯的操作，把操作2叠加上去。</t>
  </si>
  <si>
    <t>这里，由于操作2没有翻转第2个灯，我们就交换操作2和操作3的位置。</t>
  </si>
  <si>
    <t>由于操作9不能翻转第1到8个灯，只能翻转第9个灯，于是我们便发现了单独翻转第9个灯的操作。</t>
  </si>
  <si>
    <t>然后，我们再回过来考察操作8，幸运的是，操作8可以单独翻转第8个灯。</t>
  </si>
  <si>
    <t>我们可以把操作9叠加上去，使操作7可以单独翻转第7个灯。</t>
  </si>
  <si>
    <t>现在，我们把这9个操作叠加起来，就得到了游戏的解法。</t>
  </si>
  <si>
    <t>让我们再次重新观察这些 $3\times 3$ 的格子。</t>
  </si>
  <si>
    <t>事实上，我们可以将所有按钮和灯排列成一行。现在，所有按钮和灯排列成 $9\times 9$ 的大矩阵。</t>
  </si>
  <si>
    <t>对于 $5\times 5$ 的格子，我们也可以这样操作。我们生成按钮和灯矩阵，然后对其进行消元。</t>
  </si>
  <si>
    <t>我们把25种操作叠加起来，这就是 $5\times 5$ 的一种解法。</t>
  </si>
  <si>
    <t>由于静默操作不会改变灯，我们也可以把它们分别和刚才的解法叠加。这也就是刚才首行穷举法得到的四种解法。</t>
  </si>
  <si>
    <t>由于存在静默操作，至少有两种按法对应同一种灯的状态。因此，总会有一种灯的状态没法按出来，例如仅翻转第一个灯。</t>
  </si>
  <si>
    <t>这个方法的复杂度是多项式级别的，但 $N\times N$ 的矩阵仍然很大。那么，我们是否还能找到更快、更巧妙的解法呢？</t>
  </si>
  <si>
    <t>最后，我们便得到了一种与叠加法类似的矩阵。只不过这一次，灯和按钮都只有 $N$ 个。</t>
  </si>
  <si>
    <t>可以注意到，消元后的矩阵和之前 $25\times 25$ 的情况一样，最后两行为静默操作，而右边的灯向量就是解法。</t>
  </si>
  <si>
    <t>不难看出，和刚才的叠加法一样，这次矩阵规模从 $N\times N$ 变为了 $N$，因此复杂度就是 $N^3$ 。</t>
  </si>
  <si>
    <t>在首行叠加法中，需要得到第一按钮和最后一行灯关系矩阵，这个矩阵是需要推导生成的，并且不难看出其复杂度是 $N^3$ 。</t>
  </si>
  <si>
    <t>因此，我们只需要推导第一个灯的状态，就可以得到所有灯的状态，从而减少复杂度。</t>
  </si>
  <si>
    <t>刚才我们发现，对于 $5\times 5$ 的格子，因为有两组静默操作，和前面的解共同构成了四种解法。</t>
  </si>
  <si>
    <t>而对于 $3\times 3$ 的格子来说，由于没有静默操作，因此解法是唯一的。</t>
  </si>
  <si>
    <t>那么，对于 $N\times N$ 的格子来说，最多可能有多少组静默操作呢？现在，我们观察 $4\times 4$ 的格子，并用首行叠加法求解。</t>
  </si>
  <si>
    <t>这次我们意外的发现，所有的按钮都被抵消了，我们得到了一个零矩阵也就是说， $4\times 4$ 的格子有四组独立的静默操作，叠加后就是16种。</t>
  </si>
  <si>
    <t>因为 $N\times N$ 格子第一行最多有 $2^N$ 种状态，因此$N\times N$ 格子的解法最多为 $2^N$ 种。</t>
  </si>
  <si>
    <t>现在，让我们把 $2\times 2$ 的格子分别去掉一个格子，得到4个3个按钮的格子。</t>
  </si>
  <si>
    <t>这也就是 $2\times 2$ 的格子的解法，这个方法可以推广到任意偶数个按钮的游戏中。</t>
  </si>
  <si>
    <t>对于奇数个按钮的游戏，我们又该怎么办呢？让我们考虑 $3\times 3$ 的格子，并假定我们知道所有8个按钮游戏的解法。</t>
  </si>
  <si>
    <t>为了解决这个问题，我们可以先点击中间的按钮，翻转5个灯。</t>
  </si>
  <si>
    <t>这是因为，四个角的按法相当于先翻转所有灯，再翻转单个灯。由于翻转了偶数次，因此相当于单独翻转了4个灯。</t>
  </si>
  <si>
    <t>因为灯和按钮各有 $N\times N$ 个，每一行都有 $N\times N$ 个按钮叠加，因此该方法的复杂度为 $(N\times N)^3 = N^6$ 。</t>
  </si>
  <si>
    <t>序号</t>
    <phoneticPr fontId="1" type="noConversion"/>
  </si>
  <si>
    <t>时间节点</t>
    <phoneticPr fontId="1" type="noConversion"/>
  </si>
  <si>
    <t>静音时长</t>
    <phoneticPr fontId="1" type="noConversion"/>
  </si>
  <si>
    <t>长度</t>
    <phoneticPr fontId="1" type="noConversion"/>
  </si>
  <si>
    <t>规则：在N乘N的格子内，点击一个按钮，该格及周围的灯会被同时翻转。</t>
  </si>
  <si>
    <t>N乘N个按钮共有二的N乘N次方种组合，每种组合对应唯一的灯状态。只要所有情况都试一遍，看看灯的状态如何即可。</t>
  </si>
  <si>
    <t>例如，当N等于二时，对应的状态为二的二乘二次方等于二的四次方等于 16。很快我们就能列举出所有的情况并得出结论。</t>
  </si>
  <si>
    <t>又例如，当N等于三时，对应的状态为二的三乘三次方等于二的九次方等于 512。我们也可以穷举所有情况得出结论。</t>
  </si>
  <si>
    <t>对于N等于五，也就是一开始的经典问题，其状态数为二的五乘五次方等于二的 25 次方等于 33,554,432，需要计算机来求解。</t>
  </si>
  <si>
    <t>当N等于六时，状态数为二的 36 次方等于 68,719,476,736。复杂度增长得太快，计算机也难以求解。</t>
  </si>
  <si>
    <t>通过这种行之间的关系，我们把随机性限制在第1行，使穷举量降到了二的N次方。这里，我们在 32 种按法中找到了四种解法。</t>
  </si>
  <si>
    <t>对于N乘N的格子来说，我们的基本操作只有N乘N种，也就是按或者不按某个按钮。</t>
  </si>
  <si>
    <t>现在，让我们重新观察三乘三的格子，共有九种操作，标记为操作1到9。</t>
  </si>
  <si>
    <t>事实上，我们可以将所有按钮和灯排列成一行。现在，所有按钮和灯排列成九乘九的大矩阵。</t>
  </si>
  <si>
    <t>对于五乘五的格子，我们也可以这样操作。我们生成按钮和灯矩阵，然后对其进行消元。</t>
  </si>
  <si>
    <t>我们把25种操作叠加起来，这就是五乘五的一种解法。</t>
  </si>
  <si>
    <t>因为灯和按钮各有N乘N个，每一行都有N乘N个按钮叠加，因此该方法的复杂度为N乘N的三次方等于N的六次方。</t>
  </si>
  <si>
    <t>这个方法的复杂度是多项式级别的，但N乘N的矩阵仍然很大。那么，我们是否还能找到更快、更巧妙的解法呢？</t>
  </si>
  <si>
    <t>最后，我们便得到了一种与叠加法类似的矩阵。只不过这一次，灯和按钮都只有N个。</t>
  </si>
  <si>
    <t>可以注意到，消元后的矩阵和之前 25 乘 25 的情况一样，最后两行为静默操作，而右边的灯向量就是解法。</t>
  </si>
  <si>
    <t>不难看出，和刚才的叠加法一样，这次矩阵规模从N乘N变为了 N，因此复杂度就是N的三次方。</t>
  </si>
  <si>
    <t>在首行叠加法中，需要得到第一按钮和最后一行灯关系矩阵，这个矩阵是需要推导生成的，并且不难看出其复杂度是N的三次方。</t>
  </si>
  <si>
    <t>刚才我们发现，对于五乘五的格子，因为有两组静默操作，和前面的解共同构成了四种解法。</t>
  </si>
  <si>
    <t>而对于三乘三的格子来说，由于没有静默操作，因此解法是唯一的。</t>
  </si>
  <si>
    <t>那么，对于N乘N的格子来说，最多可能有多少组静默操作呢？现在，我们观察四乘四的格子，并用首行叠加法求解。</t>
  </si>
  <si>
    <t>这次我们意外的发现，所有的按钮都被抵消了，我们得到了一个零矩阵也就是说，四乘四的格子有四组独立的静默操作，叠加后就是16种。</t>
  </si>
  <si>
    <t>因为N乘N格子第一行最多有二的N次方种状态，因此N乘N格子的解法最多为二的N次方种。</t>
  </si>
  <si>
    <t>这里列出了N等于一到N等于 16 的情况。这个序列被OEIS收录到了A159257。</t>
  </si>
  <si>
    <t>现在，让我们把二乘二的格子分别去掉一个格子，得到4个3个按钮的格子。</t>
  </si>
  <si>
    <t>这也就是二乘二的格子的解法，这个方法可以推广到任意偶数个按钮的游戏中。</t>
  </si>
  <si>
    <t>对于奇数个按钮的游戏，我们又该怎么办呢？让我们考虑三乘三的格子，并假定我们知道所有8个按钮游戏的解法。</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</si>
  <si>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</si>
  <si>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</si>
  <si>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</si>
  <si>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</si>
  <si>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</si>
  <si>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</si>
  <si>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</si>
  <si>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</si>
  <si>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</si>
  <si>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</si>
  <si>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</si>
  <si>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</si>
  <si>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</si>
  <si>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</si>
  <si>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</si>
  <si>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</si>
  <si>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</si>
  <si>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</si>
  <si>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</si>
  <si>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</si>
  <si>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</si>
  <si>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</si>
  <si>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</si>
  <si>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</si>
  <si>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</si>
  <si>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</si>
  <si>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</si>
  <si>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</si>
  <si>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</si>
  <si>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</si>
  <si>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</si>
  <si>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</si>
  <si>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</si>
  <si>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</si>
  <si>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</si>
  <si>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</si>
  <si>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</si>
  <si>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</si>
  <si>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</si>
  <si>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</si>
  <si>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</si>
  <si>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</si>
  <si>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</si>
  <si>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</si>
  <si>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</si>
  <si>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</si>
  <si>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</si>
  <si>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</si>
  <si>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</si>
  <si>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</si>
  <si>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</si>
  <si>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</si>
  <si>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</si>
  <si>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因为最终需要推倒的是灯，</t>
  </si>
  <si>
    <t>因此灯是从按钮的第一行推到五行，</t>
  </si>
  <si>
    <t>以类似的方法推导，</t>
  </si>
  <si>
    <t>写成公式Y，</t>
  </si>
  <si>
    <t>即后一行的翻转是前一行左中右和上上行叠加后的翻转，</t>
  </si>
  <si>
    <t>可以注意到这里的公式Y和公式B的推导公式是类似的，</t>
  </si>
  <si>
    <t>只不过Y是从零向量开始推导的，</t>
  </si>
  <si>
    <t>第一次翻转发生在从一到二行的推导过程中，</t>
  </si>
  <si>
    <t>在此之前没有发生过翻转，</t>
  </si>
  <si>
    <t>因此Y的第一行是全零，</t>
  </si>
  <si>
    <t>二翻转符号非必须存在，</t>
  </si>
  <si>
    <t>每次推导都需要翻转，</t>
  </si>
  <si>
    <t>因此不可省略，</t>
  </si>
  <si>
    <t>而前者将这个翻转取出来了，</t>
  </si>
  <si>
    <t>因此不用翻转符号飞，</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</si>
  <si>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</si>
  <si>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</si>
  <si>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</si>
  <si>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</si>
  <si>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</si>
  <si>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</si>
  <si>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</si>
  <si>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</si>
  <si>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接着按第三行按钮，</t>
  </si>
  <si>
    <t>消去第二行的灯，</t>
  </si>
  <si>
    <t>不断递推，</t>
  </si>
  <si>
    <t>直到最后一行。</t>
  </si>
  <si>
    <t>最终最后一行按钮和灯的状态和前面推得的矩阵是一样的，</t>
  </si>
  <si>
    <t>同样在第二个矩阵点击第一行第二个按钮，</t>
  </si>
  <si>
    <t>我们可以得到所有矩阵最后一行的状态。</t>
  </si>
  <si>
    <t>然后用刚才的方法尝试把所有灯消去，</t>
  </si>
  <si>
    <t>同样可以得到翻转向量最后一行的状态。</t>
  </si>
  <si>
    <t>我们把这种方法称作余数矩阵法和首行叠加法的原理，</t>
  </si>
  <si>
    <t>本质上是相同的。</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</si>
  <si>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</si>
  <si>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</si>
  <si>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</si>
  <si>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</si>
  <si>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</si>
  <si>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</si>
  <si>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这是一个十分重要的性质，</t>
  </si>
  <si>
    <t>使用这个性质可以由第一个灯直接推到后面的灯。</t>
  </si>
  <si>
    <t>在之后的ON的二次方算法中，</t>
  </si>
  <si>
    <t>其本质也是用这个性质进行的优化。</t>
  </si>
  <si>
    <t>下面让我们用数学归纳法证明这个性质。</t>
  </si>
  <si>
    <t>由于右边的按钮矩阵就是左边的灯矩阵，</t>
  </si>
  <si>
    <t>为了方便我们就只看按钮矩阵。</t>
  </si>
  <si>
    <t>首先我们假定前两个矩阵BN减1和BN减2满足这个性质，</t>
  </si>
  <si>
    <t>现在来证明BN也满足这个性质。</t>
  </si>
  <si>
    <t>将刚才的矩阵递推关系加上参数Y并重写。</t>
  </si>
  <si>
    <t>对于BN，</t>
  </si>
  <si>
    <t>我们将式子竖着写成四项，</t>
  </si>
  <si>
    <t>然后将递推关系代入这个式子。</t>
  </si>
  <si>
    <t>代入后的式子包含16项，</t>
  </si>
  <si>
    <t>现在重新排列项目顺序将Y和N调换，</t>
  </si>
  <si>
    <t>类似优化生成矩阵章节中的调换操作。</t>
  </si>
  <si>
    <t>不难发现这四项属于BN减1或BN减2。</t>
  </si>
  <si>
    <t>并且元素之间的关系满足十字偶校验约束，</t>
  </si>
  <si>
    <t>因此整个式子化为了零。</t>
  </si>
  <si>
    <t>现在我们只需要证明最左边的两个矩阵也满足这个性质即可。</t>
  </si>
  <si>
    <t>第一个矩阵是单位矩阵，</t>
  </si>
  <si>
    <t>显然满足这个性质。</t>
  </si>
  <si>
    <t>第二个矩阵可以表示为左边两个矩阵的叠加。</t>
  </si>
  <si>
    <t>由于单位矩阵左边没有矩阵，</t>
  </si>
  <si>
    <t>因此相当于叠加了一个零矩阵。</t>
  </si>
  <si>
    <t>由于零矩阵显然满足这个性质。</t>
  </si>
  <si>
    <t>第二个矩阵也满足这个性质，</t>
  </si>
  <si>
    <t>因为BN有了这个性质，</t>
  </si>
  <si>
    <t>我们只需要知道BN的第一行，</t>
  </si>
  <si>
    <t>就能通过公式推导出后续的行，</t>
  </si>
  <si>
    <t>求得完整的矩阵BN。</t>
  </si>
  <si>
    <t>为了实现ON的二次方次算法，</t>
  </si>
  <si>
    <t>我们也需要用到类似的方法，</t>
  </si>
  <si>
    <t>尽量不去对整个矩阵进行操作，</t>
  </si>
  <si>
    <t>而是通过第一行来求逆或求解。</t>
  </si>
  <si>
    <t>我们以N等于7为例。</t>
  </si>
  <si>
    <t>这里的B就是前面提到的按钮矩阵BN，</t>
  </si>
  <si>
    <t>而Y就是翻转向量的最后一行，</t>
  </si>
  <si>
    <t>即BN的增广向量。</t>
  </si>
  <si>
    <t>我们的目标是对于BX等于Y，</t>
  </si>
  <si>
    <t>在已知B的第一行和Y的情况下求X。</t>
  </si>
  <si>
    <t>如果将N在不同情况下的B的第一行写在一起，</t>
  </si>
  <si>
    <t>矩阵长这样即为B撇。</t>
  </si>
  <si>
    <t>第一行为1011011，</t>
  </si>
  <si>
    <t>为了不对整个矩阵进行操作，</t>
  </si>
  <si>
    <t>我们需要将矩阵B进行分解。</t>
  </si>
  <si>
    <t>这里介绍一个非常重要的矩阵H，</t>
  </si>
  <si>
    <t>称为邻接扩散矩阵。</t>
  </si>
  <si>
    <t>对于H的每一个元素，</t>
  </si>
  <si>
    <t>如果X和Y得差为一十取一，</t>
  </si>
  <si>
    <t>否则取零。</t>
  </si>
  <si>
    <t>如果将向量V乘以该矩阵，</t>
  </si>
  <si>
    <t>这是因为矩阵的对应行就是向量每个元素左右扩散的结果，</t>
  </si>
  <si>
    <t>不难发现首行叠加法中的各个矩阵B可以用H表示为以上公式，</t>
  </si>
  <si>
    <t>这里B0、</t>
  </si>
  <si>
    <t>B1、</t>
  </si>
  <si>
    <t>同时将系数C写成矩阵的形式记为C，</t>
  </si>
  <si>
    <t>注意这里的乘以H的操作在系数上代表右移而不是左右扩散，</t>
  </si>
  <si>
    <t>因此表达式中只有X减1而没有X加1，</t>
  </si>
  <si>
    <t>现在如果我们将多个H相乘，</t>
  </si>
  <si>
    <t>将其首行H的N次方0拼接起来，</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</si>
  <si>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</si>
  <si>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</si>
  <si>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</si>
  <si>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</si>
  <si>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</si>
  <si>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</si>
  <si>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</si>
  <si>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</si>
  <si>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</si>
  <si>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</si>
  <si>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</si>
  <si>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</si>
  <si>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这里说明一下矩阵F的每行对应多项式FNX，</t>
  </si>
  <si>
    <t>也就是上集视频解的数量章节中提到的OEIS中的斐波那契多项式</t>
  </si>
  <si>
    <t>。</t>
  </si>
  <si>
    <t>此外，</t>
  </si>
  <si>
    <t>刚才递推得到的矩阵C对应多项式CNX等价于解的数量章节中提到</t>
  </si>
  <si>
    <t>这个证明也不难，</t>
  </si>
  <si>
    <t>可以由F和C的关系求出F和C的递推公式或者由递推公式反推，</t>
  </si>
  <si>
    <t>同时BN矩阵也可以表示为以上形式，</t>
  </si>
  <si>
    <t>这里的H加I等价于X加1，</t>
  </si>
  <si>
    <t>由于F和K互逆，</t>
  </si>
  <si>
    <t>于是我们有FB等于FKP等于P，</t>
  </si>
  <si>
    <t>将向量B和矩阵F相乘，</t>
  </si>
  <si>
    <t>我们便求出了P。</t>
  </si>
  <si>
    <t>为了和视频中演示的一致，</t>
  </si>
  <si>
    <t>由于B是竖着的，</t>
  </si>
  <si>
    <t>因此写为P等于FB。</t>
  </si>
  <si>
    <t>对于矩阵乘法运算来说，</t>
  </si>
  <si>
    <t>则有P等于B撇撇F。</t>
  </si>
  <si>
    <t>这里省去了转置符号，</t>
  </si>
  <si>
    <t>将多项式PX写成矩阵的形式记为P。</t>
  </si>
  <si>
    <t>有了P等于FB之后，</t>
  </si>
  <si>
    <t>后续的计算我们都不需要用到完整的B，</t>
  </si>
  <si>
    <t>而只需要B的第一行及向量B。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</si>
  <si>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</si>
  <si>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</si>
  <si>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</si>
  <si>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</si>
  <si>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</si>
  <si>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</si>
  <si>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</si>
  <si>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</si>
  <si>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</si>
  <si>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</si>
  <si>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</si>
  <si>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</si>
  <si>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</si>
  <si>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</si>
  <si>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</si>
  <si>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</si>
  <si>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</si>
  <si>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</si>
  <si>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</si>
  <si>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</si>
  <si>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</si>
  <si>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</si>
  <si>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</si>
  <si>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</si>
  <si>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</si>
  <si>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</si>
  <si>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</si>
  <si>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</si>
  <si>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</si>
  <si>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</si>
  <si>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</si>
  <si>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</si>
  <si>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</si>
  <si>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这样我们就能立即求出X。</t>
  </si>
  <si>
    <t>我们把这样的多项式QX称之为PX的逆多项式，</t>
  </si>
  <si>
    <t>那么如何求出逆多项式QX呢？</t>
  </si>
  <si>
    <t>我们可以使用扩展欧几里德算法，</t>
  </si>
  <si>
    <t>通过FX和PX来求取QX。</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</si>
  <si>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</si>
  <si>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</si>
  <si>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</si>
  <si>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</si>
  <si>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</si>
  <si>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</si>
  <si>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</si>
  <si>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</si>
  <si>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</si>
  <si>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</si>
  <si>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</si>
  <si>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</si>
  <si>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</si>
  <si>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</si>
  <si>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</si>
  <si>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</si>
  <si>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</si>
  <si>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</si>
  <si>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</si>
  <si>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</si>
  <si>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</si>
  <si>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</si>
  <si>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</si>
  <si>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</si>
  <si>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</si>
  <si>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而是把把多个QX拼接起来的结果。</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</si>
  <si>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</si>
  <si>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</si>
  <si>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</si>
  <si>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</si>
  <si>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</si>
  <si>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</si>
  <si>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</si>
  <si>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因此我们也可以通过KQ求出逆矩阵Q撇的第一行，</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</si>
  <si>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</si>
  <si>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</si>
  <si>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</si>
  <si>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</si>
  <si>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</si>
  <si>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</si>
  <si>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</si>
  <si>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我们提到了公式R撇N，</t>
  </si>
  <si>
    <t>这里GCD表示最大公因子，</t>
  </si>
  <si>
    <t>不难发现这里的GCDFC就是前面扩展欧几里德算法中的G。</t>
  </si>
  <si>
    <t>由于F等于C加P，</t>
  </si>
  <si>
    <t>因此GCDFC和GCDFP是相等的。</t>
  </si>
  <si>
    <t>这里DEG表示最高次数R撇代表矩阵B丢失的值，</t>
  </si>
  <si>
    <t>也就是N减二R撇的值决定了解的数量及二的二撇次方。</t>
  </si>
  <si>
    <t>将GX写成矩阵的形式记为G，</t>
  </si>
  <si>
    <t>不难注意到只有当矩阵B为可逆矩阵时GX等于1。</t>
  </si>
  <si>
    <t>并且GX的最高次数为2撇等于n减2等于0，</t>
  </si>
  <si>
    <t>高斯消元后的B的尾逆矩阵Q撇和单位矩阵一撇矩阵是这样的，</t>
  </si>
  <si>
    <t>这里矩阵B不可逆，</t>
  </si>
  <si>
    <t>其质为2等于3，</t>
  </si>
  <si>
    <t>则会有这些结论，</t>
  </si>
  <si>
    <t>1矩阵B左上角R乘2的子矩阵满质。</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</si>
  <si>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</si>
  <si>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</si>
  <si>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</si>
  <si>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</si>
  <si>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</si>
  <si>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</si>
  <si>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可以发现Q撇不满足十四偶校验约束，</t>
  </si>
  <si>
    <t>因而无法通过公式递推求得，</t>
  </si>
  <si>
    <t>并且使用Q撇第一行求得的X也不是原方程的解，</t>
  </si>
  <si>
    <t>最高次数为四。</t>
  </si>
  <si>
    <t>如果我们直接使用扩展欧几里德法，</t>
  </si>
  <si>
    <t>通过PX和FX进行求解，</t>
  </si>
  <si>
    <t>得到的GX也不唯一。</t>
  </si>
  <si>
    <t>将求得的QX和PX相乘，</t>
  </si>
  <si>
    <t>得到刚才求得的GX，</t>
  </si>
  <si>
    <t>其最高次数为2。</t>
  </si>
  <si>
    <t>这里我们计算QHY，</t>
  </si>
  <si>
    <t>发现求得的X也不是正确解。</t>
  </si>
  <si>
    <t>两种方法求得的QX和GX都不相同。</t>
  </si>
  <si>
    <t>并且QHY也都不是正确解。</t>
  </si>
  <si>
    <t>则QX不满足QXPX等于EmodFX或者说满足QXPX等于E</t>
  </si>
  <si>
    <t>modFX的QX不存在。</t>
  </si>
  <si>
    <t>对于不可逆的矩阵B，</t>
  </si>
  <si>
    <t>我们又有什么方法可以求出正确的解呢？</t>
  </si>
  <si>
    <t>在刚才的首行求逆法中，</t>
  </si>
  <si>
    <t>我们有这些公式。</t>
  </si>
  <si>
    <t>现在我们定义多项是Q撇X满足Q撇XPX等于GXmodFX其中</t>
  </si>
  <si>
    <t>GX也就是刚才提到的最大公因子Q撇X就是刚才求得的QX由于原</t>
  </si>
  <si>
    <t>本求得的X并不是最终解，</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</si>
  <si>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</si>
  <si>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</si>
  <si>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</si>
  <si>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</si>
  <si>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</si>
  <si>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</si>
  <si>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</si>
  <si>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</si>
  <si>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</si>
  <si>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</si>
  <si>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</si>
  <si>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</si>
  <si>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</si>
  <si>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即可得到第一个矩阵的最后一行，</t>
  </si>
  <si>
    <t>由于矩阵地是由矩阵H生成的，</t>
  </si>
  <si>
    <t>1后2等于3行，</t>
  </si>
  <si>
    <t>四前二撇等于二行，</t>
  </si>
  <si>
    <t>这些性质都不难证明，</t>
  </si>
  <si>
    <t>从而表示出X。</t>
  </si>
  <si>
    <t>因此我们只考虑把后三行叠加起来，</t>
  </si>
  <si>
    <t>不需考虑前二行。</t>
  </si>
  <si>
    <t>这里我们尝试将后三行的若干行叠加到现有的Z上，</t>
  </si>
  <si>
    <t>使其被消去。</t>
  </si>
  <si>
    <t>在D的后三行中，</t>
  </si>
  <si>
    <t>如果我们叠加第三行，</t>
  </si>
  <si>
    <t>我们再看Z的第二个元素，</t>
  </si>
  <si>
    <t>由于Z的第三个元素变为了一，</t>
  </si>
  <si>
    <t>这次Z被彻底消去了，</t>
  </si>
  <si>
    <t>变为了零，</t>
  </si>
  <si>
    <t>也就求得了最终的X。</t>
  </si>
  <si>
    <t>不难发现，</t>
  </si>
  <si>
    <t>这里求得的X是一个特解。</t>
  </si>
  <si>
    <t>然后再求解。</t>
  </si>
  <si>
    <t>从右往左进行消去。</t>
  </si>
  <si>
    <t>由于效果是相同的，</t>
  </si>
  <si>
    <t>这里不再赘述。</t>
  </si>
  <si>
    <t>这两个式子具有相同的形式。</t>
  </si>
  <si>
    <t>为什么不能用相同的方法在第二个式子求X呢？</t>
  </si>
  <si>
    <t>而B等于P撇HD破坏了这一结构，</t>
  </si>
  <si>
    <t>不满足这些性质。</t>
  </si>
  <si>
    <t>这里D等于GH不满质，</t>
  </si>
  <si>
    <t>不过当G等于一时，</t>
  </si>
  <si>
    <t>向量和矩阵的乘法，</t>
  </si>
  <si>
    <t>暂时就不研究了。</t>
  </si>
  <si>
    <t>有兴趣的小伙伴可自行研究并留言。</t>
  </si>
  <si>
    <t>如果对视频中的内容有疑问，</t>
  </si>
  <si>
    <t>也请大家多多留言和指正。</t>
  </si>
  <si>
    <t>谢谢大家的观看。</t>
  </si>
  <si>
    <t>00:00:27.233 在上集视频的《首行叠加法》中，有小伙伴对按钮和灯的递推仍有疑问。这次我们来讲清楚，这个递推公式是怎么来的。</t>
  </si>
  <si>
    <t>00:00:32.433 我们用B代表按钮，L代表灯，⊕（加）代表叠加，¬（非）代表翻转。</t>
  </si>
  <si>
    <t>00:00:37.533 n代表从上到下第n行按钮或灯。因为我们是一行行进行推导的，n也代表第n次推导。</t>
  </si>
  <si>
    <t>00:00:42.733 x代表从左到右第x列按钮。我们将灯表示为第一行的某几个列的按钮的叠加。这里的x不局限于第一行。</t>
  </si>
  <si>
    <t>00:00:47.933 y代表从左到右第y列灯。这里的公式对任意第y个灯都满足，所以省去了y。</t>
  </si>
  <si>
    <t>00:00:53.133 在这里，粉色原点是用按钮表示按钮，淡蓝色方块是用按钮表示灯。</t>
  </si>
  <si>
    <t>00:01:00.933 而在上集视频中，因为最终目标是将灯用按钮表示，因此省去了按钮表示按钮，粉色原点直接是按钮表示灯。</t>
  </si>
  <si>
    <t>00:01:07.833 让我们举一个具体的例子。在5×5的格子中，我们将按钮和灯编号为1—25。</t>
  </si>
  <si>
    <t>00:01:11.033 在《叠加法》中，我们将灯表示为所有按钮的叠加。例如：L1=B1⊕B2⊕B6，L6=B1⊕B6⊕B7⊕B11。</t>
  </si>
  <si>
    <t>00:01:21.467 通过这种方法，我们得到了25个未知数的一次方程组。我们将其写成增广矩阵，也就是按钮矩阵和翻转向量，即灯向量的形式。</t>
  </si>
  <si>
    <t>00:01:29.167 而在《首行叠加法》中，我们需要把灯表示为第一行按钮的叠加。</t>
  </si>
  <si>
    <t>00:01:32.600 这里的五个矩阵，分别代表第y列是由第一行的哪几个按钮叠加的。</t>
  </si>
  <si>
    <t>00:01:37.200 由于按法是动态的，当第二行按钮还未被按下时，L1=B1⊕B2，即第一个灯L1是由第一行的第一、第二个按钮B1,B2叠加的。</t>
  </si>
  <si>
    <t>00:01:42.400 然后，B6=¬L1=¬(B1⊕B2)，即第六个按钮B6是第一个灯L1的翻转。因此，第二行按钮B6和第一行灯L1的叠加状态是相同的。</t>
  </si>
  <si>
    <t>00:01:47.600 只不过B6是L1的翻转。而旁边的向量，代表的就是按钮或灯有没有翻转。</t>
  </si>
  <si>
    <t>00:01:52.500 例如，当第一个向量的第一个灯L1亮起时，表示L1除了由刚才说的按钮叠加外，还需要翻转才是正确的状态。</t>
  </si>
  <si>
    <t>00:01:57.100 同理，B7=¬L2=¬(B1⊕B2⊕B3)，即第七个按钮B7是第二个灯L2的翻转。同样，第二行的按钮B7和第一行灯L2的叠加状态是相同的。</t>
  </si>
  <si>
    <t>00:02:03.800 这里，我们将第一个按钮B1的状态补全，将B1用第一行的按钮叠加时，有B1=B1。</t>
  </si>
  <si>
    <t>00:02:08.700 接下来我们来看第六个灯。L6=B1⊕B6⊕B7=B1⊕¬(B1⊕B2)⊕¬(B1⊕B2⊕B3)=B1⊕B3。</t>
  </si>
  <si>
    <t>00:02:19.500 又比如，L7=B2⊕B6⊕B7⊕B8=B2⊕¬(B1⊕B2)⊕¬(B1⊕B2⊕B3)⊕¬(B2⊕B3⊕B4)=¬B4。</t>
  </si>
  <si>
    <t>00:02:36.600 这样不断递推，我们可以将任意L表示为B1—B5的叠加。加上翻转后，得到完整的矩阵。</t>
  </si>
  <si>
    <t>00:02:45.600 现在，如果我们把序号1—25用坐标x,y表示，则按钮和灯可写为以上公式。让我们以L7(2)=L(2,2,2)为例。</t>
  </si>
  <si>
    <t>00:02:52.067 这里，我们的矩阵同时满足另一个性质，让我们称之为十字偶校验约束。</t>
  </si>
  <si>
    <t>00:02:56.167 某个元素的左右两个矩阵的对应位置的元素，和元素所在矩阵左右两个元素的叠加后为零。</t>
  </si>
  <si>
    <t>00:02:59.567 这也就是上集视频中《优化生成矩阵》章节中的性质，之后会给出证明。</t>
  </si>
  <si>
    <t>00:03:03.367 通过这个性质，递推公式可化为只根据当前矩阵的元素来叠加，无需依赖于左右矩阵。</t>
  </si>
  <si>
    <t>00:03:14.367 因此，我们可以在公式中去除y。于是，灯可以表示为当前矩阵的上左中右的按钮的叠加。</t>
  </si>
  <si>
    <t>00:03:19.767 又因为，后一行的按钮是前一行灯的翻转。而后一行的灯是上左中右的灯的翻转的叠加。</t>
  </si>
  <si>
    <t>00:03:25.467 如果把翻转¬提取出来，便有了一开始的推导公式。</t>
  </si>
  <si>
    <t>00:03:28.067 也就是，按钮是前一行的左中右的按钮和上上行的按钮的叠加。以及，灯是前一行的左中右的按钮和上上行的灯的叠加。</t>
  </si>
  <si>
    <t>00:03:37.467 可以注意到，按钮和灯的递推公式具有相同的形式，这是因为前一行灯就是后一行按钮。</t>
  </si>
  <si>
    <t>00:03:40.067 因为最终需要推导的是灯，因此灯是从按钮的第一行推导5行。因为最后一次推导的是灯，因此按钮也是5行。</t>
  </si>
  <si>
    <t>00:03:45.267 对于翻转的情况，则可以单独列出来，以类似的方法推导，写成公式Y。</t>
  </si>
  <si>
    <t>00:03:48.167 即后一行的翻转是前一行左中右和上上行叠加后的翻转。</t>
  </si>
  <si>
    <t>00:03:51.967 可以注意到，这里的公式Y和公式B的推导公式是类似的。只不过，Y是从零向量开始推导的，并且不能省略翻转符号¬。</t>
  </si>
  <si>
    <t>00:03:54.567 1. 使用零向量：第一次翻转发生在从一到二行的推导过程中，在此之前没有发生过翻转，因此Y的第一行是全零。</t>
  </si>
  <si>
    <t>00:03:58.667 2. 翻转符号¬必须存在：每次推导都需要翻转，因此不可省略。而前者将这个翻转取出来了，因此不用翻转符号¬。</t>
  </si>
  <si>
    <t>00:04:01.267 3. 不使用x而使用y：翻转是前面所有按钮的翻转叠加后提取出来的，代表的是灯的翻转，而不是某个按钮的翻转。</t>
  </si>
  <si>
    <t>00:04:08.900 事实上，按钮矩阵也可以用另一种更直观的方法推得。</t>
  </si>
  <si>
    <t>00:04:11.500 首先，在第一个矩阵中，我们点击第一行第一个按钮。然后，点击第二行的按钮，尽量消去第一行的灯。</t>
  </si>
  <si>
    <t>00:04:18.500 接着按第三行按钮，消去第二行的灯。不断递推，直到最后一行。</t>
  </si>
  <si>
    <t>00:04:25.900 最终，最后一行按钮和灯的状态，和前面推得的矩阵是一样的。</t>
  </si>
  <si>
    <t>00:04:29.100 同样，在第二个矩阵点击第一行第二个按钮，然后递推，也可以得到第二个矩阵最后一行按钮和灯的状态。</t>
  </si>
  <si>
    <t>00:04:35.300 通过这个方法，我们可以得到所有矩阵最后一行的状态。</t>
  </si>
  <si>
    <t>00:04:42.733 另外，翻转向量也可以用相似的方法推得。</t>
  </si>
  <si>
    <t>00:04:45.333 我们把所有灯全部点亮，然后用刚才的方法尝试把所有灯消去，同样可以得到翻转向量最后一行的状态。</t>
  </si>
  <si>
    <t>00:04:55.367 我们把这种方法称作余数矩阵法，和首行叠加法的原理本质上是相同的，有兴趣的小伙伴可以自行证明。</t>
  </si>
  <si>
    <t>00:05:01.367 在《生成优化矩阵》章节中，我们将矩阵的行重排。其实是调换了n和y的位置，使原来从左到右的第y个矩阵变为了第n个矩阵。</t>
  </si>
  <si>
    <t>00:05:12.800 这n个矩阵都满足十字偶校验约束，即上下左右四个格子叠加为零，因此这里的公式省去了n。</t>
  </si>
  <si>
    <t>00:05:15.700 这里和之前的情况是一样的，只不过n和y调换了，因此位置发生了变化。</t>
  </si>
  <si>
    <t>00:05:19.500 这是一个十分重要的性质。使用这个性质，可以由第一个灯直接推导后面的灯。</t>
  </si>
  <si>
    <t>00:05:22.100 在之后的O(n²)算法中，其本质也是用这个性质进行的优化。</t>
  </si>
  <si>
    <t>00:05:24.700 下面让我们用数学归纳法，证明这个性质。</t>
  </si>
  <si>
    <t>00:05:27.300 由于右边的按钮矩阵就是左边的灯矩阵，为了方便，我们就只看按钮矩阵。</t>
  </si>
  <si>
    <t>00:05:30.500 首先，我们假定前两个矩阵B(n-1)和B(n-2)满足这个性质，现在来证明B(n)也满足这个性质。</t>
  </si>
  <si>
    <t>00:05:34.200 将刚才的矩阵递推关系加上参数y并重写。</t>
  </si>
  <si>
    <t>00:05:38.600 对于B(n)，我们将式子竖着写成四项，然后将递推关系代入这个式子。</t>
  </si>
  <si>
    <t>00:05:44.800 代入后的式子包含16项。现在重新排列项目顺序，将y和n调换，类似《优化生成矩阵》章节中的调换操作。</t>
  </si>
  <si>
    <t>00:05:56.400 不难发现，这四项属于B(n-1)或B(n-2)，并且元素之间的关系满足十字偶校验约束，因此整个式子化为了零。</t>
  </si>
  <si>
    <t>00:06:05.900 现在，我们只需要证明最左边的两个矩阵也满足这个性质即可。第一个矩阵是单位矩阵，显然满足这个性质。</t>
  </si>
  <si>
    <t>00:06:13.500 第二个矩阵可以表示为左边两个矩阵的叠加。由于单位矩阵左边没有矩阵，因此相当于叠加了一个零矩阵。</t>
  </si>
  <si>
    <t>00:06:17.600 由于零矩阵显然满足这个性质，因此第二个矩阵也满足这个性质。</t>
  </si>
  <si>
    <t>00:06:21.700 因为B(n)有了这个性质，我们只需要知道B(n)的第一行，就能通过公式推导出后续的行，求得完整的矩阵B(n)。</t>
  </si>
  <si>
    <t>00:06:31.200 为了实现O(n²)的算法，我们也需要用到类似的方法，尽量不去对整个矩阵进行操作，而是通过第一行来求逆或求解。</t>
  </si>
  <si>
    <t>00:06:34.267 我们以n=7为例。这里的B就是前面提到的按钮矩阵B(n)，而y就是翻转向量的最后一行，即B(n)的增广向量。</t>
  </si>
  <si>
    <t>00:06:37.633 我们的目标是：对于Bx=y，在已知B的第一行和y的情况下求x。</t>
  </si>
  <si>
    <t>00:06:46.567 如果将n在不同情况下的B的第一行写在一起，矩阵长这样，记为B'。</t>
  </si>
  <si>
    <t>00:06:51.800 注意，这里的B'矩阵不是刚才说的当n确定时的完整的矩阵B，而是B(n)的第一行拼接起来的结果。</t>
  </si>
  <si>
    <t>00:06:55.000 另外，这里从n=0开始一共递推n次，最后一个1不包含在矩阵B的第一行内。例如n=7时，第一行为1011011，最后一个1省去。</t>
  </si>
  <si>
    <t>00:06:58.733 改写后的矩阵记为B''=B'⊕I。</t>
  </si>
  <si>
    <t>00:07:02.567 把Y的第一行写在一起是这样的，记为Y'。</t>
  </si>
  <si>
    <t>00:07:06.733 合并在一起后的Y'有以上递推公式。</t>
  </si>
  <si>
    <t>00:07:10.833 为了不对整个矩阵进行操作，我们需要将矩阵B进行分解。这里介绍一个非常重要的矩阵H，称为邻接扩散矩阵。</t>
  </si>
  <si>
    <t>00:07:14.367 对于H的每一个元素，如果x和y的差为一时取一，否则取零。如果将向量v乘以该矩阵，等同于将向量v的每个元素向左右扩散后叠加。</t>
  </si>
  <si>
    <t>00:07:19.400 这是因为，矩阵的对应行就是向量每个元素左右扩散的结果。</t>
  </si>
  <si>
    <t>00:07:23.567 不难发现，《首行叠加法》中的各个矩阵B，可以用H表示为以上公式。</t>
  </si>
  <si>
    <t>00:07:27.367 这里，B(0)、B(1)、B(2)分别表示为H的不同次数的叠加。</t>
  </si>
  <si>
    <t>00:07:33.267 将这些H的系数用多项式c(n,x)表示，则有和矩阵B类似的递推公式。同时，将系数c写成矩阵的形式，记为C。</t>
  </si>
  <si>
    <t>00:07:37.400 注意，这里的乘以H的操作在系数上代表右移而不是左右扩散，因此，表达式中只有x-1而没有x+1。</t>
  </si>
  <si>
    <r>
      <t>00:07:41.833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</si>
  <si>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00:07:45.367 我们把这个下三角矩阵记为K，又称Krylov矩阵或扩散基矩阵。对于K的第n行，有以上公式。</t>
  </si>
  <si>
    <t>00:07:47.967 这里后一行是前一行乘以H，也就是前一行的左右扩散。因此对于K的每个元素，有以上递推公式。</t>
  </si>
  <si>
    <r>
      <t>00:07:53.300 现在，定义多项式p(x)。我们的目标是把B拆分成H</t>
    </r>
    <r>
      <rPr>
        <sz val="11"/>
        <color theme="1"/>
        <rFont val="等线"/>
        <family val="2"/>
        <charset val="134"/>
        <scheme val="minor"/>
      </rPr>
      <t>ⁿ</t>
    </r>
    <r>
      <rPr>
        <sz val="11"/>
        <color theme="1"/>
        <rFont val="等线"/>
        <family val="2"/>
        <charset val="134"/>
        <scheme val="minor"/>
      </rPr>
      <t>。</t>
    </r>
  </si>
  <si>
    <t>00:07:56.200 将矩阵H代入多项式p(x)，得到p(H)，并用其表示矩阵B。</t>
  </si>
  <si>
    <t>00:07:59.100 这样，原始求x的问题就转化为了p(H)x=y。</t>
  </si>
  <si>
    <t>00:08:02.000 现在，我们需要把多项式p(H)的系数计算出来。这个系数构成的向量我们记为p。</t>
  </si>
  <si>
    <t>00:08:04.900 为了简化运算，我们只关心矩阵第一行B(0)，记为b。根据刚才K的定义，我们可以得到b=Kp。</t>
  </si>
  <si>
    <t>00:08:17.833 为了求得p，我们可以将两边同时乘以K的逆矩阵，记为F，又称反Krylov矩阵或解耦矩阵。</t>
  </si>
  <si>
    <t>00:08:21.667 这个矩阵F也是下三角矩阵，并且和矩阵K看上去差不多，不过并不相同。事实上，这个矩阵F也满足类似的性质。</t>
  </si>
  <si>
    <t>00:08:30.633 使用这两个性质构造的矩阵K和F，可以证明S=KF为单位矩阵I，有兴趣的小伙伴可以自己试着证明一下。</t>
  </si>
  <si>
    <t>00:08:33.233 提示：矩阵S=KF满足十字偶校验约束，也就是满足以上递推公式。</t>
  </si>
  <si>
    <t>00:08:37.800 这里说明一下，矩阵F的每行对应多项式f(n,x)，也就是上集视频《解的数量》章节中提到的OEIS中的Fibonacci多项式。</t>
  </si>
  <si>
    <t>00:08:41.467 此外，刚才递推得到的矩阵C对应多项式c(n,x)，等价于《解的数量》章节中提到的f(n,x+1)。</t>
  </si>
  <si>
    <t>00:08:44.967 这个证明也不难，可以由F和C的关系求出F和C的递推公式，或者由递推公式反推。</t>
  </si>
  <si>
    <t>00:08:47.567 同时，B(n)矩阵也可以表示为以上形式。这里的H⊕I等价于x+1。</t>
  </si>
  <si>
    <t>00:08:52.867 让我们继续求p。由于F和K互逆，于是我们有：Fb=FKp=p。将向量b和矩阵F相乘，我们便求出了p。</t>
  </si>
  <si>
    <t>00:08:57.467 为了和视频中演示的一致，由于b是竖着的，因此写为p=Fb。对于矩阵乘法运算来说，则有P=B''F。这里省去了转置符号。</t>
  </si>
  <si>
    <t>00:09:05.000 将多项式p(x)写成矩阵的形式，记为P。</t>
  </si>
  <si>
    <t>00:09:09.167 有了p=Fb之后，后续的计算我们都不需要用到完整的B，而只需要B的第一行，即向量b。</t>
  </si>
  <si>
    <t>00:09:16.600 这是因为，问题已经从Bx=y转化为了p(H)x=y。因此，在前面说到的生成矩阵，也只需要计算向量b，也就是矩阵B'。</t>
  </si>
  <si>
    <t>00:09:22.233 由于在不同n的情况下计算b的公式是一样的，我们可以把n-1情况下算出的b，直接用于计算n的情况。</t>
  </si>
  <si>
    <t>00:09:25.700 这样，如果我们是从n=0开始计算的，我们只需要O(n)的时间复杂度便可求出b。</t>
  </si>
  <si>
    <t>00:09:30.133 同样，计算K和F也是如此。因为每行之间有递推公式，如果从n=0开始计算，也可以在O(n)时间内求出。</t>
  </si>
  <si>
    <t>00:09:36.333 如果需要直接计算特定n，可以用其它方法优化到O(n·log(n))。因为这里的算法不涉及这个优化，因此就不展开了。</t>
  </si>
  <si>
    <t>00:09:40.167 为了求出p=Fb，我们需要将向量和矩阵相乘，一般情况下，其时间复杂度是O(n²)。</t>
  </si>
  <si>
    <t>00:09:47.033 因为矩阵F是有递推规律的，理论上使用FFT等算法，可以把乘法优化到O(n·log(n))。</t>
  </si>
  <si>
    <t>00:09:49.200 另一方面，这里在计算p的时候，我们将B''的对角线去除了，即P=B''F。假如我们保留B''的对角线，则有C=B'F。</t>
  </si>
  <si>
    <t>00:09:57.400 为了证明这一点，我们假定B'F=C'，得出以上递推公式。由于C'的递推公式和C是相同的，因此这里的C'就是C，即C'=C=B'F。</t>
  </si>
  <si>
    <t>00:10:03.100 由于C=B'F，我们可以推得P=C⊕F。因此，我们可以计算出C和F，叠加后直接求得P，无需使用矩阵乘法。</t>
  </si>
  <si>
    <t>00:10:06.000 同时，由于P=C⊕F，P也可以写成这个递推公式，从而无需B，C或F，直接在O(n)的时间内，由P的递推公式推得。</t>
  </si>
  <si>
    <t>00:10:09.200 由于这个证明较长，因此这里就不展示出来了。有兴趣的小伙伴可以从C和F的递推公式自行证明。</t>
  </si>
  <si>
    <t>00:10:13.000 现在，我们已用多种方法求得了p，并将原始问题转化为了p(H)x=y，可这又有什么用呢？</t>
  </si>
  <si>
    <t>00:10:17.900 试想一下，如果有一个多项式q(x)，满足q(x)p(x)=1 mod f(x)。这里的f(x)就是前面提到的多项式f(n,x)。</t>
  </si>
  <si>
    <t>00:10:27.900 那么，将式子两边同时乘以q(H)，便有：x=q(H)y。这样，我们就能立即求出x。</t>
  </si>
  <si>
    <t>00:10:34.933 我们把这样的多项式q(x)称之为p(x)的逆多项式。那么，如何求出逆多项式q(x)呢？</t>
  </si>
  <si>
    <t>00:10:38.167 我们可以使用扩展欧几里得算法，通过f(x)和p(x)来求取q(x)。</t>
  </si>
  <si>
    <t>00:10:41.367 这里，我们同时定义一个零多项式o(x)和单位多项式e(x)，在对f(x)和p(x)操作的同时，对o(x)和e(x)做相同的操作。</t>
  </si>
  <si>
    <t>00:10:43.967 类似矩阵求逆，我们的目标是：将f(x)变为零多项式，p(x)变为单位多项式。</t>
  </si>
  <si>
    <t>00:10:46.567 我们使用辗转相减法，将p(x)右移，使其最高次项和f(x)对齐，然后叠加到f(x)上，从而消去f(x)的最高次项。</t>
  </si>
  <si>
    <t>00:10:50.167 叠加后，如果f(x)的最高次数仍旧大于等于p(x)，则继续右移p(x)并叠加到f(x)上。</t>
  </si>
  <si>
    <t>00:10:53.767 否则，当f(x)的最高次数小于p(x)时，将p(x)和f(x)互换，使得f(x)的最高次数始终大于或等于p(x)，让叠加操作可以继续下去。</t>
  </si>
  <si>
    <t>00:10:57.367 重复这样的操作，直到f(x)最终被叠加为零。</t>
  </si>
  <si>
    <t>00:11:06.967 最后，剩下的p(x)为两个多项式的最大公因子，记为g(x)，同时，剩下的e(x)为p(x)的逆，也就是q(x)。</t>
  </si>
  <si>
    <t>00:11:11.633 我们将q(x)写成矩阵Q。注意，这里的矩阵Q不是前面的完整逆矩阵Q'，而是把把多个q(x)拼接起来的结果。</t>
  </si>
  <si>
    <t>00:11:17.200 现在，我们已求得q(x)，接着，我们可以根据q(H)y的定义，用这个式子来求x。</t>
  </si>
  <si>
    <t>00:11:20.100 这里，我们将y不断乘以矩阵H进行左右扩散，再根据q(x)的值进行叠加，从而得到x。</t>
  </si>
  <si>
    <t>00:11:27.133 另一方面，由于q(H)就是B的逆矩阵Q'，并且可以证明Q'也满足十字偶校验约束。</t>
  </si>
  <si>
    <t>00:11:30.667 因此，我们也可以通过Kq求出逆矩阵Q'的第一行，再通过递推公式求得完整的Q'，最后再和y相乘求得x。</t>
  </si>
  <si>
    <t>00:11:35.000 两种方法求得的x是相同的，有兴趣的小伙伴可以自行证明。</t>
  </si>
  <si>
    <t>00:11:37.600 不过，整个求解的过程中有一个问题，那就是我们假设满足q(x)p(x)=1 mod f(x)的多项式q(x)存在。</t>
  </si>
  <si>
    <t>00:11:40.200 如果这样的多项式q(x)不存在，我们又当如何呢？</t>
  </si>
  <si>
    <t>00:11:45.767 在上集视频《解的数量》章节中，我们提到了公式r'(n)。</t>
  </si>
  <si>
    <t>00:11:48.667 这里，gcd表示最大公因子。不难发现，这里的gcd(f,c)就是前面扩展欧几里得算法中的g。</t>
  </si>
  <si>
    <t>00:11:52.367 同时，由于F=C⊕P，因此gcd(f,c)和gcd(f,p)是相等的。</t>
  </si>
  <si>
    <t>00:11:56.867 这里，deg表示最高次数，r'代表矩阵B丢失的秩，也就是n-r。r'的值决定了解的数量，即2ʳ'。</t>
  </si>
  <si>
    <t>00:12:00.867 将g(x)写成矩阵的形式，记为G。</t>
  </si>
  <si>
    <t>00:12:04.400 不难注意到，只有当矩阵B为可逆矩阵时，g(x)=1，并且g(x)的最高次数为r'=n-r=0。</t>
  </si>
  <si>
    <t>00:12:08.233 例如，当n=5时，高斯消元后的B的伪逆矩阵Q'和单位矩阵E'矩阵是这样的。</t>
  </si>
  <si>
    <t>00:12:12.533 这里，矩阵B不可逆，其秩为r=3。我们以r×r为界将矩阵分为四块，则会有这些结论。</t>
  </si>
  <si>
    <t>00:12:16.133 1. 矩阵B左上角r×r的子矩阵满秩，并且和Q'左上角r×r的子矩阵互为逆矩阵。</t>
  </si>
  <si>
    <t>00:12:19.933 2. Q'右下角和E'左上角为单位矩阵，Q'右上角和E'下方为零矩阵。</t>
  </si>
  <si>
    <t>00:12:25.367 3. Q'左下角Wr和E'右上角的静默操作相同，并且其值等于Q'左上角乘以B右上角，或者B左下角乘以Q'左上角。</t>
  </si>
  <si>
    <t>00:12:31.433 这些性质可以通过分块矩阵乘法，结合高斯消元法和矩阵B的对称性得出，有兴趣的小伙伴可以自行证明。</t>
  </si>
  <si>
    <t>00:12:35.100 可以发现，Q'不满足十字偶校验约束，因而无法通过公式递推求得。并且使用Q'第一行求得的x也不是原方程的解。</t>
  </si>
  <si>
    <t>00:12:42.233 如果我们令Q'第一行为q(x)，并且和p(x)相乘，得到的g(x)不为1，最高次数为4。</t>
  </si>
  <si>
    <t>00:12:53.533 另一方面，如果我们直接使用扩展欧几里得法，通过p(x)和f(x)进行求解，得到的g(x)也不为1。</t>
  </si>
  <si>
    <t>00:13:00.567 将求得的q(x)和p(x)相乘，得到刚才求得的g(x)，其最高次数为2。</t>
  </si>
  <si>
    <t>00:13:09.967 这里，我们计算q(H)y，发现求得的x也不是正确解。</t>
  </si>
  <si>
    <t>00:13:17.400 两种方法求得的q(x)和g(x)都不相同，g(x)都不为1，并且q(H)y也都不是正确解。</t>
  </si>
  <si>
    <t>00:13:22.800 因此，如果g(x)不为1，则q(x)不满足q(x)p(x)=1 mod f(x)。或者说，满足q(x)p(x)=1 mod f(x)的q(x)不存在。</t>
  </si>
  <si>
    <t>00:13:25.867 那么对于不可逆的矩阵B，我们又有什么方法可以求出正确的解呢？</t>
  </si>
  <si>
    <t>00:13:32.633 在刚才的《首行求逆法》中，我们有这些公式。</t>
  </si>
  <si>
    <t>00:13:36.133 现在，我们定义多项式q'(x)，满足q'(x)p(x)=g(x) mod f(x)。</t>
  </si>
  <si>
    <t>00:13:39.533 其中，g(x)也就是刚才提到的最大公因子，q'(x)就是刚才求得的q(x)。</t>
  </si>
  <si>
    <t>00:13:42.433 由于原本求得的x并不是最终解，我们将其重命名为z，即z=q'(H)y。</t>
  </si>
  <si>
    <t>00:13:46.633 同时，我们定义q'(x)的逆多项式p'(x)，即q'(x)p'(x)=1 mod f(x)。</t>
  </si>
  <si>
    <t>00:13:49.533 我们不难推出这些式子。为了方便表示，这里将mod f(x)的部分省去。</t>
  </si>
  <si>
    <t>00:13:55.233 整理后，我们可以得到这些式子。</t>
  </si>
  <si>
    <t>00:14:07.033 最终，我们得到了z=g(H)x。这里，如果g(x)=1，则会有右边这些式子。</t>
  </si>
  <si>
    <t>00:14:13.533 前面使用的扩展欧几里得法中，我们已求得q'(x)和g(x)。因此，接下来只需要使用g(x)和z即可求得x。</t>
  </si>
  <si>
    <t>00:14:16.433 前者，我们有公式z=q'(H)y。我们不断让y乘以H，然后使用向量乘以矩阵的方法求得z。</t>
  </si>
  <si>
    <t>00:14:19.833 现在，我们有公式z=g(H)x。由于需要求得的是x，因此不能再使用这个方法来求解。</t>
  </si>
  <si>
    <t>00:14:24.933 这次，我们需要用反向叠加法来求x。让我们以n=5为例。</t>
  </si>
  <si>
    <t>00:14:27.533 首先，我们需要使用类似生成矩阵B的方法生成g(H)，这里记为矩阵D，其秩与矩阵B相同。</t>
  </si>
  <si>
    <t>00:14:30.133 1. 创建n个单位向量，也就是矩阵D的第一行。这里和矩阵B相同，一共有n个向量。</t>
  </si>
  <si>
    <t>00:14:32.233 2. 使用矩阵H，将每个矩阵D的第一行扩散到后续的行。</t>
  </si>
  <si>
    <t>00:14:34.833 3. 根据多项式g(x)，将每个矩阵D的对应行叠加起来，叠加完的行共同构成一个新的矩阵D。</t>
  </si>
  <si>
    <t>00:14:45.867 可以发现，这里的步骤和《首行叠加法》类似，共有n个矩阵要生成，时间复杂度是O(n³)。</t>
  </si>
  <si>
    <t>00:14:48.467 不过，聪明的你一定能想到，通过《生成矩阵法》调换矩阵的行以后，这些矩阵也都满足十字偶校验约束。</t>
  </si>
  <si>
    <t>00:14:57.367 因此，我们同样只需要生成第一个矩阵，然后递推即可得到矩阵D，时间复杂度降为了O(n²)。</t>
  </si>
  <si>
    <t>00:15:04.867 在生成第一个矩阵的过程中，每行乘以矩阵H的结果，就是刚才的矩阵K。</t>
  </si>
  <si>
    <t>00:15:06.400 因此，只需要将g(x)和K直接相乘，即可得到第一个矩阵的最后一行，即矩阵D的第一行。</t>
  </si>
  <si>
    <t>00:15:12.400 然后，我们就可以使用十字偶校验约束的递推关系，求得之后的行。</t>
  </si>
  <si>
    <t>00:15:20.100 由于矩阵D是由矩阵H生成的，因此具有以下这些性质。这里，n=5，r=3，r'=2。</t>
  </si>
  <si>
    <t>00:15:23.000 1. 后r=3行，第n行最左边的n-r'-1=n-3个元素为0。</t>
  </si>
  <si>
    <t>00:15:26.500 2. 后r=3行，第n行第n-r'=n-2个元素为1。</t>
  </si>
  <si>
    <t>00:15:29.700 3. 后r=3行，任意一行都不能由别的行叠加，即线性无关。</t>
  </si>
  <si>
    <t>00:15:33.200 4. 前r'=2行，任意一行都可以由后r=3行叠加。</t>
  </si>
  <si>
    <t>00:15:36.700 这些性质都不难证明，有兴趣的小伙伴可以自行证明。</t>
  </si>
  <si>
    <t>00:15:39.900 现在，我们有z=g(H)x=Dx。我们可以利用D的性质进行求解。接下来，我们需要将z拆解成矩阵D的若干行的叠加，从而表示出x。</t>
  </si>
  <si>
    <t>00:15:46.367 由于矩阵D后三行线性无关，因此我们只考虑把后三行叠加起来，不需考虑前二行。</t>
  </si>
  <si>
    <t>00:15:49.267 这里，我们尝试将后三行的若干行叠加到现有的z上，使其被消去。</t>
  </si>
  <si>
    <t>00:15:52.167 让我们观察z的第一个元素和D的后三行。在D的后三行中，第三行的第一个元素为1。</t>
  </si>
  <si>
    <t>00:15:55.367 z的第一个元素已经为0。如果我们叠加第三行，则z的第一个元素会变为1，因此不能叠加第三行。</t>
  </si>
  <si>
    <t>00:15:58.567 我们再看z的第二个元素，该元素为1，因此，我们需要将第四行叠加到z上。</t>
  </si>
  <si>
    <t>00:16:01.767 现在，z的第二个元素被消去了，同时，x的第四个元素被标记为1。</t>
  </si>
  <si>
    <t>00:16:06.067 我们接着看z的第三个元素。由于z的第三个元素变为了1，我们需要叠加D的第五行。</t>
  </si>
  <si>
    <t>00:16:09.267 这次，z被彻底消去了，变为了零，并且，x的第五个元素被标记为1。</t>
  </si>
  <si>
    <t>00:16:13.567 由此，我们通过依次叠加D的后三行，将z的元素依次消去。同时，将叠加的行标记为1，也就求得了最终的x。</t>
  </si>
  <si>
    <t>00:16:17.067 不难发现这里求得的x是一个特解。</t>
  </si>
  <si>
    <t>00:16:19.667 由于前r'行可以表示为后r行的线性叠加，因此我们可以在操作y之前，先将其和前r'的任意行叠加，然后再求解。</t>
  </si>
  <si>
    <t>00:16:22.567 由于前r'行共有2ʳ'种，因此求得的解也有2ʳ'种。</t>
  </si>
  <si>
    <t>00:16:25.767 另一方面，由于矩阵D满足十字偶校验约束，表现出高度的对称性。其中，行和列的坐标可以互换。</t>
  </si>
  <si>
    <t>00:16:29.567 因此，我们可以同样只叠加前r行，从右往左进行消去。由于效果是相同的，这里不再赘述。</t>
  </si>
  <si>
    <t>00:16:39.533 细心的小伙伴会发现，这两个式子具有相同的形式。</t>
  </si>
  <si>
    <t>00:16:42.433 既然我们可以在第一个式子用反向叠加法求x，为什么不能用相同的方法在第二个式子求x呢？</t>
  </si>
  <si>
    <t>00:16:54.500 这是因为矩阵D是由g(H)生成的，具有带状上三角的可回代结构，满足前面说到的四个性质。</t>
  </si>
  <si>
    <t>00:16:57.400 而B=p'(H)D破坏了这一结构，不满足这些性质。这里，D=g(H)不满秩，因此p'(H)不唯一。</t>
  </si>
  <si>
    <t>00:17:01.100 不过，当g=1时，这种解法是可行的，尽管这个方法首先需要求出完整的矩阵B。</t>
  </si>
  <si>
    <t>00:17:04.000 同时，因为矩阵B不是三角结构，还需标记每行首个为1的元素的位置来选择。因此，直接计算q(H)y会更加方便。</t>
  </si>
  <si>
    <t>00:17:07.500 最终，我们通过欧几里得法和反向叠加法，完成了Bx=y的求解，实现了点灯游戏O(n²)的时间复杂度的算法。</t>
  </si>
  <si>
    <t>00:17:38.533 向量和矩阵的乘法，欧几里得算法，逆向消元法，理论上通过卷积、FFT或牛顿迭代法，是有可能优化到O(n·log(n))的。</t>
  </si>
  <si>
    <t>00:17:41.133 考虑到UP主《信号与系统》、《数字信号处理》、《数值分析》等课程较差，暂时就不研究了。有兴趣的小伙伴可自行研究并留言。</t>
  </si>
  <si>
    <t>00:17:43.733 如果对视频中的内容有疑问，觉得视频内容表述不清，或者发现视频中的任何错误，也请大家多多留言和指证。谢谢大家的观看！</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</si>
  <si>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</si>
  <si>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</si>
  <si>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</si>
  <si>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</si>
  <si>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</si>
  <si>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</si>
  <si>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</si>
  <si>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</si>
  <si>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</si>
  <si>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</si>
  <si>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</si>
  <si>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</si>
  <si>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</si>
  <si>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</si>
  <si>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只不过B6是L1的翻转。而旁边的向量，代表的就是按钮或灯有没有翻转。</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</si>
  <si>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</si>
  <si>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</si>
  <si>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</si>
  <si>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</si>
  <si>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</si>
  <si>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</si>
  <si>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</si>
  <si>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</si>
  <si>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</si>
  <si>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</si>
  <si>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</si>
  <si>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</si>
  <si>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又因为，后一行的按钮是前一行灯的翻转。而后一行的灯是上左中右的灯的翻转的叠加。</t>
  </si>
  <si>
    <t>如果把翻转¬提取出来，便有了一开始的推导公式。</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</si>
  <si>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</si>
  <si>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</si>
  <si>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</si>
  <si>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</si>
  <si>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</si>
  <si>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</si>
  <si>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</si>
  <si>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</si>
  <si>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</si>
  <si>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</si>
  <si>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</si>
  <si>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</si>
  <si>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</si>
  <si>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</si>
  <si>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</si>
  <si>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</si>
  <si>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</si>
  <si>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</si>
  <si>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</si>
  <si>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</si>
  <si>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</si>
  <si>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</si>
  <si>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</si>
  <si>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</si>
  <si>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</si>
  <si>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</si>
  <si>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</si>
  <si>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</si>
  <si>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</si>
  <si>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</si>
  <si>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</si>
  <si>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</si>
  <si>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</si>
  <si>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</si>
  <si>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</si>
  <si>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</si>
  <si>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</si>
  <si>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</si>
  <si>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</si>
  <si>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</si>
  <si>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</si>
  <si>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</si>
  <si>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</si>
  <si>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</si>
  <si>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</si>
  <si>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</si>
  <si>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</si>
  <si>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</si>
  <si>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</si>
  <si>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</si>
  <si>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</si>
  <si>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</si>
  <si>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</si>
  <si>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现在，定义多项式p(x)。我们的目标是把B拆分成Hⁿ。</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</si>
  <si>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</si>
  <si>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</si>
  <si>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</si>
  <si>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</si>
  <si>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</si>
  <si>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</si>
  <si>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</si>
  <si>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</si>
  <si>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</si>
  <si>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此外，刚才递推得到的矩阵C对应多项式c(n,x)，等价于《解的数量》章节中提到的f(n,x+1)。</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</si>
  <si>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</si>
  <si>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</si>
  <si>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</si>
  <si>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</si>
  <si>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</si>
  <si>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</si>
  <si>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</si>
  <si>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</si>
  <si>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</si>
  <si>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</si>
  <si>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</si>
  <si>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</si>
  <si>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</si>
  <si>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</si>
  <si>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</si>
  <si>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</si>
  <si>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同时，由于P=C⊕F，P也可以写成这个递推公式，从而无需B，C或F，直接在O(n)的时间内，由P的递推公式推得。</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</si>
  <si>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</si>
  <si>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</si>
  <si>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</si>
  <si>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</si>
  <si>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</si>
  <si>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我们可以使用扩展欧几里得算法，通过f(x)和p(x)来求取q(x)。</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</si>
  <si>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</si>
  <si>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</si>
  <si>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</si>
  <si>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</si>
  <si>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</si>
  <si>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</si>
  <si>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</si>
  <si>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我们将q(x)写成矩阵Q。注意，这里的矩阵Q不是前面的完整逆矩阵Q'，而是把把多个q(x)拼接起来的结果。</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</si>
  <si>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</si>
  <si>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</si>
  <si>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</si>
  <si>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因此，我们也可以通过Kq求出逆矩阵Q'的第一行，再通过递推公式求得完整的Q'，最后再和y相乘求得x。</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</si>
  <si>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</si>
  <si>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</si>
  <si>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</si>
  <si>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</si>
  <si>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</si>
  <si>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</si>
  <si>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这里，deg表示最高次数，r'代表矩阵B丢失的秩，也就是n-r。r'的值决定了解的数量，即2ʳ'。</t>
  </si>
  <si>
    <t>将g(x)写成矩阵的形式，记为G。</t>
  </si>
  <si>
    <t>不难注意到，只有当矩阵B为可逆矩阵时，g(x)=1，并且g(x)的最高次数为r'=n-r=0。</t>
  </si>
  <si>
    <t>例如，当n=5时，高斯消元后的B的伪逆矩阵Q'和单位矩阵E'矩阵是这样的。</t>
  </si>
  <si>
    <t>这里，矩阵B不可逆，其秩为r=3。我们以r×r为界将矩阵分为四块，则会有这些结论。</t>
  </si>
  <si>
    <t>1. 矩阵B左上角r×r的子矩阵满秩，并且和Q'左上角r×r的子矩阵互为逆矩阵。</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</si>
  <si>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</si>
  <si>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</si>
  <si>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</si>
  <si>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</si>
  <si>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如果我们令Q'第一行为q(x)，并且和p(x)相乘，得到的g(x)不为1，最高次数为4。</t>
  </si>
  <si>
    <t>另一方面，如果我们直接使用扩展欧几里得法，通过p(x)和f(x)进行求解，得到的g(x)也不为1。</t>
  </si>
  <si>
    <t>将求得的q(x)和p(x)相乘，得到刚才求得的g(x)，其最高次数为2。</t>
  </si>
  <si>
    <t>这里，我们计算q(H)y，发现求得的x也不是正确解。</t>
  </si>
  <si>
    <t>两种方法求得的q(x)和g(x)都不相同，g(x)都不为1，并且q(H)y也都不是正确解。</t>
  </si>
  <si>
    <t>因此，如果g(x)不为1，则q(x)不满足q(x)p(x)=1 mod f(x)。或者说，满足q(x)p(x)=1 mod f(x)的q(x)不存在。</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</si>
  <si>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</si>
  <si>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</si>
  <si>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</si>
  <si>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</si>
  <si>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由于原本求得的x并不是最终解，我们将其重命名为z，即z=q'(H)y。</t>
  </si>
  <si>
    <t>同时，我们定义q'(x)的逆多项式p'(x)，即q'(x)p'(x)=1 mod f(x)。</t>
  </si>
  <si>
    <t>我们不难推出这些式子。为了方便表示，这里将mod f(x)的部分省去。</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</si>
  <si>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</si>
  <si>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</si>
  <si>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</si>
  <si>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</si>
  <si>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</si>
  <si>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这次，我们需要用反向叠加法来求x。让我们以n=5为例。</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</si>
  <si>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</si>
  <si>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</si>
  <si>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</si>
  <si>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</si>
  <si>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</si>
  <si>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</si>
  <si>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</si>
  <si>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</si>
  <si>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因此，只需要将g(x)和K直接相乘，即可得到第一个矩阵的最后一行，即矩阵D的第一行。</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</si>
  <si>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</si>
  <si>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</si>
  <si>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</si>
  <si>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</si>
  <si>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</si>
  <si>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</si>
  <si>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</si>
  <si>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</si>
  <si>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由于矩阵D后三行线性无关，因此我们只考虑把后三行叠加起来，不需考虑前二行。</t>
  </si>
  <si>
    <t>这里，我们尝试将后三行的若干行叠加到现有的z上，使其被消去。</t>
  </si>
  <si>
    <t>让我们观察z的第一个元素和D的后三行。在D的后三行中，第三行的第一个元素为1。</t>
  </si>
  <si>
    <t>z的第一个元素已经为0。如果我们叠加第三行，则z的第一个元素会变为1，因此不能叠加第三行。</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</si>
  <si>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</si>
  <si>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</si>
  <si>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</si>
  <si>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</si>
  <si>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</si>
  <si>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</si>
  <si>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由于前r'行可以表示为后r行的线性叠加，因此我们可以在操作y之前，先将其和前r'的任意行叠加，然后再求解。</t>
  </si>
  <si>
    <t>由于前r'行共有2ʳ'种，因此求得的解也有2ʳ'种。</t>
  </si>
  <si>
    <t>另一方面，由于矩阵D满足十字偶校验约束，表现出高度的对称性。其中，行和列的坐标可以互换。</t>
  </si>
  <si>
    <t>因此，我们可以同样只叠加前r行，从右往左进行消去。由于效果是相同的，这里不再赘述。</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</si>
  <si>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</si>
  <si>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</si>
  <si>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</si>
  <si>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而B=p'(H)D破坏了这一结构，不满足这些性质。这里，D=g(H)不满秩，因此p'(H)不唯一。</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</si>
  <si>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</si>
  <si>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</si>
  <si>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</si>
  <si>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</si>
  <si>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</si>
  <si>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如果对视频中的内容有疑问，觉得视频内容表述不清，或者发现视频中的任何错误，也请大家多多留言和指证。谢谢大家的观看！</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</si>
  <si>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</si>
  <si>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</si>
  <si>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</si>
  <si>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</si>
  <si>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</si>
  <si>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</si>
  <si>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</si>
  <si>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</si>
  <si>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</si>
  <si>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</si>
  <si>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</si>
  <si>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</si>
  <si>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</si>
  <si>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</si>
  <si>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</si>
  <si>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</si>
  <si>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</si>
  <si>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</si>
  <si>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</si>
  <si>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</si>
  <si>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</si>
  <si>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</si>
  <si>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</si>
  <si>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</si>
  <si>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</si>
  <si>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</si>
  <si>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</si>
  <si>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</si>
  <si>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</si>
  <si>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</si>
  <si>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</si>
  <si>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</si>
  <si>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</si>
  <si>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</si>
  <si>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</si>
  <si>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</si>
  <si>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</si>
  <si>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</si>
  <si>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</si>
  <si>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</si>
  <si>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</si>
  <si>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</si>
  <si>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</si>
  <si>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</si>
  <si>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</si>
  <si>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</si>
  <si>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</si>
  <si>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</si>
  <si>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</si>
  <si>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</si>
  <si>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</si>
  <si>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</si>
  <si>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</si>
  <si>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</si>
  <si>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</si>
  <si>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</si>
  <si>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00:02:18,480 --&gt; 00:02:21,600</t>
  </si>
  <si>
    <t>00:02:21,600 --&gt; 00:02:22,800</t>
  </si>
  <si>
    <t>而旁边的向量。</t>
  </si>
  <si>
    <t>00:02:23,120 --&gt; 00:02:27,640</t>
  </si>
  <si>
    <t>代表的就是按钮或灯有没有翻转，</t>
  </si>
  <si>
    <t>00:02:27,640 --&gt; 00:02:30,960</t>
  </si>
  <si>
    <t>例如当第一个向量的第一个灯L1亮起时，</t>
  </si>
  <si>
    <t>00:02:31,040 --&gt; 00:02:34,200</t>
  </si>
  <si>
    <t>00:02:34,200 --&gt; 00:02:36,440</t>
  </si>
  <si>
    <t>00:02:37,920 --&gt; 00:02:38,840</t>
  </si>
  <si>
    <t>00:02:38,840 --&gt; 00:02:42,320</t>
  </si>
  <si>
    <t>00:02:42,480 --&gt; 00:02:46,640</t>
  </si>
  <si>
    <t>00:02:46,640 --&gt; 00:02:47,200</t>
  </si>
  <si>
    <t>00:02:47,200 --&gt; 00:02:51,800</t>
  </si>
  <si>
    <t>00:02:53,200 --&gt; 00:02:56,440</t>
  </si>
  <si>
    <t>00:02:56,440 --&gt; 00:02:58,560</t>
  </si>
  <si>
    <t>将B1用第一行的按钮叠加时，</t>
  </si>
  <si>
    <t>00:02:58,640 --&gt; 00:03:01,880</t>
  </si>
  <si>
    <t>有B1等于B1。</t>
  </si>
  <si>
    <t>00:03:01,880 --&gt; 00:03:08,240</t>
  </si>
  <si>
    <t>接下来我们来看第六个灯L6等于B1加B6加B7等于B1加B1</t>
  </si>
  <si>
    <t>00:03:08,240 --&gt; 00:03:12,560</t>
  </si>
  <si>
    <t>加B2加B1加B2加B3等于B1加B3，</t>
  </si>
  <si>
    <t>00:03:14,080 --&gt; 00:03:14,640</t>
  </si>
  <si>
    <t>又比如。</t>
  </si>
  <si>
    <t>00:03:14,880 --&gt; 00:03:21,280</t>
  </si>
  <si>
    <t>L7等于B2加B6加B7加B8等于B2加非B1加B2加非B1</t>
  </si>
  <si>
    <t>00:03:21,280 --&gt; 00:03:25,840</t>
  </si>
  <si>
    <t>加B2加B3加非B2加B3加B4等于非B4。</t>
  </si>
  <si>
    <t>00:03:27,360 --&gt; 00:03:28,480</t>
  </si>
  <si>
    <t>00:03:28,480 --&gt; 00:03:32,000</t>
  </si>
  <si>
    <t>00:03:32,480 --&gt; 00:03:36,360</t>
  </si>
  <si>
    <t>00:03:36,360 --&gt; 00:03:40,680</t>
  </si>
  <si>
    <t>00:03:40,880 --&gt; 00:03:43,360</t>
  </si>
  <si>
    <t>则按钮和灯可写为以上公式。</t>
  </si>
  <si>
    <t>00:03:43,920 --&gt; 00:03:49,360</t>
  </si>
  <si>
    <t>00:03:49,360 --&gt; 00:03:52,200</t>
  </si>
  <si>
    <t>这里我们的矩阵同时满足另一个性质，</t>
  </si>
  <si>
    <t>00:03:52,400 --&gt; 00:03:56,440</t>
  </si>
  <si>
    <t>00:03:56,440 --&gt; 00:04:01,680</t>
  </si>
  <si>
    <t>00:04:01,680 --&gt; 00:04:04,600</t>
  </si>
  <si>
    <t>00:04:04,600 --&gt; 00:04:11,800</t>
  </si>
  <si>
    <t>00:04:11,800 --&gt; 00:04:12,840</t>
  </si>
  <si>
    <t>通过这个性质。</t>
  </si>
  <si>
    <t>00:04:13,040 --&gt; 00:04:17,160</t>
  </si>
  <si>
    <t>递推公式可化为只根据当前矩阵的元素来叠加，</t>
  </si>
  <si>
    <t>00:04:17,160 --&gt; 00:04:20,480</t>
  </si>
  <si>
    <t>无需依赖于左右矩阵，</t>
  </si>
  <si>
    <t>00:04:20,480 --&gt; 00:04:23,120</t>
  </si>
  <si>
    <t>因此我们可以在公式中去除外，</t>
  </si>
  <si>
    <t>00:04:23,680 --&gt; 00:04:29,800</t>
  </si>
  <si>
    <t>00:04:29,800 --&gt; 00:04:33,680</t>
  </si>
  <si>
    <t>00:04:33,680 --&gt; 00:04:38,920</t>
  </si>
  <si>
    <t>而后一行的灯是上左中右的灯的翻转的叠加，</t>
  </si>
  <si>
    <t>00:04:38,920 --&gt; 00:04:40,840</t>
  </si>
  <si>
    <t>00:04:40,840 --&gt; 00:04:42,720</t>
  </si>
  <si>
    <t>便有了一开始的推导公式。</t>
  </si>
  <si>
    <t>00:04:44,240 --&gt; 00:04:49,840</t>
  </si>
  <si>
    <t>也就是按钮是前一行的左中右的按钮和上上行的按钮的叠加，</t>
  </si>
  <si>
    <t>00:04:49,840 --&gt; 00:04:54,400</t>
  </si>
  <si>
    <t>00:04:55,840 --&gt; 00:04:59,920</t>
  </si>
  <si>
    <t>00:04:59,920 --&gt; 00:05:02,760</t>
  </si>
  <si>
    <t>00:05:04,240 --&gt; 00:05:06,040</t>
  </si>
  <si>
    <t>00:05:06,160 --&gt; 00:05:09,280</t>
  </si>
  <si>
    <t>00:05:09,840 --&gt; 00:05:11,600</t>
  </si>
  <si>
    <t>因为最后一次推倒的是灯。</t>
  </si>
  <si>
    <t>00:05:11,760 --&gt; 00:05:13,600</t>
  </si>
  <si>
    <t>因此按钮也是5行，</t>
  </si>
  <si>
    <t>00:05:15,200 --&gt; 00:05:17,840</t>
  </si>
  <si>
    <t>对于翻转的情况则可以单独列出来，</t>
  </si>
  <si>
    <t>00:05:17,840 --&gt; 00:05:19,360</t>
  </si>
  <si>
    <t>00:05:19,360 --&gt; 00:05:20,560</t>
  </si>
  <si>
    <t>00:05:22,080 --&gt; 00:05:28,560</t>
  </si>
  <si>
    <t>00:05:28,560 --&gt; 00:05:33,680</t>
  </si>
  <si>
    <t>00:05:33,680 --&gt; 00:05:36,560</t>
  </si>
  <si>
    <t>00:05:36,560 --&gt; 00:05:38,720</t>
  </si>
  <si>
    <t>并且不能省略翻转符号非。</t>
  </si>
  <si>
    <t>00:05:40,480 --&gt; 00:05:41,840</t>
  </si>
  <si>
    <t>一使用零向量，</t>
  </si>
  <si>
    <t>00:05:42,400 --&gt; 00:05:45,720</t>
  </si>
  <si>
    <t>00:05:45,720 --&gt; 00:05:47,920</t>
  </si>
  <si>
    <t>00:05:48,080 --&gt; 00:05:52,240</t>
  </si>
  <si>
    <t>00:05:52,240 --&gt; 00:05:55,040</t>
  </si>
  <si>
    <t>00:05:55,040 --&gt; 00:05:56,720</t>
  </si>
  <si>
    <t>00:05:56,720 --&gt; 00:05:58,560</t>
  </si>
  <si>
    <t>00:05:58,560 --&gt; 00:06:00,840</t>
  </si>
  <si>
    <t>00:06:00,840 --&gt; 00:06:02,680</t>
  </si>
  <si>
    <t>00:06:04,480 --&gt; 00:06:06,720</t>
  </si>
  <si>
    <t>三不使用X而使用Y。</t>
  </si>
  <si>
    <t>00:06:07,440 --&gt; 00:06:10,920</t>
  </si>
  <si>
    <t>翻转是前面所有按钮的翻转叠加后提取出来的，</t>
  </si>
  <si>
    <t>00:06:10,920 --&gt; 00:06:12,680</t>
  </si>
  <si>
    <t>00:06:12,880 --&gt; 00:06:16,040</t>
  </si>
  <si>
    <t>00:06:16,040 --&gt; 00:06:16,760</t>
  </si>
  <si>
    <t>00:06:16,760 --&gt; 00:06:20,200</t>
  </si>
  <si>
    <t>00:06:21,840 --&gt; 00:06:22,440</t>
  </si>
  <si>
    <t>00:06:22,440 --&gt; 00:06:23,800</t>
  </si>
  <si>
    <t>00:06:23,800 --&gt; 00:06:26,440</t>
  </si>
  <si>
    <t>00:06:26,440 --&gt; 00:06:28,520</t>
  </si>
  <si>
    <t>00:06:28,520 --&gt; 00:06:31,680</t>
  </si>
  <si>
    <t>00:06:31,680 --&gt; 00:06:33,200</t>
  </si>
  <si>
    <t>00:06:33,200 --&gt; 00:06:35,040</t>
  </si>
  <si>
    <t>00:06:35,040 --&gt; 00:06:35,920</t>
  </si>
  <si>
    <t>00:06:35,920 --&gt; 00:06:37,200</t>
  </si>
  <si>
    <t>00:06:38,720 --&gt; 00:06:45,240</t>
  </si>
  <si>
    <t>00:06:45,240 --&gt; 00:06:48,880</t>
  </si>
  <si>
    <t>00:06:48,880 --&gt; 00:06:53,640</t>
  </si>
  <si>
    <t>然后递推也可以得到第二个矩阵最后一行按钮和灯的状态。</t>
  </si>
  <si>
    <t>00:06:55,120 --&gt; 00:06:56,320</t>
  </si>
  <si>
    <t>00:06:56,320 --&gt; 00:07:00,800</t>
  </si>
  <si>
    <t>00:07:00,800 --&gt; 00:07:01,360</t>
  </si>
  <si>
    <t>00:07:01,360 --&gt; 00:07:04,040</t>
  </si>
  <si>
    <t>翻转向量也可以用相似的方法推得。</t>
  </si>
  <si>
    <t>00:07:05,680 --&gt; 00:07:07,480</t>
  </si>
  <si>
    <t>我们把所有灯全部点亮，</t>
  </si>
  <si>
    <t>00:07:07,680 --&gt; 00:07:10,960</t>
  </si>
  <si>
    <t>00:07:10,960 --&gt; 00:07:15,560</t>
  </si>
  <si>
    <t>00:07:15,560 --&gt; 00:07:20,080</t>
  </si>
  <si>
    <t>00:07:20,080 --&gt; 00:07:21,440</t>
  </si>
  <si>
    <t>00:07:21,600 --&gt; 00:07:25,600</t>
  </si>
  <si>
    <t>00:07:25,600 --&gt; 00:07:27,600</t>
  </si>
  <si>
    <t>00:07:27,600 --&gt; 00:07:29,880</t>
  </si>
  <si>
    <t>我们将矩阵的行重排，</t>
  </si>
  <si>
    <t>00:07:29,880 --&gt; 00:07:32,120</t>
  </si>
  <si>
    <t>其实是调换了N和Y的位置。</t>
  </si>
  <si>
    <t>00:07:32,400 --&gt; 00:07:36,360</t>
  </si>
  <si>
    <t>00:07:38,000 --&gt; 00:07:40,800</t>
  </si>
  <si>
    <t>这N个矩阵都满足十字偶校验约束，</t>
  </si>
  <si>
    <t>00:07:40,960 --&gt; 00:07:43,440</t>
  </si>
  <si>
    <t>00:07:43,680 --&gt; 00:07:45,880</t>
  </si>
  <si>
    <t>因此这里的公式省去了N。</t>
  </si>
  <si>
    <t>00:07:47,440 --&gt; 00:07:49,400</t>
  </si>
  <si>
    <t>00:07:49,520 --&gt; 00:07:51,360</t>
  </si>
  <si>
    <t>只不过N和Y调换了，</t>
  </si>
  <si>
    <t>00:07:51,360 --&gt; 00:07:53,280</t>
  </si>
  <si>
    <t>00:07:54,720 --&gt; 00:07:56,640</t>
  </si>
  <si>
    <t>00:07:57,120 --&gt; 00:08:00,680</t>
  </si>
  <si>
    <t>00:08:02,200 --&gt; 00:08:04,720</t>
  </si>
  <si>
    <t>00:08:04,720 --&gt; 00:08:07,440</t>
  </si>
  <si>
    <t>00:08:08,960 --&gt; 00:08:12,360</t>
  </si>
  <si>
    <t>00:08:13,840 --&gt; 00:08:17,520</t>
  </si>
  <si>
    <t>00:08:17,520 --&gt; 00:08:21,680</t>
  </si>
  <si>
    <t>00:08:21,680 --&gt; 00:08:27,600</t>
  </si>
  <si>
    <t>00:08:27,600 --&gt; 00:08:30,440</t>
  </si>
  <si>
    <t>00:08:32,000 --&gt; 00:08:37,160</t>
  </si>
  <si>
    <t>00:08:37,160 --&gt; 00:08:38,000</t>
  </si>
  <si>
    <t>00:08:38,000 --&gt; 00:08:40,160</t>
  </si>
  <si>
    <t>00:08:40,320 --&gt; 00:08:44,400</t>
  </si>
  <si>
    <t>00:08:44,400 --&gt; 00:08:47,080</t>
  </si>
  <si>
    <t>00:08:47,080 --&gt; 00:08:50,720</t>
  </si>
  <si>
    <t>00:08:50,720 --&gt; 00:08:53,920</t>
  </si>
  <si>
    <t>00:08:55,440 --&gt; 00:09:00,240</t>
  </si>
  <si>
    <t>00:09:00,560 --&gt; 00:09:03,720</t>
  </si>
  <si>
    <t>00:09:03,920 --&gt; 00:09:06,320</t>
  </si>
  <si>
    <t>00:09:07,760 --&gt; 00:09:12,720</t>
  </si>
  <si>
    <t>00:09:13,200 --&gt; 00:09:14,960</t>
  </si>
  <si>
    <t>00:09:14,960 --&gt; 00:09:17,960</t>
  </si>
  <si>
    <t>00:09:17,960 --&gt; 00:09:21,800</t>
  </si>
  <si>
    <t>00:09:21,800 --&gt; 00:09:24,080</t>
  </si>
  <si>
    <t>00:09:24,080 --&gt; 00:09:28,040</t>
  </si>
  <si>
    <t>00:09:28,040 --&gt; 00:09:30,440</t>
  </si>
  <si>
    <t>00:09:30,560 --&gt; 00:09:31,080</t>
  </si>
  <si>
    <t>00:09:31,080 --&gt; 00:09:33,280</t>
  </si>
  <si>
    <t>00:09:34,800 --&gt; 00:09:36,760</t>
  </si>
  <si>
    <t>00:09:36,960 --&gt; 00:09:39,200</t>
  </si>
  <si>
    <t>00:09:39,360 --&gt; 00:09:41,760</t>
  </si>
  <si>
    <t>00:09:41,920 --&gt; 00:09:43,760</t>
  </si>
  <si>
    <t>00:09:45,360 --&gt; 00:09:48,040</t>
  </si>
  <si>
    <t>00:09:48,160 --&gt; 00:09:50,160</t>
  </si>
  <si>
    <t>00:09:50,400 --&gt; 00:09:52,800</t>
  </si>
  <si>
    <t>00:09:52,960 --&gt; 00:09:55,560</t>
  </si>
  <si>
    <t>00:09:57,200 --&gt; 00:09:58,920</t>
  </si>
  <si>
    <t>00:09:59,440 --&gt; 00:10:02,640</t>
  </si>
  <si>
    <t>00:10:02,880 --&gt; 00:10:05,440</t>
  </si>
  <si>
    <t>00:10:05,600 --&gt; 00:10:07,440</t>
  </si>
  <si>
    <t>00:10:08,960 --&gt; 00:10:12,160</t>
  </si>
  <si>
    <t>00:10:12,320 --&gt; 00:10:17,000</t>
  </si>
  <si>
    <t>00:10:17,000 --&gt; 00:10:20,680</t>
  </si>
  <si>
    <t>00:10:20,680 --&gt; 00:10:22,640</t>
  </si>
  <si>
    <t>00:10:24,160 --&gt; 00:10:29,200</t>
  </si>
  <si>
    <t>注意这里的B撇矩阵不是刚才说的当N确定时的完整的矩阵B。</t>
  </si>
  <si>
    <t>00:10:29,520 --&gt; 00:10:33,720</t>
  </si>
  <si>
    <t>而是BN的第一行拼接起来的结果，</t>
  </si>
  <si>
    <t>00:10:33,720 --&gt; 00:10:35,920</t>
  </si>
  <si>
    <t>另外这里从n等于零开始，</t>
  </si>
  <si>
    <t>00:10:35,920 --&gt; 00:10:37,320</t>
  </si>
  <si>
    <t>一共递推n次，</t>
  </si>
  <si>
    <t>00:10:37,320 --&gt; 00:10:40,520</t>
  </si>
  <si>
    <t>最后一个一不包含在矩阵B的第一行内，</t>
  </si>
  <si>
    <t>00:10:41,040 --&gt; 00:10:42,560</t>
  </si>
  <si>
    <t>例如n等于70，</t>
  </si>
  <si>
    <t>00:10:42,880 --&gt; 00:10:45,120</t>
  </si>
  <si>
    <t>00:10:45,120 --&gt; 00:10:48,120</t>
  </si>
  <si>
    <t>最后一个一省去，</t>
  </si>
  <si>
    <t>00:10:48,120 --&gt; 00:10:51,400</t>
  </si>
  <si>
    <t>改写后的矩阵记为B撇撇等于B撇加i，</t>
  </si>
  <si>
    <t>00:10:52,880 --&gt; 00:10:55,320</t>
  </si>
  <si>
    <t>把y的第一行写在一起是这样的，</t>
  </si>
  <si>
    <t>00:10:55,320 --&gt; 00:10:56,240</t>
  </si>
  <si>
    <t>记为y撇。</t>
  </si>
  <si>
    <t>00:10:57,920 --&gt; 00:10:59,360</t>
  </si>
  <si>
    <t>合并在一起后的Y，</t>
  </si>
  <si>
    <t>00:10:59,360 --&gt; 00:11:02,320</t>
  </si>
  <si>
    <t>撇有以上递推公式。</t>
  </si>
  <si>
    <t>00:11:02,320 --&gt; 00:11:04,400</t>
  </si>
  <si>
    <t>00:11:04,400 --&gt; 00:11:06,760</t>
  </si>
  <si>
    <t>00:11:07,280 --&gt; 00:11:09,760</t>
  </si>
  <si>
    <t>00:11:09,920 --&gt; 00:11:11,720</t>
  </si>
  <si>
    <t>00:11:13,200 --&gt; 00:11:14,840</t>
  </si>
  <si>
    <t>00:11:14,840 --&gt; 00:11:17,680</t>
  </si>
  <si>
    <t>00:11:17,680 --&gt; 00:11:18,600</t>
  </si>
  <si>
    <t>00:11:19,040 --&gt; 00:11:21,200</t>
  </si>
  <si>
    <t>00:11:21,280 --&gt; 00:11:25,120</t>
  </si>
  <si>
    <t>等同于将向量V的每个元素向左右扩散后叠加。</t>
  </si>
  <si>
    <t>00:11:26,640 --&gt; 00:11:31,080</t>
  </si>
  <si>
    <t>00:11:32,560 --&gt; 00:11:38,240</t>
  </si>
  <si>
    <t>00:11:39,840 --&gt; 00:11:41,040</t>
  </si>
  <si>
    <t>00:11:41,200 --&gt; 00:11:41,880</t>
  </si>
  <si>
    <t>00:11:41,880 --&gt; 00:11:45,040</t>
  </si>
  <si>
    <t>B2分别表示为H的不同次数的叠加，</t>
  </si>
  <si>
    <t>00:11:46,480 --&gt; 00:11:50,080</t>
  </si>
  <si>
    <t>将这些H的系数用多项式CNX表示，</t>
  </si>
  <si>
    <t>00:11:50,080 --&gt; 00:11:52,560</t>
  </si>
  <si>
    <t>则有和矩阵B类似的递推公式。</t>
  </si>
  <si>
    <t>00:11:53,120 --&gt; 00:11:58,200</t>
  </si>
  <si>
    <t>00:11:58,200 --&gt; 00:12:03,280</t>
  </si>
  <si>
    <t>00:12:03,520 --&gt; 00:12:07,360</t>
  </si>
  <si>
    <t>00:12:08,960 --&gt; 00:12:11,400</t>
  </si>
  <si>
    <t>00:12:11,400 --&gt; 00:12:13,680</t>
  </si>
  <si>
    <t>也就是H的N次方，</t>
  </si>
  <si>
    <t>00:12:13,680 --&gt; 00:12:16,440</t>
  </si>
  <si>
    <t>00:12:16,440 --&gt; 00:12:17,880</t>
  </si>
  <si>
    <t>看起来像是这样的，</t>
  </si>
  <si>
    <t>00:12:19,360 --&gt; 00:12:21,600</t>
  </si>
  <si>
    <t>我们把这个下三角矩阵记为K。</t>
  </si>
  <si>
    <t>00:12:21,840 --&gt; 00:12:25,320</t>
  </si>
  <si>
    <t>又称克雷洛夫矩阵或扩散机矩阵，</t>
  </si>
  <si>
    <t>00:12:25,320 --&gt; 00:12:29,280</t>
  </si>
  <si>
    <t>对于K的第n行有以上公式，</t>
  </si>
  <si>
    <t>00:12:29,280 --&gt; 00:12:31,560</t>
  </si>
  <si>
    <t>00:12:31,680 --&gt; 00:12:33,600</t>
  </si>
  <si>
    <t>也就是前一行的左右扩散，</t>
  </si>
  <si>
    <t>00:12:34,080 --&gt; 00:12:38,800</t>
  </si>
  <si>
    <t>因此对于K的每个元素有以上递推公式，</t>
  </si>
  <si>
    <t>00:12:38,800 --&gt; 00:12:41,040</t>
  </si>
  <si>
    <t>现在定义多项式PX，</t>
  </si>
  <si>
    <t>00:12:41,520 --&gt; 00:12:46,280</t>
  </si>
  <si>
    <t>00:12:46,280 --&gt; 00:12:49,960</t>
  </si>
  <si>
    <t>将矩阵H代入多项式PX得到PH。</t>
  </si>
  <si>
    <t>00:12:50,160 --&gt; 00:12:51,760</t>
  </si>
  <si>
    <t>并用其表示矩阵b，</t>
  </si>
  <si>
    <t>00:12:53,280 --&gt; 00:12:58,160</t>
  </si>
  <si>
    <t>这样原始求x的问题就转化为了phx等于y。</t>
  </si>
  <si>
    <t>00:12:59,680 --&gt; 00:13:03,520</t>
  </si>
  <si>
    <t>现在我们需要把多项式ph的系数计算出来，</t>
  </si>
  <si>
    <t>00:13:04,000 --&gt; 00:13:06,560</t>
  </si>
  <si>
    <t>这个系数构成的向量我们记为p。</t>
  </si>
  <si>
    <t>00:13:08,080 --&gt; 00:13:09,240</t>
  </si>
  <si>
    <t>00:13:09,240 --&gt; 00:13:11,440</t>
  </si>
  <si>
    <t>我们只关心矩阵第一行b零，</t>
  </si>
  <si>
    <t>00:13:11,520 --&gt; 00:13:12,240</t>
  </si>
  <si>
    <t>记为b。</t>
  </si>
  <si>
    <t>00:13:12,800 --&gt; 00:13:14,320</t>
  </si>
  <si>
    <t>根据刚才k的定义，</t>
  </si>
  <si>
    <t>00:13:14,320 --&gt; 00:13:16,240</t>
  </si>
  <si>
    <t>我们可以得到b等于kp。</t>
  </si>
  <si>
    <t>00:13:17,840 --&gt; 00:13:18,640</t>
  </si>
  <si>
    <t>00:13:18,640 --&gt; 00:13:21,640</t>
  </si>
  <si>
    <t>00:13:21,640 --&gt; 00:13:22,360</t>
  </si>
  <si>
    <t>00:13:22,560 --&gt; 00:13:25,520</t>
  </si>
  <si>
    <t>又称反克雷洛夫矩阵或结偶矩阵。</t>
  </si>
  <si>
    <t>00:13:26,960 --&gt; 00:13:29,520</t>
  </si>
  <si>
    <t>00:13:29,520 --&gt; 00:13:31,760</t>
  </si>
  <si>
    <t>00:13:31,760 --&gt; 00:13:33,120</t>
  </si>
  <si>
    <t>00:13:33,600 --&gt; 00:13:34,280</t>
  </si>
  <si>
    <t>00:13:34,280 --&gt; 00:13:38,480</t>
  </si>
  <si>
    <t>00:13:38,480 --&gt; 00:13:44,600</t>
  </si>
  <si>
    <t>使用这两个性质构造的矩阵K和F可以证明S等于KF为单位矩阵I</t>
  </si>
  <si>
    <t>00:13:44,600 --&gt; 00:13:44,640</t>
  </si>
  <si>
    <t>，</t>
  </si>
  <si>
    <t>00:13:44,800 --&gt; 00:13:47,640</t>
  </si>
  <si>
    <t>00:13:49,240 --&gt; 00:13:53,680</t>
  </si>
  <si>
    <t>提示矩阵S等于KF满足14偶校验约束，</t>
  </si>
  <si>
    <t>00:13:53,680 --&gt; 00:13:57,360</t>
  </si>
  <si>
    <t>00:13:57,360 --&gt; 00:14:02,000</t>
  </si>
  <si>
    <t>00:14:02,000 --&gt; 00:14:07,520</t>
  </si>
  <si>
    <t>00:14:07,520 --&gt; 00:14:07,560</t>
  </si>
  <si>
    <t>00:14:09,040 --&gt; 00:14:09,560</t>
  </si>
  <si>
    <t>00:14:09,560 --&gt; 00:14:15,520</t>
  </si>
  <si>
    <t>00:14:15,520 --&gt; 00:14:17,520</t>
  </si>
  <si>
    <t>的FNX加1。</t>
  </si>
  <si>
    <t>00:14:19,120 --&gt; 00:14:20,440</t>
  </si>
  <si>
    <t>00:14:20,440 --&gt; 00:14:26,320</t>
  </si>
  <si>
    <t>00:14:27,760 --&gt; 00:14:30,920</t>
  </si>
  <si>
    <t>00:14:31,360 --&gt; 00:14:34,080</t>
  </si>
  <si>
    <t>00:14:35,680 --&gt; 00:14:37,040</t>
  </si>
  <si>
    <t>让我们继续求P，</t>
  </si>
  <si>
    <t>00:14:37,520 --&gt; 00:14:39,280</t>
  </si>
  <si>
    <t>00:14:39,280 --&gt; 00:14:42,800</t>
  </si>
  <si>
    <t>00:14:43,200 --&gt; 00:14:45,520</t>
  </si>
  <si>
    <t>00:14:45,520 --&gt; 00:14:46,880</t>
  </si>
  <si>
    <t>00:14:48,480 --&gt; 00:14:50,520</t>
  </si>
  <si>
    <t>00:14:50,520 --&gt; 00:14:52,040</t>
  </si>
  <si>
    <t>00:14:52,160 --&gt; 00:14:54,840</t>
  </si>
  <si>
    <t>00:14:54,840 --&gt; 00:14:56,600</t>
  </si>
  <si>
    <t>00:14:56,720 --&gt; 00:14:58,720</t>
  </si>
  <si>
    <t>00:14:59,360 --&gt; 00:15:02,520</t>
  </si>
  <si>
    <t>00:15:02,520 --&gt; 00:15:06,160</t>
  </si>
  <si>
    <t>00:15:07,680 --&gt; 00:15:09,520</t>
  </si>
  <si>
    <t>00:15:09,520 --&gt; 00:15:12,560</t>
  </si>
  <si>
    <t>00:15:12,800 --&gt; 00:15:15,560</t>
  </si>
  <si>
    <t>00:15:17,120 --&gt; 00:15:22,480</t>
  </si>
  <si>
    <t>00:15:23,040 --&gt; 00:15:27,360</t>
  </si>
  <si>
    <t>00:15:27,440 --&gt; 00:15:28,840</t>
  </si>
  <si>
    <t>00:15:30,480 --&gt; 00:15:34,040</t>
  </si>
  <si>
    <t>由于在不同N的情况下计算B的公式是一样的，</t>
  </si>
  <si>
    <t>00:15:34,040 --&gt; 00:15:38,520</t>
  </si>
  <si>
    <t>我们可以把N减一情况下算出的B直接用于计算N的情况。</t>
  </si>
  <si>
    <t>00:15:40,000 --&gt; 00:15:43,040</t>
  </si>
  <si>
    <t>这样如果我们是从N等于0开始计算的，</t>
  </si>
  <si>
    <t>00:15:43,200 --&gt; 00:15:46,800</t>
  </si>
  <si>
    <t>我们只需要open的时间复杂度便可求出B。</t>
  </si>
  <si>
    <t>由于QH就是B的逆矩阵Q撇，</t>
  </si>
  <si>
    <t>那就是我们假设满足等于的多项式存在，</t>
  </si>
  <si>
    <t>如果这样的多项式不存在，</t>
  </si>
  <si>
    <t>例如当N等于5时，</t>
  </si>
  <si>
    <t>我们以R乘2为界，</t>
  </si>
  <si>
    <t>将矩阵分为4块，</t>
  </si>
  <si>
    <t>三Q撇左下角W二和一撇右上角的静默操作相同，</t>
  </si>
  <si>
    <t>如果我们令Q撇第一行为QX并且和PX相乘得到的GX不为一，</t>
  </si>
  <si>
    <t>GX都不唯一，</t>
  </si>
  <si>
    <t>如果GX不唯一，</t>
  </si>
  <si>
    <t>如果GX等于1，</t>
  </si>
  <si>
    <t>则会有右边这些式子。</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</si>
  <si>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</si>
  <si>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</si>
  <si>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</si>
  <si>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</si>
  <si>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</si>
  <si>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</si>
  <si>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因此我们可以在操作Y之前先将其和前二撇的任意行叠加，</t>
  </si>
  <si>
    <t>由于前二撇行共有二的二撇次方种，</t>
  </si>
  <si>
    <t>因此求得的解也有二的二撇次方种。</t>
  </si>
  <si>
    <t>我们不难推出这些式子，</t>
  </si>
  <si>
    <t>我们已求得Q撇X和GX，</t>
  </si>
  <si>
    <t>因此接下来只需要使用GX和Z即可求得X。</t>
  </si>
  <si>
    <t>这次我们需要用反向叠加法来求X，</t>
  </si>
  <si>
    <t>让我们以N等于5为例。</t>
  </si>
  <si>
    <t>也就是矩阵D的第一行。</t>
  </si>
  <si>
    <t>这些矩阵也都满足十字偶校验约束，</t>
  </si>
  <si>
    <t>因此我们同样只需要生成第一个矩阵，</t>
  </si>
  <si>
    <t>时间复杂度降位了ON的二次方，</t>
  </si>
  <si>
    <t>第n行dn减二撇等于n减二个元素为一，</t>
  </si>
  <si>
    <t>接下来我们需要将Z拆解成矩阵D的若干行的叠加，</t>
  </si>
  <si>
    <t>由于矩阵D后三行线性无关，</t>
  </si>
  <si>
    <t>我们接着看Z的第三个元素，</t>
  </si>
  <si>
    <t>同时将叠加的行标记为一，</t>
  </si>
  <si>
    <t>其中行和列的坐标可以互换，</t>
  </si>
  <si>
    <t>因此我们可以同样只叠加前二行，</t>
  </si>
  <si>
    <t>具有带状上三角的可回带结构，</t>
  </si>
  <si>
    <t>满足前面说到的四个性质。</t>
  </si>
  <si>
    <t>我们定义Q撇X的逆多项式P撇X，</t>
  </si>
  <si>
    <t>即Q撇X，</t>
  </si>
  <si>
    <t>P撇X等于1modFX。</t>
  </si>
  <si>
    <t>我们将其重命名为Z即Z等于Q撇HY。</t>
  </si>
  <si>
    <t>即矩阵地的第一行。</t>
  </si>
  <si>
    <t>00:15:48,300 --&gt; 00:15:50,900</t>
  </si>
  <si>
    <t>同样计算K和F也是如此，</t>
  </si>
  <si>
    <t>00:15:51,420 --&gt; 00:15:53,380</t>
  </si>
  <si>
    <t>00:15:53,380 --&gt; 00:15:55,500</t>
  </si>
  <si>
    <t>如果从N等于0开始计算，</t>
  </si>
  <si>
    <t>00:15:55,500 --&gt; 00:15:58,020</t>
  </si>
  <si>
    <t>也可以在ON时间内求出。</t>
  </si>
  <si>
    <t>00:15:59,500 --&gt; 00:16:01,420</t>
  </si>
  <si>
    <t>如果需要直接计算特定N，</t>
  </si>
  <si>
    <t>00:16:01,500 --&gt; 00:16:04,500</t>
  </si>
  <si>
    <t>可以用其他方法优化到ON乘logN，</t>
  </si>
  <si>
    <t>00:16:05,100 --&gt; 00:16:07,340</t>
  </si>
  <si>
    <t>00:16:07,420 --&gt; 00:16:10,540</t>
  </si>
  <si>
    <t>00:16:10,540 --&gt; 00:16:12,300</t>
  </si>
  <si>
    <t>为了求出P等于FB，</t>
  </si>
  <si>
    <t>00:16:12,380 --&gt; 00:16:14,820</t>
  </si>
  <si>
    <t>00:16:15,020 --&gt; 00:16:16,020</t>
  </si>
  <si>
    <t>00:16:16,020 --&gt; 00:16:20,380</t>
  </si>
  <si>
    <t>其时间复杂度是ON的二次方，</t>
  </si>
  <si>
    <t>00:16:20,380 --&gt; 00:16:22,740</t>
  </si>
  <si>
    <t>00:16:22,740 --&gt; 00:16:27,500</t>
  </si>
  <si>
    <t>理论上使用FFT等算法可以把乘法优化到ON乘logN。</t>
  </si>
  <si>
    <t>00:16:27,500 --&gt; 00:16:30,020</t>
  </si>
  <si>
    <t>00:16:30,020 --&gt; 00:16:31,660</t>
  </si>
  <si>
    <t>00:16:31,660 --&gt; 00:16:34,140</t>
  </si>
  <si>
    <t>00:16:34,140 --&gt; 00:16:36,060</t>
  </si>
  <si>
    <t>00:16:36,700 --&gt; 00:16:39,140</t>
  </si>
  <si>
    <t>00:16:39,140 --&gt; 00:16:41,020</t>
  </si>
  <si>
    <t>00:16:42,660 --&gt; 00:16:43,780</t>
  </si>
  <si>
    <t>00:16:43,780 --&gt; 00:16:48,300</t>
  </si>
  <si>
    <t>00:16:48,300 --&gt; 00:16:51,420</t>
  </si>
  <si>
    <t>00:16:51,420 --&gt; 00:16:53,660</t>
  </si>
  <si>
    <t>00:16:53,660 --&gt; 00:16:56,180</t>
  </si>
  <si>
    <t>00:16:57,660 --&gt; 00:16:59,460</t>
  </si>
  <si>
    <t>00:16:59,580 --&gt; 00:17:02,020</t>
  </si>
  <si>
    <t>00:17:02,620 --&gt; 00:17:03,180</t>
  </si>
  <si>
    <t>00:17:03,180 --&gt; 00:17:06,900</t>
  </si>
  <si>
    <t>00:17:06,900 --&gt; 00:17:08,340</t>
  </si>
  <si>
    <t>00:17:09,820 --&gt; 00:17:10,460</t>
  </si>
  <si>
    <t>00:17:10,460 --&gt; 00:17:12,340</t>
  </si>
  <si>
    <t>由于P等于C加F。</t>
  </si>
  <si>
    <t>00:17:12,540 --&gt; 00:17:14,660</t>
  </si>
  <si>
    <t>00:17:14,860 --&gt; 00:17:20,940</t>
  </si>
  <si>
    <t>从而无需BC或F直接在ON的时间内由P的递推公式推得。</t>
  </si>
  <si>
    <t>00:17:22,540 --&gt; 00:17:24,060</t>
  </si>
  <si>
    <t>00:17:24,140 --&gt; 00:17:26,660</t>
  </si>
  <si>
    <t>00:17:26,660 --&gt; 00:17:32,580</t>
  </si>
  <si>
    <t>00:17:32,580 --&gt; 00:17:35,020</t>
  </si>
  <si>
    <t>00:17:35,100 --&gt; 00:17:38,620</t>
  </si>
  <si>
    <t>00:17:38,860 --&gt; 00:17:40,060</t>
  </si>
  <si>
    <t>00:17:41,580 --&gt; 00:17:42,380</t>
  </si>
  <si>
    <t>00:17:42,380 --&gt; 00:17:48,140</t>
  </si>
  <si>
    <t>如果有一个多项式QX满足QXPX等于1modFX，</t>
  </si>
  <si>
    <t>00:17:48,140 --&gt; 00:17:51,980</t>
  </si>
  <si>
    <t>这里的FX就是前面提到的多项式FNX，</t>
  </si>
  <si>
    <t>00:17:53,500 --&gt; 00:17:59,180</t>
  </si>
  <si>
    <t>00:17:59,740 --&gt; 00:18:01,900</t>
  </si>
  <si>
    <t>00:18:03,340 --&gt; 00:18:08,300</t>
  </si>
  <si>
    <t>00:18:08,300 --&gt; 00:18:11,220</t>
  </si>
  <si>
    <t>00:18:12,620 --&gt; 00:18:15,100</t>
  </si>
  <si>
    <t>00:18:15,180 --&gt; 00:18:18,460</t>
  </si>
  <si>
    <t>00:18:20,140 --&gt; 00:18:25,460</t>
  </si>
  <si>
    <t>00:18:25,460 --&gt; 00:18:28,220</t>
  </si>
  <si>
    <t>00:18:28,220 --&gt; 00:18:32,660</t>
  </si>
  <si>
    <t>00:18:32,660 --&gt; 00:18:33,900</t>
  </si>
  <si>
    <t>00:18:33,900 --&gt; 00:18:39,460</t>
  </si>
  <si>
    <t>00:18:40,980 --&gt; 00:18:42,700</t>
  </si>
  <si>
    <t>00:18:42,700 --&gt; 00:18:47,020</t>
  </si>
  <si>
    <t>00:18:47,020 --&gt; 00:18:48,940</t>
  </si>
  <si>
    <t>00:18:48,940 --&gt; 00:18:52,780</t>
  </si>
  <si>
    <t>00:18:52,780 --&gt; 00:18:53,420</t>
  </si>
  <si>
    <t>00:18:53,420 --&gt; 00:18:57,180</t>
  </si>
  <si>
    <t>00:18:57,180 --&gt; 00:19:02,020</t>
  </si>
  <si>
    <t>00:19:02,020 --&gt; 00:19:02,540</t>
  </si>
  <si>
    <t>00:19:02,540 --&gt; 00:19:05,580</t>
  </si>
  <si>
    <t>00:19:05,580 --&gt; 00:19:07,740</t>
  </si>
  <si>
    <t>00:19:07,980 --&gt; 00:19:11,940</t>
  </si>
  <si>
    <t>00:19:11,940 --&gt; 00:19:15,500</t>
  </si>
  <si>
    <t>00:19:15,500 --&gt; 00:19:16,700</t>
  </si>
  <si>
    <t>00:19:16,780 --&gt; 00:19:19,300</t>
  </si>
  <si>
    <t>00:19:20,780 --&gt; 00:19:24,580</t>
  </si>
  <si>
    <t>00:19:24,700 --&gt; 00:19:25,900</t>
  </si>
  <si>
    <t>00:19:25,900 --&gt; 00:19:29,140</t>
  </si>
  <si>
    <t>00:19:29,140 --&gt; 00:19:30,460</t>
  </si>
  <si>
    <t>00:19:31,900 --&gt; 00:19:34,220</t>
  </si>
  <si>
    <t>00:19:34,820 --&gt; 00:19:38,620</t>
  </si>
  <si>
    <t>00:19:38,700 --&gt; 00:19:43,020</t>
  </si>
  <si>
    <t>00:19:43,020 --&gt; 00:19:44,980</t>
  </si>
  <si>
    <t>00:19:45,100 --&gt; 00:19:47,940</t>
  </si>
  <si>
    <t>00:19:47,940 --&gt; 00:19:49,660</t>
  </si>
  <si>
    <t>00:19:51,180 --&gt; 00:19:55,300</t>
  </si>
  <si>
    <t>00:19:55,300 --&gt; 00:19:57,740</t>
  </si>
  <si>
    <t>00:19:57,820 --&gt; 00:19:59,140</t>
  </si>
  <si>
    <t>00:20:00,660 --&gt; 00:20:01,420</t>
  </si>
  <si>
    <t>00:20:01,420 --&gt; 00:20:04,180</t>
  </si>
  <si>
    <t>00:20:04,300 --&gt; 00:20:07,820</t>
  </si>
  <si>
    <t>00:20:09,260 --&gt; 00:20:13,660</t>
  </si>
  <si>
    <t>00:20:13,900 --&gt; 00:20:16,500</t>
  </si>
  <si>
    <t>00:20:16,780 --&gt; 00:20:20,660</t>
  </si>
  <si>
    <t>00:20:20,660 --&gt; 00:20:23,180</t>
  </si>
  <si>
    <t>00:20:23,180 --&gt; 00:20:27,060</t>
  </si>
  <si>
    <t>00:20:27,060 --&gt; 00:20:29,780</t>
  </si>
  <si>
    <t>00:20:30,020 --&gt; 00:20:36,380</t>
  </si>
  <si>
    <t>00:20:37,820 --&gt; 00:20:40,380</t>
  </si>
  <si>
    <t>00:20:40,380 --&gt; 00:20:43,140</t>
  </si>
  <si>
    <t>00:20:43,140 --&gt; 00:20:45,500</t>
  </si>
  <si>
    <t>00:20:45,500 --&gt; 00:20:47,620</t>
  </si>
  <si>
    <t>00:20:49,180 --&gt; 00:20:52,220</t>
  </si>
  <si>
    <t>00:20:52,220 --&gt; 00:20:57,340</t>
  </si>
  <si>
    <t>00:20:58,940 --&gt; 00:20:59,460</t>
  </si>
  <si>
    <t>00:20:59,460 --&gt; 00:21:01,180</t>
  </si>
  <si>
    <t>00:21:01,260 --&gt; 00:21:06,660</t>
  </si>
  <si>
    <t>00:21:06,660 --&gt; 00:21:11,500</t>
  </si>
  <si>
    <t>00:21:11,580 --&gt; 00:21:18,700</t>
  </si>
  <si>
    <t>00:21:18,700 --&gt; 00:21:21,740</t>
  </si>
  <si>
    <t>00:21:23,180 --&gt; 00:21:27,820</t>
  </si>
  <si>
    <t>00:21:28,060 --&gt; 00:21:32,540</t>
  </si>
  <si>
    <t>00:21:34,220 --&gt; 00:21:36,140</t>
  </si>
  <si>
    <t>00:21:36,220 --&gt; 00:21:42,860</t>
  </si>
  <si>
    <t>00:21:42,860 --&gt; 00:21:44,660</t>
  </si>
  <si>
    <t>00:21:44,660 --&gt; 00:21:46,220</t>
  </si>
  <si>
    <t>00:21:46,700 --&gt; 00:21:48,300</t>
  </si>
  <si>
    <t>00:21:48,300 --&gt; 00:21:49,820</t>
  </si>
  <si>
    <t>00:21:49,820 --&gt; 00:21:53,060</t>
  </si>
  <si>
    <t>00:21:53,060 --&gt; 00:21:56,500</t>
  </si>
  <si>
    <t>00:21:56,700 --&gt; 00:22:02,740</t>
  </si>
  <si>
    <t>00:22:02,740 --&gt; 00:22:06,780</t>
  </si>
  <si>
    <t>00:22:06,780 --&gt; 00:22:11,620</t>
  </si>
  <si>
    <t>00:22:11,620 --&gt; 00:22:16,700</t>
  </si>
  <si>
    <t>00:22:16,700 --&gt; 00:22:23,580</t>
  </si>
  <si>
    <t>00:22:23,580 --&gt; 00:22:23,620</t>
  </si>
  <si>
    <t>00:22:25,340 --&gt; 00:22:28,260</t>
  </si>
  <si>
    <t>00:22:28,260 --&gt; 00:22:31,580</t>
  </si>
  <si>
    <t>00:22:31,740 --&gt; 00:22:34,260</t>
  </si>
  <si>
    <t>00:22:35,740 --&gt; 00:22:38,900</t>
  </si>
  <si>
    <t>00:22:38,900 --&gt; 00:22:41,060</t>
  </si>
  <si>
    <t>00:22:41,740 --&gt; 00:22:45,620</t>
  </si>
  <si>
    <t>00:22:47,100 --&gt; 00:22:53,660</t>
  </si>
  <si>
    <t>00:22:53,660 --&gt; 00:22:54,980</t>
  </si>
  <si>
    <t>00:22:56,380 --&gt; 00:22:57,100</t>
  </si>
  <si>
    <t>00:22:57,100 --&gt; 00:22:59,820</t>
  </si>
  <si>
    <t>00:22:59,820 --&gt; 00:23:02,540</t>
  </si>
  <si>
    <t>00:23:02,620 --&gt; 00:23:06,100</t>
  </si>
  <si>
    <t>00:23:06,100 --&gt; 00:23:08,980</t>
  </si>
  <si>
    <t>00:23:08,980 --&gt; 00:23:11,060</t>
  </si>
  <si>
    <t>00:23:11,060 --&gt; 00:23:12,460</t>
  </si>
  <si>
    <t>00:23:13,980 --&gt; 00:23:16,140</t>
  </si>
  <si>
    <t>00:23:16,220 --&gt; 00:23:20,140</t>
  </si>
  <si>
    <t>00:23:20,140 --&gt; 00:23:23,700</t>
  </si>
  <si>
    <t>00:23:23,980 --&gt; 00:23:25,580</t>
  </si>
  <si>
    <t>00:23:25,580 --&gt; 00:23:29,820</t>
  </si>
  <si>
    <t>00:23:29,820 --&gt; 00:23:30,460</t>
  </si>
  <si>
    <t>00:23:30,460 --&gt; 00:23:32,140</t>
  </si>
  <si>
    <t>00:23:32,140 --&gt; 00:23:39,860</t>
  </si>
  <si>
    <t>00:23:39,860 --&gt; 00:23:42,020</t>
  </si>
  <si>
    <t>00:23:43,500 --&gt; 00:23:43,980</t>
  </si>
  <si>
    <t>00:23:43,980 --&gt; 00:23:45,500</t>
  </si>
  <si>
    <t>00:23:45,580 --&gt; 00:23:48,220</t>
  </si>
  <si>
    <t>00:23:49,660 --&gt; 00:23:51,580</t>
  </si>
  <si>
    <t>00:23:51,580 --&gt; 00:23:52,660</t>
  </si>
  <si>
    <t>我们可以得到这些式子。</t>
  </si>
  <si>
    <t>前面使用的扩展欧几里得法中，</t>
  </si>
  <si>
    <t>一创建N个单位向量，</t>
  </si>
  <si>
    <t>通过生成矩阵法调换矩阵的行以后，</t>
  </si>
  <si>
    <t>因此具有以下这些性质。</t>
  </si>
  <si>
    <t>这里N等于5，</t>
  </si>
  <si>
    <t>R等于3，</t>
  </si>
  <si>
    <t>现在我们有Z等于GHX等于DX，</t>
  </si>
  <si>
    <t>我们可以利用D的性质进行求解。</t>
  </si>
  <si>
    <t>让我们观察Z的第一个元素和D的后三行，</t>
  </si>
  <si>
    <t>我们需要叠加D的第五行。</t>
  </si>
  <si>
    <t>并且X的第五个元素被标记为一。</t>
  </si>
  <si>
    <t>由此，</t>
  </si>
  <si>
    <t>由于矩阵地满足十字偶校验约束表现出高度的对称性，</t>
  </si>
  <si>
    <t>因此P撇H不为一。</t>
  </si>
  <si>
    <t>这种解法是可行的。</t>
  </si>
  <si>
    <t>尽管这个方法首先需要求出完整的矩阵B，</t>
  </si>
  <si>
    <t>同时因为矩阵B不是三角结构，</t>
  </si>
  <si>
    <t>欧几里德算法，</t>
  </si>
  <si>
    <t>逆向校园法，</t>
  </si>
  <si>
    <t>理论上通过卷积FFT或牛顿迭代法，</t>
  </si>
  <si>
    <t>数值分析等课程较差，</t>
  </si>
  <si>
    <t>00:23:54,140 --&gt; 00:24:02,780</t>
  </si>
  <si>
    <t>00:24:02,860 --&gt; 00:24:11,140</t>
  </si>
  <si>
    <t>00:24:11,140 --&gt; 00:24:13,180</t>
  </si>
  <si>
    <t>00:24:13,260 --&gt; 00:24:17,500</t>
  </si>
  <si>
    <t>00:24:19,340 --&gt; 00:24:19,860</t>
  </si>
  <si>
    <t>00:24:19,860 --&gt; 00:24:23,140</t>
  </si>
  <si>
    <t>00:24:23,140 --&gt; 00:24:24,180</t>
  </si>
  <si>
    <t>00:24:24,180 --&gt; 00:24:26,540</t>
  </si>
  <si>
    <t>00:24:28,060 --&gt; 00:24:29,740</t>
  </si>
  <si>
    <t>00:24:30,220 --&gt; 00:24:36,140</t>
  </si>
  <si>
    <t>为了方便表示这里将modFX的部分省去整理后，</t>
  </si>
  <si>
    <t>00:24:36,140 --&gt; 00:24:37,700</t>
  </si>
  <si>
    <t>00:24:39,180 --&gt; 00:24:43,540</t>
  </si>
  <si>
    <t>最终我们得到了C等于GHX这里，</t>
  </si>
  <si>
    <t>00:24:43,540 --&gt; 00:24:45,020</t>
  </si>
  <si>
    <t>00:24:45,180 --&gt; 00:24:46,620</t>
  </si>
  <si>
    <t>00:24:48,380 --&gt; 00:24:50,540</t>
  </si>
  <si>
    <t>00:24:50,540 --&gt; 00:24:53,300</t>
  </si>
  <si>
    <t>00:24:53,820 --&gt; 00:24:58,140</t>
  </si>
  <si>
    <t>00:24:59,660 --&gt; 00:25:03,020</t>
  </si>
  <si>
    <t>00:25:03,500 --&gt; 00:25:05,300</t>
  </si>
  <si>
    <t>00:25:05,420 --&gt; 00:25:08,620</t>
  </si>
  <si>
    <t>00:25:10,140 --&gt; 00:25:13,980</t>
  </si>
  <si>
    <t>00:25:13,980 --&gt; 00:25:15,740</t>
  </si>
  <si>
    <t>00:25:15,820 --&gt; 00:25:18,220</t>
  </si>
  <si>
    <t>00:25:19,740 --&gt; 00:25:23,300</t>
  </si>
  <si>
    <t>00:25:23,300 --&gt; 00:25:26,740</t>
  </si>
  <si>
    <t>00:25:26,740 --&gt; 00:25:31,380</t>
  </si>
  <si>
    <t>00:25:31,380 --&gt; 00:25:32,900</t>
  </si>
  <si>
    <t>00:25:32,900 --&gt; 00:25:34,660</t>
  </si>
  <si>
    <t>其质与矩阵B相同。</t>
  </si>
  <si>
    <t>00:25:36,460 --&gt; 00:25:38,460</t>
  </si>
  <si>
    <t>00:25:38,540 --&gt; 00:25:40,380</t>
  </si>
  <si>
    <t>00:25:40,860 --&gt; 00:25:42,540</t>
  </si>
  <si>
    <t>00:25:42,540 --&gt; 00:25:43,980</t>
  </si>
  <si>
    <t>一共有N个向量。</t>
  </si>
  <si>
    <t>00:25:45,900 --&gt; 00:25:50,460</t>
  </si>
  <si>
    <t>二使用矩阵H将每个矩阵地的第一行扩散到后续的行，</t>
  </si>
  <si>
    <t>00:25:52,380 --&gt; 00:25:57,260</t>
  </si>
  <si>
    <t>00:25:57,260 --&gt; 00:26:00,140</t>
  </si>
  <si>
    <t>00:26:01,660 --&gt; 00:26:04,780</t>
  </si>
  <si>
    <t>00:26:04,940 --&gt; 00:26:06,820</t>
  </si>
  <si>
    <t>00:26:06,820 --&gt; 00:26:11,020</t>
  </si>
  <si>
    <t>00:26:11,020 --&gt; 00:26:13,060</t>
  </si>
  <si>
    <t>不过聪明的你一定能想到。</t>
  </si>
  <si>
    <t>00:26:13,260 --&gt; 00:26:16,140</t>
  </si>
  <si>
    <t>00:26:16,140 --&gt; 00:26:18,940</t>
  </si>
  <si>
    <t>00:26:20,460 --&gt; 00:26:23,380</t>
  </si>
  <si>
    <t>00:26:23,580 --&gt; 00:26:25,580</t>
  </si>
  <si>
    <t>00:26:25,900 --&gt; 00:26:30,300</t>
  </si>
  <si>
    <t>00:26:30,300 --&gt; 00:26:32,380</t>
  </si>
  <si>
    <t>00:26:32,380 --&gt; 00:26:36,060</t>
  </si>
  <si>
    <t>00:26:37,580 --&gt; 00:26:40,980</t>
  </si>
  <si>
    <t>因此只需要将GX和K直接相乘。</t>
  </si>
  <si>
    <t>00:26:41,180 --&gt; 00:26:43,340</t>
  </si>
  <si>
    <t>00:26:43,500 --&gt; 00:26:45,020</t>
  </si>
  <si>
    <t>00:26:46,540 --&gt; 00:26:51,340</t>
  </si>
  <si>
    <t>然后我们就可以使用十字偶校验约束的递推关系求得之后的行。</t>
  </si>
  <si>
    <t>00:26:52,860 --&gt; 00:26:55,580</t>
  </si>
  <si>
    <t>00:26:55,580 --&gt; 00:26:58,020</t>
  </si>
  <si>
    <t>00:26:58,020 --&gt; 00:26:59,260</t>
  </si>
  <si>
    <t>00:26:59,660 --&gt; 00:27:00,820</t>
  </si>
  <si>
    <t>00:27:00,820 --&gt; 00:27:01,580</t>
  </si>
  <si>
    <t>2撇等于2。</t>
  </si>
  <si>
    <t>00:27:03,660 --&gt; 00:27:05,260</t>
  </si>
  <si>
    <t>00:27:05,500 --&gt; 00:27:09,820</t>
  </si>
  <si>
    <t>第N行最左边的N减2撇负1等于N减3个元素为0。</t>
  </si>
  <si>
    <t>00:27:11,900 --&gt; 00:27:13,580</t>
  </si>
  <si>
    <t>二后二等于三行，</t>
  </si>
  <si>
    <t>00:27:13,740 --&gt; 00:27:17,500</t>
  </si>
  <si>
    <t>00:27:19,260 --&gt; 00:27:21,180</t>
  </si>
  <si>
    <t>00:27:21,340 --&gt; 00:27:25,100</t>
  </si>
  <si>
    <t>任意一行都不能由别的行叠加及线性无关，</t>
  </si>
  <si>
    <t>00:27:26,860 --&gt; 00:27:28,780</t>
  </si>
  <si>
    <t>00:27:28,940 --&gt; 00:27:33,460</t>
  </si>
  <si>
    <t>任意一行都可以由后二等于三行叠加，</t>
  </si>
  <si>
    <t>00:27:33,460 --&gt; 00:27:35,260</t>
  </si>
  <si>
    <t>00:27:35,260 --&gt; 00:27:37,540</t>
  </si>
  <si>
    <t>00:27:39,100 --&gt; 00:27:42,580</t>
  </si>
  <si>
    <t>00:27:43,020 --&gt; 00:27:45,860</t>
  </si>
  <si>
    <t>00:27:45,860 --&gt; 00:27:50,060</t>
  </si>
  <si>
    <t>00:27:50,140 --&gt; 00:27:53,140</t>
  </si>
  <si>
    <t>00:27:53,140 --&gt; 00:27:55,700</t>
  </si>
  <si>
    <t>00:27:55,700 --&gt; 00:27:58,660</t>
  </si>
  <si>
    <t>00:27:58,660 --&gt; 00:28:00,060</t>
  </si>
  <si>
    <t>00:28:01,580 --&gt; 00:28:05,740</t>
  </si>
  <si>
    <t>00:28:05,740 --&gt; 00:28:06,900</t>
  </si>
  <si>
    <t>00:28:08,460 --&gt; 00:28:11,660</t>
  </si>
  <si>
    <t>00:28:12,220 --&gt; 00:28:13,660</t>
  </si>
  <si>
    <t>00:28:13,660 --&gt; 00:28:15,380</t>
  </si>
  <si>
    <t>第三行的第一个元素为1，</t>
  </si>
  <si>
    <t>00:28:15,380 --&gt; 00:28:19,100</t>
  </si>
  <si>
    <t>Z的第一个元素已经为0，</t>
  </si>
  <si>
    <t>00:28:19,660 --&gt; 00:28:21,100</t>
  </si>
  <si>
    <t>00:28:21,180 --&gt; 00:28:23,500</t>
  </si>
  <si>
    <t>则Z的第一个元素会变为1，</t>
  </si>
  <si>
    <t>00:28:23,740 --&gt; 00:28:25,580</t>
  </si>
  <si>
    <t>因此不能叠加第三行，</t>
  </si>
  <si>
    <t>00:28:27,020 --&gt; 00:28:29,020</t>
  </si>
  <si>
    <t>00:28:29,020 --&gt; 00:28:29,980</t>
  </si>
  <si>
    <t>该元素为1，</t>
  </si>
  <si>
    <t>00:28:30,220 --&gt; 00:28:34,660</t>
  </si>
  <si>
    <t>因此我们需要将第四行叠加到Z上，</t>
  </si>
  <si>
    <t>00:28:34,660 --&gt; 00:28:37,300</t>
  </si>
  <si>
    <t>现在Z的第二个元素被消去了。</t>
  </si>
  <si>
    <t>00:28:37,500 --&gt; 00:28:38,220</t>
  </si>
  <si>
    <t>00:28:38,220 --&gt; 00:28:40,620</t>
  </si>
  <si>
    <t>X的第四个元素被标记为一。</t>
  </si>
  <si>
    <t>00:28:42,060 --&gt; 00:28:44,820</t>
  </si>
  <si>
    <t>00:28:44,820 --&gt; 00:28:47,180</t>
  </si>
  <si>
    <t>00:28:47,180 --&gt; 00:28:49,020</t>
  </si>
  <si>
    <t>00:28:50,540 --&gt; 00:28:52,780</t>
  </si>
  <si>
    <t>00:28:52,780 --&gt; 00:28:53,660</t>
  </si>
  <si>
    <t>00:28:53,740 --&gt; 00:28:58,260</t>
  </si>
  <si>
    <t>00:28:58,260 --&gt; 00:28:58,900</t>
  </si>
  <si>
    <t>00:28:58,900 --&gt; 00:29:03,140</t>
  </si>
  <si>
    <t>我们通过一次叠加D的后三行将Z的元素依次消去。</t>
  </si>
  <si>
    <t>00:29:03,700 --&gt; 00:29:06,020</t>
  </si>
  <si>
    <t>00:29:06,020 --&gt; 00:29:07,780</t>
  </si>
  <si>
    <t>00:29:09,340 --&gt; 00:29:10,060</t>
  </si>
  <si>
    <t>00:29:10,060 --&gt; 00:29:12,260</t>
  </si>
  <si>
    <t>00:29:13,740 --&gt; 00:29:17,660</t>
  </si>
  <si>
    <t>00:29:17,660 --&gt; 00:29:22,500</t>
  </si>
  <si>
    <t>00:29:22,500 --&gt; 00:29:23,700</t>
  </si>
  <si>
    <t>00:29:25,260 --&gt; 00:29:28,140</t>
  </si>
  <si>
    <t>00:29:28,300 --&gt; 00:29:31,260</t>
  </si>
  <si>
    <t>00:29:32,780 --&gt; 00:29:33,500</t>
  </si>
  <si>
    <t>另一方面。</t>
  </si>
  <si>
    <t>00:29:33,660 --&gt; 00:29:38,020</t>
  </si>
  <si>
    <t>00:29:38,540 --&gt; 00:29:42,460</t>
  </si>
  <si>
    <t>00:29:42,460 --&gt; 00:29:45,020</t>
  </si>
  <si>
    <t>00:29:45,180 --&gt; 00:29:47,620</t>
  </si>
  <si>
    <t>00:29:47,620 --&gt; 00:29:49,260</t>
  </si>
  <si>
    <t>00:29:49,260 --&gt; 00:29:50,460</t>
  </si>
  <si>
    <t>00:29:51,900 --&gt; 00:29:53,620</t>
  </si>
  <si>
    <t>00:29:53,620 --&gt; 00:29:55,860</t>
  </si>
  <si>
    <t>00:29:57,340 --&gt; 00:30:01,180</t>
  </si>
  <si>
    <t>既然我们可以在第一个式子用反向叠加法求X。</t>
  </si>
  <si>
    <t>00:30:01,420 --&gt; 00:30:05,100</t>
  </si>
  <si>
    <t>00:30:06,540 --&gt; 00:30:09,820</t>
  </si>
  <si>
    <t>这是因为矩阵D是由GH生成的，</t>
  </si>
  <si>
    <t>00:30:09,820 --&gt; 00:30:12,420</t>
  </si>
  <si>
    <t>00:30:12,420 --&gt; 00:30:16,020</t>
  </si>
  <si>
    <t>00:30:16,020 --&gt; 00:30:19,260</t>
  </si>
  <si>
    <t>00:30:19,260 --&gt; 00:30:21,060</t>
  </si>
  <si>
    <t>00:30:21,060 --&gt; 00:30:23,540</t>
  </si>
  <si>
    <t>00:30:23,740 --&gt; 00:30:25,900</t>
  </si>
  <si>
    <t>00:30:27,340 --&gt; 00:30:29,180</t>
  </si>
  <si>
    <t>00:30:29,180 --&gt; 00:30:30,740</t>
  </si>
  <si>
    <t>00:30:31,180 --&gt; 00:30:34,380</t>
  </si>
  <si>
    <t>00:30:35,900 --&gt; 00:30:38,660</t>
  </si>
  <si>
    <t>00:30:38,660 --&gt; 00:30:42,060</t>
  </si>
  <si>
    <t>还需标记每行首个唯一的元素的位置来选择，</t>
  </si>
  <si>
    <t>00:30:42,540 --&gt; 00:30:45,860</t>
  </si>
  <si>
    <t>因此直接计算QHY会更加方便，</t>
  </si>
  <si>
    <t>00:30:47,340 --&gt; 00:30:53,020</t>
  </si>
  <si>
    <t>最终我们通过欧几里得法和反向叠加法完成了BX等于Y的求解，</t>
  </si>
  <si>
    <t>00:30:53,020 --&gt; 00:30:54,460</t>
  </si>
  <si>
    <t>实现了点灯游戏，</t>
  </si>
  <si>
    <t>00:30:54,460 --&gt; 00:30:57,500</t>
  </si>
  <si>
    <t>ON的二次方的时间复杂度的算法。</t>
  </si>
  <si>
    <t>00:30:59,020 --&gt; 00:31:00,700</t>
  </si>
  <si>
    <t>00:31:00,700 --&gt; 00:31:01,940</t>
  </si>
  <si>
    <t>00:31:01,940 --&gt; 00:31:03,020</t>
  </si>
  <si>
    <t>00:31:03,180 --&gt; 00:31:06,700</t>
  </si>
  <si>
    <t>00:31:06,780 --&gt; 00:31:11,180</t>
  </si>
  <si>
    <t>是有可能优化到O分成logN的。</t>
  </si>
  <si>
    <t>00:31:11,180 --&gt; 00:31:13,580</t>
  </si>
  <si>
    <t>考虑到UP主信号与系统，</t>
  </si>
  <si>
    <t>00:31:13,580 --&gt; 00:31:14,780</t>
  </si>
  <si>
    <t>数字信号处理，</t>
  </si>
  <si>
    <t>00:31:14,780 --&gt; 00:31:16,420</t>
  </si>
  <si>
    <t>00:31:16,620 --&gt; 00:31:18,700</t>
  </si>
  <si>
    <t>00:31:18,700 --&gt; 00:31:23,020</t>
  </si>
  <si>
    <t>00:31:23,020 --&gt; 00:31:24,940</t>
  </si>
  <si>
    <t>00:31:25,020 --&gt; 00:31:26,940</t>
  </si>
  <si>
    <t>觉得视频内容表述不清。</t>
  </si>
  <si>
    <t>00:31:27,100 --&gt; 00:31:29,380</t>
  </si>
  <si>
    <t>或者发现视频中的任何错误，</t>
  </si>
  <si>
    <t>00:31:29,380 --&gt; 00:31:31,500</t>
  </si>
  <si>
    <t>00:31:32,060 --&gt; 00:31:33,300</t>
  </si>
  <si>
    <r>
      <t>现在，如果我们将多个H相乘，也就是H</t>
    </r>
    <r>
      <rPr>
        <sz val="11"/>
        <color theme="1"/>
        <rFont val="等线"/>
        <family val="2"/>
        <charset val="134"/>
        <scheme val="minor"/>
      </rPr>
      <t>ⁿ</t>
    </r>
    <r>
      <rPr>
        <sz val="11"/>
        <color theme="1"/>
        <rFont val="等线"/>
        <family val="3"/>
        <charset val="134"/>
        <scheme val="minor"/>
      </rPr>
      <t>。将其首行H</t>
    </r>
    <r>
      <rPr>
        <sz val="11"/>
        <color theme="1"/>
        <rFont val="等线"/>
        <family val="2"/>
        <charset val="134"/>
        <scheme val="minor"/>
      </rPr>
      <t>ⁿ</t>
    </r>
    <r>
      <rPr>
        <sz val="11"/>
        <color theme="1"/>
        <rFont val="等线"/>
        <family val="3"/>
        <charset val="134"/>
        <scheme val="minor"/>
      </rPr>
      <t>(0)拼接起来，看起来像是这样的。</t>
    </r>
  </si>
  <si>
    <r>
      <t>现在，定义多项式p(x)。我们的目标是把B拆分成H</t>
    </r>
    <r>
      <rPr>
        <sz val="11"/>
        <color theme="1"/>
        <rFont val="等线"/>
        <family val="2"/>
        <charset val="134"/>
        <scheme val="minor"/>
      </rPr>
      <t>ⁿ</t>
    </r>
    <r>
      <rPr>
        <sz val="11"/>
        <color theme="1"/>
        <rFont val="等线"/>
        <family val="3"/>
        <charset val="134"/>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</si>
</sst>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hh:mm:ss.000"/>
    <numFmt numFmtId="177" formatCode="s.00"/>
    <numFmt numFmtId="178" formatCode="m:ss.00"/>
    <numFmt numFmtId="179" formatCode="0.00_ ;[Red]\-0.00\ "/>
  </numFmts>
  <fonts count="13" x14ac:knownFonts="1">
    <font>
      <sz val="11"/>
      <color theme="1"/>
      <name val="等线"/>
      <family val="2"/>
      <charset val="134"/>
      <scheme val="minor"/>
    </font>
    <font>
      <sz val="9"/>
      <name val="等线"/>
      <family val="2"/>
      <charset val="134"/>
      <scheme val="minor"/>
    </font>
    <font>
      <sz val="11"/>
      <color theme="4"/>
      <name val="等线"/>
      <family val="2"/>
      <charset val="134"/>
      <scheme val="minor"/>
    </font>
    <font>
      <sz val="11"/>
      <color theme="5" tint="-0.249977111117893"/>
      <name val="等线"/>
      <family val="3"/>
      <charset val="134"/>
      <scheme val="minor"/>
    </font>
    <font>
      <b/>
      <sz val="11"/>
      <color theme="5" tint="-0.249977111117893"/>
      <name val="等线"/>
      <family val="3"/>
      <charset val="134"/>
      <scheme val="minor"/>
    </font>
    <font>
      <sz val="11"/>
      <color theme="9" tint="-0.249977111117893"/>
      <name val="等线"/>
      <family val="2"/>
      <charset val="134"/>
      <scheme val="minor"/>
    </font>
    <font>
      <b/>
      <sz val="11"/>
      <name val="等线"/>
      <family val="3"/>
      <charset val="134"/>
      <scheme val="minor"/>
    </font>
    <font>
      <sz val="11"/>
      <color theme="4"/>
      <name val="等线"/>
      <family val="3"/>
      <charset val="134"/>
      <scheme val="minor"/>
    </font>
    <font>
      <b/>
      <sz val="11"/>
      <color theme="4"/>
      <name val="等线"/>
      <family val="3"/>
      <charset val="134"/>
      <scheme val="minor"/>
    </font>
    <font>
      <b/>
      <sz val="11"/>
      <color theme="9" tint="-0.249977111117893"/>
      <name val="等线"/>
      <family val="3"/>
      <charset val="134"/>
      <scheme val="minor"/>
    </font>
    <font>
      <b/>
      <sz val="11"/>
      <color theme="1"/>
      <name val="等线"/>
      <family val="3"/>
      <charset val="134"/>
      <scheme val="minor"/>
    </font>
    <font>
      <sz val="11"/>
      <color theme="1"/>
      <name val="等线"/>
      <family val="3"/>
      <charset val="134"/>
      <scheme val="minor"/>
    </font>
    <font>
      <sz val="11"/>
      <color theme="1"/>
      <name val="等线"/>
      <family val="2"/>
      <charset val="134"/>
      <scheme val="minor"/>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
    <border>
      <left/>
      <right/>
      <top/>
      <bottom/>
      <diagonal/>
    </border>
  </borders>
  <cellStyleXfs count="1">
    <xf numFmtId="0" fontId="0" fillId="0" borderId="0">
      <alignment vertical="center"/>
    </xf>
  </cellStyleXfs>
  <cellXfs count="23">
    <xf numFmtId="0" fontId="0" fillId="0" borderId="0" xfId="0">
      <alignment vertical="center"/>
    </xf>
    <xf numFmtId="176" fontId="0" fillId="0" borderId="0" xfId="0" applyNumberFormat="1">
      <alignment vertical="center"/>
    </xf>
    <xf numFmtId="0" fontId="2" fillId="2" borderId="0" xfId="0" applyFont="1" applyFill="1">
      <alignment vertical="center"/>
    </xf>
    <xf numFmtId="178" fontId="3" fillId="0" borderId="0" xfId="0" applyNumberFormat="1" applyFont="1">
      <alignment vertical="center"/>
    </xf>
    <xf numFmtId="0" fontId="3" fillId="0" borderId="0" xfId="0" applyFont="1">
      <alignment vertical="center"/>
    </xf>
    <xf numFmtId="177" fontId="3"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5" fillId="2" borderId="0" xfId="0" applyFont="1" applyFill="1">
      <alignment vertical="center"/>
    </xf>
    <xf numFmtId="0" fontId="6" fillId="0" borderId="0" xfId="0" applyFont="1">
      <alignment vertical="center"/>
    </xf>
    <xf numFmtId="178" fontId="0" fillId="0" borderId="0" xfId="0" applyNumberFormat="1">
      <alignment vertical="center"/>
    </xf>
    <xf numFmtId="178" fontId="7" fillId="0" borderId="0" xfId="0" applyNumberFormat="1" applyFont="1">
      <alignment vertical="center"/>
    </xf>
    <xf numFmtId="177" fontId="8" fillId="0" borderId="0" xfId="0" applyNumberFormat="1" applyFont="1">
      <alignment vertical="center"/>
    </xf>
    <xf numFmtId="0" fontId="9" fillId="0" borderId="0" xfId="0" applyFont="1">
      <alignment vertical="center"/>
    </xf>
    <xf numFmtId="47" fontId="0" fillId="0" borderId="0" xfId="0" applyNumberFormat="1">
      <alignment vertical="center"/>
    </xf>
    <xf numFmtId="178" fontId="3" fillId="3" borderId="0" xfId="0" applyNumberFormat="1" applyFont="1" applyFill="1">
      <alignment vertical="center"/>
    </xf>
    <xf numFmtId="20" fontId="6" fillId="0" borderId="0" xfId="0" applyNumberFormat="1" applyFont="1">
      <alignment vertical="center"/>
    </xf>
    <xf numFmtId="0" fontId="10" fillId="0" borderId="0" xfId="0" applyFont="1">
      <alignment vertical="center"/>
    </xf>
    <xf numFmtId="178" fontId="10" fillId="0" borderId="0" xfId="0" applyNumberFormat="1" applyFont="1">
      <alignment vertical="center"/>
    </xf>
    <xf numFmtId="177" fontId="0" fillId="0" borderId="0" xfId="0" applyNumberFormat="1">
      <alignment vertical="center"/>
    </xf>
    <xf numFmtId="179" fontId="0" fillId="0" borderId="0" xfId="0" applyNumberFormat="1">
      <alignment vertical="center"/>
    </xf>
    <xf numFmtId="0" fontId="11" fillId="0" borderId="0" xfId="0"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0249F-6C42-45DC-A9BE-8FBA8236B327}">
  <sheetPr codeName="Sheet1"/>
  <dimension ref="A1:K585"/>
  <sheetViews>
    <sheetView workbookViewId="0">
      <selection activeCell="B16" sqref="B16"/>
    </sheetView>
  </sheetViews>
  <sheetFormatPr defaultRowHeight="14" x14ac:dyDescent="0.3"/>
  <cols>
    <col min="2" max="3" width="11.75" style="11" bestFit="1" customWidth="1"/>
    <col min="4" max="4" width="21.08203125" customWidth="1"/>
    <col min="7" max="7" width="4.5" bestFit="1" customWidth="1"/>
    <col min="8" max="8" width="6.5" bestFit="1" customWidth="1"/>
    <col min="9" max="9" width="26.33203125" customWidth="1"/>
    <col min="10" max="10" width="16.08203125" style="1" customWidth="1"/>
    <col min="11" max="11" width="13.08203125" style="1" customWidth="1"/>
  </cols>
  <sheetData>
    <row r="1" spans="1:11" x14ac:dyDescent="0.3">
      <c r="F1" t="b">
        <v>1</v>
      </c>
    </row>
    <row r="2" spans="1:11" x14ac:dyDescent="0.3">
      <c r="A2">
        <v>1</v>
      </c>
      <c r="B2" s="11">
        <v>1.3888888888888887E-6</v>
      </c>
      <c r="C2" s="11">
        <v>4.4907407407407407E-5</v>
      </c>
      <c r="D2" t="str">
        <f ca="1">srt!C1</f>
        <v>在上集视频的首行叠加法中，</v>
      </c>
      <c r="E2" t="str">
        <f ca="1">RIGHT(D2,1)</f>
        <v>，</v>
      </c>
      <c r="F2" t="b">
        <f t="shared" ref="F2" ca="1" si="0">OR(E2="。",E2="？", E2="！")</f>
        <v>0</v>
      </c>
      <c r="G2">
        <f>F1+G1</f>
        <v>1</v>
      </c>
      <c r="H2" t="str">
        <f ca="1">IF(F2,G2,"")</f>
        <v/>
      </c>
      <c r="I2" t="str">
        <f ca="1">IF(F1,D2,I1&amp;D2)</f>
        <v>在上集视频的首行叠加法中，</v>
      </c>
      <c r="J2" s="1">
        <f>IF(F1,B2,J1)</f>
        <v>1.3888888888888887E-6</v>
      </c>
      <c r="K2" s="1" t="b">
        <f ca="1">IF(F2,C2)</f>
        <v>0</v>
      </c>
    </row>
    <row r="3" spans="1:11" x14ac:dyDescent="0.3">
      <c r="A3">
        <v>2</v>
      </c>
      <c r="B3" s="11">
        <v>4.4907407407407407E-5</v>
      </c>
      <c r="C3" s="11">
        <v>7.8703703703703702E-5</v>
      </c>
      <c r="D3" t="str">
        <f ca="1">srt!C2</f>
        <v>有小伙伴对按钮和灯的递推仍有疑问。</v>
      </c>
      <c r="E3" t="str">
        <f ca="1">RIGHT(D3,1)</f>
        <v>。</v>
      </c>
      <c r="F3" t="b">
        <f ca="1">OR(E3="。",E3="？", E3="！")</f>
        <v>1</v>
      </c>
      <c r="G3">
        <f ca="1">F2+G2</f>
        <v>1</v>
      </c>
      <c r="H3">
        <f ca="1">IF(F3,G3,"")</f>
        <v>1</v>
      </c>
      <c r="I3" t="str">
        <f ca="1">IF(F2,D3,I2&amp;D3)</f>
        <v>在上集视频的首行叠加法中，有小伙伴对按钮和灯的递推仍有疑问。</v>
      </c>
      <c r="J3" s="1">
        <f ca="1">IF(F2,B3,J2)</f>
        <v>1.3888888888888887E-6</v>
      </c>
      <c r="K3" s="1">
        <f ca="1">IF(F3,C3)</f>
        <v>7.8703703703703702E-5</v>
      </c>
    </row>
    <row r="4" spans="1:11" x14ac:dyDescent="0.3">
      <c r="A4">
        <v>3</v>
      </c>
      <c r="B4" s="11">
        <v>7.9629629629629622E-5</v>
      </c>
      <c r="C4" s="11">
        <v>1.4444444444444444E-4</v>
      </c>
      <c r="D4" t="str">
        <f ca="1">srt!C3</f>
        <v>这次我们来讲清楚这个递推公式是怎么来的。</v>
      </c>
      <c r="E4" t="str">
        <f t="shared" ref="E4:E67" ca="1" si="1">RIGHT(D4,1)</f>
        <v>。</v>
      </c>
      <c r="F4" t="b">
        <f t="shared" ref="F4:F67" ca="1" si="2">OR(E4="。",E4="？", E4="！")</f>
        <v>1</v>
      </c>
      <c r="G4">
        <f t="shared" ref="G4:G67" ca="1" si="3">F3+G3</f>
        <v>2</v>
      </c>
      <c r="H4">
        <f t="shared" ref="H4:H67" ca="1" si="4">IF(F4,G4,"")</f>
        <v>2</v>
      </c>
      <c r="I4" t="str">
        <f t="shared" ref="I4:I67" ca="1" si="5">IF(F3,D4,I3&amp;D4)</f>
        <v>这次我们来讲清楚这个递推公式是怎么来的。</v>
      </c>
      <c r="J4" s="1">
        <f t="shared" ref="J4:J67" ca="1" si="6">IF(F3,B4,J3)</f>
        <v>7.9629629629629622E-5</v>
      </c>
      <c r="K4" s="1">
        <f t="shared" ref="K4:K67" ca="1" si="7">IF(F4,C4)</f>
        <v>1.4444444444444444E-4</v>
      </c>
    </row>
    <row r="5" spans="1:11" x14ac:dyDescent="0.3">
      <c r="A5">
        <v>4</v>
      </c>
      <c r="B5" s="11">
        <v>1.4583333333333332E-4</v>
      </c>
      <c r="C5" s="11">
        <v>1.8564814814814814E-4</v>
      </c>
      <c r="D5" t="str">
        <f ca="1">srt!C4</f>
        <v>我们用B代表按钮，</v>
      </c>
      <c r="E5" t="str">
        <f t="shared" ca="1" si="1"/>
        <v>，</v>
      </c>
      <c r="F5" t="b">
        <f t="shared" ca="1" si="2"/>
        <v>0</v>
      </c>
      <c r="G5">
        <f t="shared" ca="1" si="3"/>
        <v>3</v>
      </c>
      <c r="H5" t="str">
        <f t="shared" ca="1" si="4"/>
        <v/>
      </c>
      <c r="I5" t="str">
        <f t="shared" ca="1" si="5"/>
        <v>我们用B代表按钮，</v>
      </c>
      <c r="J5" s="1">
        <f t="shared" ca="1" si="6"/>
        <v>1.4583333333333332E-4</v>
      </c>
      <c r="K5" s="1" t="b">
        <f t="shared" ca="1" si="7"/>
        <v>0</v>
      </c>
    </row>
    <row r="6" spans="1:11" x14ac:dyDescent="0.3">
      <c r="A6">
        <v>5</v>
      </c>
      <c r="B6" s="11">
        <v>1.8657407407407408E-4</v>
      </c>
      <c r="C6" s="11">
        <v>2.1018518518518519E-4</v>
      </c>
      <c r="D6" t="str">
        <f ca="1">srt!C5</f>
        <v>L代表灯加代表叠加，</v>
      </c>
      <c r="E6" t="str">
        <f t="shared" ca="1" si="1"/>
        <v>，</v>
      </c>
      <c r="F6" t="b">
        <f t="shared" ca="1" si="2"/>
        <v>0</v>
      </c>
      <c r="G6">
        <f t="shared" ca="1" si="3"/>
        <v>3</v>
      </c>
      <c r="H6" t="str">
        <f t="shared" ca="1" si="4"/>
        <v/>
      </c>
      <c r="I6" t="str">
        <f t="shared" ca="1" si="5"/>
        <v>我们用B代表按钮，L代表灯加代表叠加，</v>
      </c>
      <c r="J6" s="1">
        <f t="shared" ca="1" si="6"/>
        <v>1.4583333333333332E-4</v>
      </c>
      <c r="K6" s="1" t="b">
        <f t="shared" ca="1" si="7"/>
        <v>0</v>
      </c>
    </row>
    <row r="7" spans="1:11" x14ac:dyDescent="0.3">
      <c r="A7">
        <v>6</v>
      </c>
      <c r="B7" s="11">
        <v>2.1018518518518519E-4</v>
      </c>
      <c r="C7" s="11">
        <v>2.3564814814814813E-4</v>
      </c>
      <c r="D7" t="str">
        <f ca="1">srt!C6</f>
        <v>非代表翻转。</v>
      </c>
      <c r="E7" t="str">
        <f t="shared" ca="1" si="1"/>
        <v>。</v>
      </c>
      <c r="F7" t="b">
        <f t="shared" ca="1" si="2"/>
        <v>1</v>
      </c>
      <c r="G7">
        <f t="shared" ca="1" si="3"/>
        <v>3</v>
      </c>
      <c r="H7">
        <f t="shared" ca="1" si="4"/>
        <v>3</v>
      </c>
      <c r="I7" t="str">
        <f t="shared" ca="1" si="5"/>
        <v>我们用B代表按钮，L代表灯加代表叠加，非代表翻转。</v>
      </c>
      <c r="J7" s="1">
        <f t="shared" ca="1" si="6"/>
        <v>1.4583333333333332E-4</v>
      </c>
      <c r="K7" s="1">
        <f t="shared" ca="1" si="7"/>
        <v>2.3564814814814813E-4</v>
      </c>
    </row>
    <row r="8" spans="1:11" x14ac:dyDescent="0.3">
      <c r="A8">
        <v>7</v>
      </c>
      <c r="B8" s="11">
        <v>2.375E-4</v>
      </c>
      <c r="C8" s="11">
        <v>2.4351851851851851E-4</v>
      </c>
      <c r="D8" t="str">
        <f ca="1">srt!C7</f>
        <v>N代表从上到下第n行按钮或灯，</v>
      </c>
      <c r="E8" t="str">
        <f t="shared" ca="1" si="1"/>
        <v>，</v>
      </c>
      <c r="F8" t="b">
        <f t="shared" ca="1" si="2"/>
        <v>0</v>
      </c>
      <c r="G8">
        <f t="shared" ca="1" si="3"/>
        <v>4</v>
      </c>
      <c r="H8" t="str">
        <f t="shared" ca="1" si="4"/>
        <v/>
      </c>
      <c r="I8" t="str">
        <f t="shared" ca="1" si="5"/>
        <v>N代表从上到下第n行按钮或灯，</v>
      </c>
      <c r="J8" s="1">
        <f t="shared" ca="1" si="6"/>
        <v>2.375E-4</v>
      </c>
      <c r="K8" s="1" t="b">
        <f t="shared" ca="1" si="7"/>
        <v>0</v>
      </c>
    </row>
    <row r="9" spans="1:11" x14ac:dyDescent="0.3">
      <c r="A9">
        <v>8</v>
      </c>
      <c r="B9" s="11">
        <v>2.4490740740740739E-4</v>
      </c>
      <c r="C9" s="11">
        <v>2.5972222222222222E-4</v>
      </c>
      <c r="D9" t="str">
        <f ca="1">srt!C8</f>
        <v>因为我们是一行行进行推导的，</v>
      </c>
      <c r="E9" t="str">
        <f t="shared" ca="1" si="1"/>
        <v>，</v>
      </c>
      <c r="F9" t="b">
        <f t="shared" ca="1" si="2"/>
        <v>0</v>
      </c>
      <c r="G9">
        <f t="shared" ca="1" si="3"/>
        <v>4</v>
      </c>
      <c r="H9" t="str">
        <f t="shared" ca="1" si="4"/>
        <v/>
      </c>
      <c r="I9" t="str">
        <f t="shared" ca="1" si="5"/>
        <v>N代表从上到下第n行按钮或灯，因为我们是一行行进行推导的，</v>
      </c>
      <c r="J9" s="1">
        <f t="shared" ca="1" si="6"/>
        <v>2.375E-4</v>
      </c>
      <c r="K9" s="1" t="b">
        <f t="shared" ca="1" si="7"/>
        <v>0</v>
      </c>
    </row>
    <row r="10" spans="1:11" x14ac:dyDescent="0.3">
      <c r="A10">
        <v>9</v>
      </c>
      <c r="B10" s="11">
        <v>2.6018518518518518E-4</v>
      </c>
      <c r="C10" s="11">
        <v>2.8287037037037039E-4</v>
      </c>
      <c r="D10" t="str">
        <f ca="1">srt!C9</f>
        <v>N也代表第n次推导。</v>
      </c>
      <c r="E10" t="str">
        <f t="shared" ca="1" si="1"/>
        <v>。</v>
      </c>
      <c r="F10" t="b">
        <f t="shared" ca="1" si="2"/>
        <v>1</v>
      </c>
      <c r="G10">
        <f t="shared" ca="1" si="3"/>
        <v>4</v>
      </c>
      <c r="H10">
        <f t="shared" ca="1" si="4"/>
        <v>4</v>
      </c>
      <c r="I10" t="str">
        <f t="shared" ca="1" si="5"/>
        <v>N代表从上到下第n行按钮或灯，因为我们是一行行进行推导的，N也代表第n次推导。</v>
      </c>
      <c r="J10" s="1">
        <f t="shared" ca="1" si="6"/>
        <v>2.375E-4</v>
      </c>
      <c r="K10" s="1">
        <f t="shared" ca="1" si="7"/>
        <v>2.8287037037037039E-4</v>
      </c>
    </row>
    <row r="11" spans="1:11" x14ac:dyDescent="0.3">
      <c r="A11">
        <v>10</v>
      </c>
      <c r="B11" s="11">
        <v>2.8333333333333335E-4</v>
      </c>
      <c r="C11" s="11">
        <v>3.0694444444444443E-4</v>
      </c>
      <c r="D11" t="str">
        <f ca="1">srt!C10</f>
        <v>X代表从左到右第X列按钮，</v>
      </c>
      <c r="E11" t="str">
        <f t="shared" ca="1" si="1"/>
        <v>，</v>
      </c>
      <c r="F11" t="b">
        <f t="shared" ca="1" si="2"/>
        <v>0</v>
      </c>
      <c r="G11">
        <f t="shared" ca="1" si="3"/>
        <v>5</v>
      </c>
      <c r="H11" t="str">
        <f t="shared" ca="1" si="4"/>
        <v/>
      </c>
      <c r="I11" t="str">
        <f t="shared" ca="1" si="5"/>
        <v>X代表从左到右第X列按钮，</v>
      </c>
      <c r="J11" s="1">
        <f t="shared" ca="1" si="6"/>
        <v>2.8333333333333335E-4</v>
      </c>
      <c r="K11" s="1" t="b">
        <f t="shared" ca="1" si="7"/>
        <v>0</v>
      </c>
    </row>
    <row r="12" spans="1:11" x14ac:dyDescent="0.3">
      <c r="A12">
        <v>11</v>
      </c>
      <c r="B12" s="11">
        <v>3.078703703703704E-4</v>
      </c>
      <c r="C12" s="11">
        <v>3.3333333333333332E-4</v>
      </c>
      <c r="D12" t="str">
        <f ca="1">srt!C11</f>
        <v>我们将灯表示为第一行的某几个列的按钮的叠加，</v>
      </c>
      <c r="E12" t="str">
        <f t="shared" ca="1" si="1"/>
        <v>，</v>
      </c>
      <c r="F12" t="b">
        <f t="shared" ca="1" si="2"/>
        <v>0</v>
      </c>
      <c r="G12">
        <f t="shared" ca="1" si="3"/>
        <v>5</v>
      </c>
      <c r="H12" t="str">
        <f t="shared" ca="1" si="4"/>
        <v/>
      </c>
      <c r="I12" t="str">
        <f t="shared" ca="1" si="5"/>
        <v>X代表从左到右第X列按钮，我们将灯表示为第一行的某几个列的按钮的叠加，</v>
      </c>
      <c r="J12" s="1">
        <f t="shared" ca="1" si="6"/>
        <v>2.8333333333333335E-4</v>
      </c>
      <c r="K12" s="1" t="b">
        <f t="shared" ca="1" si="7"/>
        <v>0</v>
      </c>
    </row>
    <row r="13" spans="1:11" x14ac:dyDescent="0.3">
      <c r="A13">
        <v>12</v>
      </c>
      <c r="B13" s="11">
        <v>3.3564814814814812E-4</v>
      </c>
      <c r="C13" s="11">
        <v>3.5555555555555552E-4</v>
      </c>
      <c r="D13" t="str">
        <f ca="1">srt!C12</f>
        <v>这里的X布局限于第一行。</v>
      </c>
      <c r="E13" t="str">
        <f t="shared" ca="1" si="1"/>
        <v>。</v>
      </c>
      <c r="F13" t="b">
        <f t="shared" ca="1" si="2"/>
        <v>1</v>
      </c>
      <c r="G13">
        <f t="shared" ca="1" si="3"/>
        <v>5</v>
      </c>
      <c r="H13">
        <f t="shared" ca="1" si="4"/>
        <v>5</v>
      </c>
      <c r="I13" t="str">
        <f t="shared" ca="1" si="5"/>
        <v>X代表从左到右第X列按钮，我们将灯表示为第一行的某几个列的按钮的叠加，这里的X布局限于第一行。</v>
      </c>
      <c r="J13" s="1">
        <f t="shared" ca="1" si="6"/>
        <v>2.8333333333333335E-4</v>
      </c>
      <c r="K13" s="1">
        <f t="shared" ca="1" si="7"/>
        <v>3.5555555555555552E-4</v>
      </c>
    </row>
    <row r="14" spans="1:11" x14ac:dyDescent="0.3">
      <c r="A14">
        <v>13</v>
      </c>
      <c r="B14" s="11">
        <v>3.5555555555555552E-4</v>
      </c>
      <c r="C14" s="11">
        <v>3.814814814814815E-4</v>
      </c>
      <c r="D14" t="str">
        <f ca="1">srt!C13</f>
        <v>Y代表从左到右DY列灯，</v>
      </c>
      <c r="E14" t="str">
        <f t="shared" ca="1" si="1"/>
        <v>，</v>
      </c>
      <c r="F14" t="b">
        <f t="shared" ca="1" si="2"/>
        <v>0</v>
      </c>
      <c r="G14">
        <f t="shared" ca="1" si="3"/>
        <v>6</v>
      </c>
      <c r="H14" t="str">
        <f t="shared" ca="1" si="4"/>
        <v/>
      </c>
      <c r="I14" t="str">
        <f t="shared" ca="1" si="5"/>
        <v>Y代表从左到右DY列灯，</v>
      </c>
      <c r="J14" s="1">
        <f t="shared" ca="1" si="6"/>
        <v>3.5555555555555552E-4</v>
      </c>
      <c r="K14" s="1" t="b">
        <f t="shared" ca="1" si="7"/>
        <v>0</v>
      </c>
    </row>
    <row r="15" spans="1:11" x14ac:dyDescent="0.3">
      <c r="A15">
        <v>14</v>
      </c>
      <c r="B15" s="11">
        <v>3.814814814814815E-4</v>
      </c>
      <c r="C15" s="11">
        <v>4.1018518518518514E-4</v>
      </c>
      <c r="D15" t="str">
        <f ca="1">srt!C14</f>
        <v>这里的公式对任意DY格灯都满足，</v>
      </c>
      <c r="E15" t="str">
        <f t="shared" ca="1" si="1"/>
        <v>，</v>
      </c>
      <c r="F15" t="b">
        <f t="shared" ca="1" si="2"/>
        <v>0</v>
      </c>
      <c r="G15">
        <f t="shared" ca="1" si="3"/>
        <v>6</v>
      </c>
      <c r="H15" t="str">
        <f t="shared" ca="1" si="4"/>
        <v/>
      </c>
      <c r="I15" t="str">
        <f t="shared" ca="1" si="5"/>
        <v>Y代表从左到右DY列灯，这里的公式对任意DY格灯都满足，</v>
      </c>
      <c r="J15" s="1">
        <f t="shared" ca="1" si="6"/>
        <v>3.5555555555555552E-4</v>
      </c>
      <c r="K15" s="1" t="b">
        <f t="shared" ca="1" si="7"/>
        <v>0</v>
      </c>
    </row>
    <row r="16" spans="1:11" x14ac:dyDescent="0.3">
      <c r="A16">
        <v>15</v>
      </c>
      <c r="B16" s="11">
        <v>4.1018518518518514E-4</v>
      </c>
      <c r="C16" s="11">
        <v>4.3888888888888889E-4</v>
      </c>
      <c r="D16" t="str">
        <f ca="1">srt!C15</f>
        <v>所以省去了Y。</v>
      </c>
      <c r="E16" t="str">
        <f t="shared" ca="1" si="1"/>
        <v>。</v>
      </c>
      <c r="F16" t="b">
        <f t="shared" ca="1" si="2"/>
        <v>1</v>
      </c>
      <c r="G16">
        <f t="shared" ca="1" si="3"/>
        <v>6</v>
      </c>
      <c r="H16">
        <f t="shared" ca="1" si="4"/>
        <v>6</v>
      </c>
      <c r="I16" t="str">
        <f t="shared" ca="1" si="5"/>
        <v>Y代表从左到右DY列灯，这里的公式对任意DY格灯都满足，所以省去了Y。</v>
      </c>
      <c r="J16" s="1">
        <f t="shared" ca="1" si="6"/>
        <v>3.5555555555555552E-4</v>
      </c>
      <c r="K16" s="1">
        <f t="shared" ca="1" si="7"/>
        <v>4.3888888888888889E-4</v>
      </c>
    </row>
    <row r="17" spans="1:11" x14ac:dyDescent="0.3">
      <c r="A17">
        <v>16</v>
      </c>
      <c r="B17" s="11">
        <v>4.3888888888888889E-4</v>
      </c>
      <c r="C17" s="11">
        <v>4.7592592592592592E-4</v>
      </c>
      <c r="D17" t="str">
        <f ca="1">srt!C16</f>
        <v>在这里，</v>
      </c>
      <c r="E17" t="str">
        <f t="shared" ca="1" si="1"/>
        <v>，</v>
      </c>
      <c r="F17" t="b">
        <f t="shared" ca="1" si="2"/>
        <v>0</v>
      </c>
      <c r="G17">
        <f t="shared" ca="1" si="3"/>
        <v>7</v>
      </c>
      <c r="H17" t="str">
        <f t="shared" ca="1" si="4"/>
        <v/>
      </c>
      <c r="I17" t="str">
        <f t="shared" ca="1" si="5"/>
        <v>在这里，</v>
      </c>
      <c r="J17" s="1">
        <f t="shared" ca="1" si="6"/>
        <v>4.3888888888888889E-4</v>
      </c>
      <c r="K17" s="1" t="b">
        <f t="shared" ca="1" si="7"/>
        <v>0</v>
      </c>
    </row>
    <row r="18" spans="1:11" x14ac:dyDescent="0.3">
      <c r="A18">
        <v>17</v>
      </c>
      <c r="B18" s="11">
        <v>4.7685185185185189E-4</v>
      </c>
      <c r="C18" s="11">
        <v>5.2037037037037037E-4</v>
      </c>
      <c r="D18" t="str">
        <f ca="1">srt!C17</f>
        <v>粉色圆点是用按钮表示按钮，</v>
      </c>
      <c r="E18" t="str">
        <f t="shared" ca="1" si="1"/>
        <v>，</v>
      </c>
      <c r="F18" t="b">
        <f t="shared" ca="1" si="2"/>
        <v>0</v>
      </c>
      <c r="G18">
        <f t="shared" ca="1" si="3"/>
        <v>7</v>
      </c>
      <c r="H18" t="str">
        <f t="shared" ca="1" si="4"/>
        <v/>
      </c>
      <c r="I18" t="str">
        <f t="shared" ca="1" si="5"/>
        <v>在这里，粉色圆点是用按钮表示按钮，</v>
      </c>
      <c r="J18" s="1">
        <f t="shared" ca="1" si="6"/>
        <v>4.3888888888888889E-4</v>
      </c>
      <c r="K18" s="1" t="b">
        <f t="shared" ca="1" si="7"/>
        <v>0</v>
      </c>
    </row>
    <row r="19" spans="1:11" x14ac:dyDescent="0.3">
      <c r="A19">
        <v>18</v>
      </c>
      <c r="B19" s="11">
        <v>5.2037037037037037E-4</v>
      </c>
      <c r="C19" s="11">
        <v>5.5231481481481483E-4</v>
      </c>
      <c r="D19" t="str">
        <f ca="1">srt!C18</f>
        <v>淡蓝色方块是用按钮表示灯，</v>
      </c>
      <c r="E19" t="str">
        <f t="shared" ca="1" si="1"/>
        <v>，</v>
      </c>
      <c r="F19" t="b">
        <f t="shared" ca="1" si="2"/>
        <v>0</v>
      </c>
      <c r="G19">
        <f t="shared" ca="1" si="3"/>
        <v>7</v>
      </c>
      <c r="H19" t="str">
        <f t="shared" ca="1" si="4"/>
        <v/>
      </c>
      <c r="I19" t="str">
        <f t="shared" ca="1" si="5"/>
        <v>在这里，粉色圆点是用按钮表示按钮，淡蓝色方块是用按钮表示灯，</v>
      </c>
      <c r="J19" s="1">
        <f t="shared" ca="1" si="6"/>
        <v>4.3888888888888889E-4</v>
      </c>
      <c r="K19" s="1" t="b">
        <f t="shared" ca="1" si="7"/>
        <v>0</v>
      </c>
    </row>
    <row r="20" spans="1:11" x14ac:dyDescent="0.3">
      <c r="A20">
        <v>19</v>
      </c>
      <c r="B20" s="11">
        <v>5.5277777777777779E-4</v>
      </c>
      <c r="C20" s="11">
        <v>5.7453703703703703E-4</v>
      </c>
      <c r="D20" t="str">
        <f ca="1">srt!C19</f>
        <v>而在上集视频中。</v>
      </c>
      <c r="E20" t="str">
        <f t="shared" ca="1" si="1"/>
        <v>。</v>
      </c>
      <c r="F20" t="b">
        <f t="shared" ca="1" si="2"/>
        <v>1</v>
      </c>
      <c r="G20">
        <f t="shared" ca="1" si="3"/>
        <v>7</v>
      </c>
      <c r="H20">
        <f t="shared" ca="1" si="4"/>
        <v>7</v>
      </c>
      <c r="I20" t="str">
        <f t="shared" ca="1" si="5"/>
        <v>在这里，粉色圆点是用按钮表示按钮，淡蓝色方块是用按钮表示灯，而在上集视频中。</v>
      </c>
      <c r="J20" s="1">
        <f t="shared" ca="1" si="6"/>
        <v>4.3888888888888889E-4</v>
      </c>
      <c r="K20" s="1">
        <f t="shared" ca="1" si="7"/>
        <v>5.7453703703703703E-4</v>
      </c>
    </row>
    <row r="21" spans="1:11" x14ac:dyDescent="0.3">
      <c r="A21">
        <v>20</v>
      </c>
      <c r="B21" s="11">
        <v>5.7499999999999999E-4</v>
      </c>
      <c r="C21" s="11">
        <v>6.041666666666667E-4</v>
      </c>
      <c r="D21" t="str">
        <f ca="1">srt!C20</f>
        <v>因为最终目标是将灯用按钮表示，</v>
      </c>
      <c r="E21" t="str">
        <f t="shared" ca="1" si="1"/>
        <v>，</v>
      </c>
      <c r="F21" t="b">
        <f t="shared" ca="1" si="2"/>
        <v>0</v>
      </c>
      <c r="G21">
        <f t="shared" ca="1" si="3"/>
        <v>8</v>
      </c>
      <c r="H21" t="str">
        <f t="shared" ca="1" si="4"/>
        <v/>
      </c>
      <c r="I21" t="str">
        <f t="shared" ca="1" si="5"/>
        <v>因为最终目标是将灯用按钮表示，</v>
      </c>
      <c r="J21" s="1">
        <f t="shared" ca="1" si="6"/>
        <v>5.7499999999999999E-4</v>
      </c>
      <c r="K21" s="1" t="b">
        <f t="shared" ca="1" si="7"/>
        <v>0</v>
      </c>
    </row>
    <row r="22" spans="1:11" x14ac:dyDescent="0.3">
      <c r="A22">
        <v>21</v>
      </c>
      <c r="B22" s="11">
        <v>6.0509259259259262E-4</v>
      </c>
      <c r="C22" s="11">
        <v>6.2870370370370369E-4</v>
      </c>
      <c r="D22" t="str">
        <f ca="1">srt!C21</f>
        <v>因此省去了按钮表示按钮，</v>
      </c>
      <c r="E22" t="str">
        <f t="shared" ca="1" si="1"/>
        <v>，</v>
      </c>
      <c r="F22" t="b">
        <f t="shared" ca="1" si="2"/>
        <v>0</v>
      </c>
      <c r="G22">
        <f t="shared" ca="1" si="3"/>
        <v>8</v>
      </c>
      <c r="H22" t="str">
        <f t="shared" ca="1" si="4"/>
        <v/>
      </c>
      <c r="I22" t="str">
        <f t="shared" ca="1" si="5"/>
        <v>因为最终目标是将灯用按钮表示，因此省去了按钮表示按钮，</v>
      </c>
      <c r="J22" s="1">
        <f t="shared" ca="1" si="6"/>
        <v>5.7499999999999999E-4</v>
      </c>
      <c r="K22" s="1" t="b">
        <f t="shared" ca="1" si="7"/>
        <v>0</v>
      </c>
    </row>
    <row r="23" spans="1:11" x14ac:dyDescent="0.3">
      <c r="A23">
        <v>22</v>
      </c>
      <c r="B23" s="11">
        <v>6.2962962962962961E-4</v>
      </c>
      <c r="C23" s="11">
        <v>6.8842592592592588E-4</v>
      </c>
      <c r="D23" t="str">
        <f ca="1">srt!C22</f>
        <v>粉色圆点直接是按钮表示灯，</v>
      </c>
      <c r="E23" t="str">
        <f t="shared" ca="1" si="1"/>
        <v>，</v>
      </c>
      <c r="F23" t="b">
        <f t="shared" ca="1" si="2"/>
        <v>0</v>
      </c>
      <c r="G23">
        <f t="shared" ca="1" si="3"/>
        <v>8</v>
      </c>
      <c r="H23" t="str">
        <f t="shared" ca="1" si="4"/>
        <v/>
      </c>
      <c r="I23" t="str">
        <f t="shared" ca="1" si="5"/>
        <v>因为最终目标是将灯用按钮表示，因此省去了按钮表示按钮，粉色圆点直接是按钮表示灯，</v>
      </c>
      <c r="J23" s="1">
        <f t="shared" ca="1" si="6"/>
        <v>5.7499999999999999E-4</v>
      </c>
      <c r="K23" s="1" t="b">
        <f t="shared" ca="1" si="7"/>
        <v>0</v>
      </c>
    </row>
    <row r="24" spans="1:11" x14ac:dyDescent="0.3">
      <c r="A24">
        <v>23</v>
      </c>
      <c r="B24" s="11">
        <v>6.8935185185185191E-4</v>
      </c>
      <c r="C24" s="11">
        <v>7.3657407407407406E-4</v>
      </c>
      <c r="D24" t="str">
        <f ca="1">srt!C23</f>
        <v>让我们举一个具体的例子，</v>
      </c>
      <c r="E24" t="str">
        <f t="shared" ca="1" si="1"/>
        <v>，</v>
      </c>
      <c r="F24" t="b">
        <f t="shared" ca="1" si="2"/>
        <v>0</v>
      </c>
      <c r="G24">
        <f t="shared" ca="1" si="3"/>
        <v>8</v>
      </c>
      <c r="H24" t="str">
        <f t="shared" ca="1" si="4"/>
        <v/>
      </c>
      <c r="I24" t="str">
        <f t="shared" ca="1" si="5"/>
        <v>因为最终目标是将灯用按钮表示，因此省去了按钮表示按钮，粉色圆点直接是按钮表示灯，让我们举一个具体的例子，</v>
      </c>
      <c r="J24" s="1">
        <f t="shared" ca="1" si="6"/>
        <v>5.7499999999999999E-4</v>
      </c>
      <c r="K24" s="1" t="b">
        <f t="shared" ca="1" si="7"/>
        <v>0</v>
      </c>
    </row>
    <row r="25" spans="1:11" x14ac:dyDescent="0.3">
      <c r="A25">
        <v>24</v>
      </c>
      <c r="B25" s="11">
        <v>7.3657407407407406E-4</v>
      </c>
      <c r="C25" s="11">
        <v>7.4629629629629633E-4</v>
      </c>
      <c r="D25" t="str">
        <f ca="1">srt!C24</f>
        <v>在5乘5的格子中，</v>
      </c>
      <c r="E25" t="str">
        <f t="shared" ca="1" si="1"/>
        <v>，</v>
      </c>
      <c r="F25" t="b">
        <f t="shared" ca="1" si="2"/>
        <v>0</v>
      </c>
      <c r="G25">
        <f t="shared" ca="1" si="3"/>
        <v>8</v>
      </c>
      <c r="H25" t="str">
        <f t="shared" ca="1" si="4"/>
        <v/>
      </c>
      <c r="I25" t="str">
        <f t="shared" ca="1" si="5"/>
        <v>因为最终目标是将灯用按钮表示，因此省去了按钮表示按钮，粉色圆点直接是按钮表示灯，让我们举一个具体的例子，在5乘5的格子中，</v>
      </c>
      <c r="J25" s="1">
        <f t="shared" ca="1" si="6"/>
        <v>5.7499999999999999E-4</v>
      </c>
      <c r="K25" s="1" t="b">
        <f t="shared" ca="1" si="7"/>
        <v>0</v>
      </c>
    </row>
    <row r="26" spans="1:11" x14ac:dyDescent="0.3">
      <c r="A26">
        <v>25</v>
      </c>
      <c r="B26" s="11">
        <v>7.4629629629629633E-4</v>
      </c>
      <c r="C26" s="11">
        <v>7.6111111111111117E-4</v>
      </c>
      <c r="D26" t="str">
        <f ca="1">srt!C25</f>
        <v>我们将按钮和灯编号为1到25，</v>
      </c>
      <c r="E26" t="str">
        <f t="shared" ca="1" si="1"/>
        <v>，</v>
      </c>
      <c r="F26" t="b">
        <f t="shared" ca="1" si="2"/>
        <v>0</v>
      </c>
      <c r="G26">
        <f t="shared" ca="1" si="3"/>
        <v>8</v>
      </c>
      <c r="H26" t="str">
        <f t="shared" ca="1" si="4"/>
        <v/>
      </c>
      <c r="I26" t="str">
        <f t="shared" ca="1" si="5"/>
        <v>因为最终目标是将灯用按钮表示，因此省去了按钮表示按钮，粉色圆点直接是按钮表示灯，让我们举一个具体的例子，在5乘5的格子中，我们将按钮和灯编号为1到25，</v>
      </c>
      <c r="J26" s="1">
        <f t="shared" ca="1" si="6"/>
        <v>5.7499999999999999E-4</v>
      </c>
      <c r="K26" s="1" t="b">
        <f t="shared" ca="1" si="7"/>
        <v>0</v>
      </c>
    </row>
    <row r="27" spans="1:11" x14ac:dyDescent="0.3">
      <c r="A27">
        <v>26</v>
      </c>
      <c r="B27" s="11">
        <v>7.6249999999999994E-4</v>
      </c>
      <c r="C27" s="11">
        <v>8.1296296296296292E-4</v>
      </c>
      <c r="D27" t="str">
        <f ca="1">srt!C26</f>
        <v>在叠加法中，</v>
      </c>
      <c r="E27" t="str">
        <f t="shared" ca="1" si="1"/>
        <v>，</v>
      </c>
      <c r="F27" t="b">
        <f t="shared" ca="1" si="2"/>
        <v>0</v>
      </c>
      <c r="G27">
        <f t="shared" ca="1" si="3"/>
        <v>8</v>
      </c>
      <c r="H27" t="str">
        <f t="shared" ca="1" si="4"/>
        <v/>
      </c>
      <c r="I27" t="str">
        <f t="shared" ca="1" si="5"/>
        <v>因为最终目标是将灯用按钮表示，因此省去了按钮表示按钮，粉色圆点直接是按钮表示灯，让我们举一个具体的例子，在5乘5的格子中，我们将按钮和灯编号为1到25，在叠加法中，</v>
      </c>
      <c r="J27" s="1">
        <f t="shared" ca="1" si="6"/>
        <v>5.7499999999999999E-4</v>
      </c>
      <c r="K27" s="1" t="b">
        <f t="shared" ca="1" si="7"/>
        <v>0</v>
      </c>
    </row>
    <row r="28" spans="1:11" x14ac:dyDescent="0.3">
      <c r="A28">
        <v>27</v>
      </c>
      <c r="B28" s="11">
        <v>8.1296296296296292E-4</v>
      </c>
      <c r="C28" s="11">
        <v>8.6203703703703713E-4</v>
      </c>
      <c r="D28" t="str">
        <f ca="1">srt!C27</f>
        <v>我们将灯表示为所有按钮的叠加，</v>
      </c>
      <c r="E28" t="str">
        <f t="shared" ca="1" si="1"/>
        <v>，</v>
      </c>
      <c r="F28" t="b">
        <f t="shared" ca="1" si="2"/>
        <v>0</v>
      </c>
      <c r="G28">
        <f t="shared" ca="1" si="3"/>
        <v>8</v>
      </c>
      <c r="H28" t="str">
        <f t="shared" ca="1" si="4"/>
        <v/>
      </c>
      <c r="I28" t="str">
        <f t="shared" ca="1" si="5"/>
        <v>因为最终目标是将灯用按钮表示，因此省去了按钮表示按钮，粉色圆点直接是按钮表示灯，让我们举一个具体的例子，在5乘5的格子中，我们将按钮和灯编号为1到25，在叠加法中，我们将灯表示为所有按钮的叠加，</v>
      </c>
      <c r="J28" s="1">
        <f t="shared" ca="1" si="6"/>
        <v>5.7499999999999999E-4</v>
      </c>
      <c r="K28" s="1" t="b">
        <f t="shared" ca="1" si="7"/>
        <v>0</v>
      </c>
    </row>
    <row r="29" spans="1:11" x14ac:dyDescent="0.3">
      <c r="A29">
        <v>28</v>
      </c>
      <c r="B29" s="11">
        <v>8.6342592592592591E-4</v>
      </c>
      <c r="C29" s="11">
        <v>8.7499999999999991E-4</v>
      </c>
      <c r="D29" t="str">
        <f ca="1">srt!C28</f>
        <v>例如L1等于B1加B2加B6，</v>
      </c>
      <c r="E29" t="str">
        <f t="shared" ca="1" si="1"/>
        <v>，</v>
      </c>
      <c r="F29" t="b">
        <f t="shared" ca="1" si="2"/>
        <v>0</v>
      </c>
      <c r="G29">
        <f t="shared" ca="1" si="3"/>
        <v>8</v>
      </c>
      <c r="H29" t="str">
        <f t="shared" ca="1" si="4"/>
        <v/>
      </c>
      <c r="I29" t="str">
        <f t="shared" ca="1" si="5"/>
        <v>因为最终目标是将灯用按钮表示，因此省去了按钮表示按钮，粉色圆点直接是按钮表示灯，让我们举一个具体的例子，在5乘5的格子中，我们将按钮和灯编号为1到25，在叠加法中，我们将灯表示为所有按钮的叠加，例如L1等于B1加B2加B6，</v>
      </c>
      <c r="J29" s="1">
        <f t="shared" ca="1" si="6"/>
        <v>5.7499999999999999E-4</v>
      </c>
      <c r="K29" s="1" t="b">
        <f t="shared" ca="1" si="7"/>
        <v>0</v>
      </c>
    </row>
    <row r="30" spans="1:11" x14ac:dyDescent="0.3">
      <c r="A30">
        <v>29</v>
      </c>
      <c r="B30" s="11">
        <v>8.7824074074074074E-4</v>
      </c>
      <c r="C30" s="11">
        <v>9.00925925925926E-4</v>
      </c>
      <c r="D30" t="str">
        <f ca="1">srt!C29</f>
        <v>L6等于B1加B6加B7加B11。</v>
      </c>
      <c r="E30" t="str">
        <f t="shared" ca="1" si="1"/>
        <v>。</v>
      </c>
      <c r="F30" t="b">
        <f t="shared" ca="1" si="2"/>
        <v>1</v>
      </c>
      <c r="G30">
        <f t="shared" ca="1" si="3"/>
        <v>8</v>
      </c>
      <c r="H30">
        <f t="shared" ca="1" si="4"/>
        <v>8</v>
      </c>
      <c r="I30" t="str">
        <f t="shared" ca="1" si="5"/>
        <v>因为最终目标是将灯用按钮表示，因此省去了按钮表示按钮，粉色圆点直接是按钮表示灯，让我们举一个具体的例子，在5乘5的格子中，我们将按钮和灯编号为1到25，在叠加法中，我们将灯表示为所有按钮的叠加，例如L1等于B1加B2加B6，L6等于B1加B6加B7加B11。</v>
      </c>
      <c r="J30" s="1">
        <f t="shared" ca="1" si="6"/>
        <v>5.7499999999999999E-4</v>
      </c>
      <c r="K30" s="1">
        <f t="shared" ca="1" si="7"/>
        <v>9.00925925925926E-4</v>
      </c>
    </row>
    <row r="31" spans="1:11" x14ac:dyDescent="0.3">
      <c r="A31">
        <v>30</v>
      </c>
      <c r="B31" s="11">
        <v>9.032407407407407E-4</v>
      </c>
      <c r="C31" s="11">
        <v>9.7685185185185201E-4</v>
      </c>
      <c r="D31" t="str">
        <f ca="1">srt!C30</f>
        <v>通过这种方法，</v>
      </c>
      <c r="E31" t="str">
        <f t="shared" ca="1" si="1"/>
        <v>，</v>
      </c>
      <c r="F31" t="b">
        <f t="shared" ca="1" si="2"/>
        <v>0</v>
      </c>
      <c r="G31">
        <f t="shared" ca="1" si="3"/>
        <v>9</v>
      </c>
      <c r="H31" t="str">
        <f t="shared" ca="1" si="4"/>
        <v/>
      </c>
      <c r="I31" t="str">
        <f t="shared" ca="1" si="5"/>
        <v>通过这种方法，</v>
      </c>
      <c r="J31" s="1">
        <f t="shared" ca="1" si="6"/>
        <v>9.032407407407407E-4</v>
      </c>
      <c r="K31" s="1" t="b">
        <f t="shared" ca="1" si="7"/>
        <v>0</v>
      </c>
    </row>
    <row r="32" spans="1:11" x14ac:dyDescent="0.3">
      <c r="A32">
        <v>32</v>
      </c>
      <c r="B32" s="11">
        <v>9.8101851851851865E-4</v>
      </c>
      <c r="C32" s="11">
        <v>1.0050925925925926E-3</v>
      </c>
      <c r="D32" t="str">
        <f ca="1">srt!C31</f>
        <v>我们得到了25个未知数的一次方程组。</v>
      </c>
      <c r="E32" t="str">
        <f t="shared" ca="1" si="1"/>
        <v>。</v>
      </c>
      <c r="F32" t="b">
        <f t="shared" ca="1" si="2"/>
        <v>1</v>
      </c>
      <c r="G32">
        <f t="shared" ca="1" si="3"/>
        <v>9</v>
      </c>
      <c r="H32">
        <f t="shared" ca="1" si="4"/>
        <v>9</v>
      </c>
      <c r="I32" t="str">
        <f t="shared" ca="1" si="5"/>
        <v>通过这种方法，我们得到了25个未知数的一次方程组。</v>
      </c>
      <c r="J32" s="1">
        <f t="shared" ca="1" si="6"/>
        <v>9.032407407407407E-4</v>
      </c>
      <c r="K32" s="1">
        <f t="shared" ca="1" si="7"/>
        <v>1.0050925925925926E-3</v>
      </c>
    </row>
    <row r="33" spans="1:11" x14ac:dyDescent="0.3">
      <c r="A33">
        <v>33</v>
      </c>
      <c r="B33" s="11">
        <v>1.0060185185185185E-3</v>
      </c>
      <c r="C33" s="11">
        <v>1.0995370370370371E-3</v>
      </c>
      <c r="D33" t="str">
        <f ca="1">srt!C32</f>
        <v>我们将其写成增广矩阵，</v>
      </c>
      <c r="E33" t="str">
        <f t="shared" ca="1" si="1"/>
        <v>，</v>
      </c>
      <c r="F33" t="b">
        <f t="shared" ca="1" si="2"/>
        <v>0</v>
      </c>
      <c r="G33">
        <f t="shared" ca="1" si="3"/>
        <v>10</v>
      </c>
      <c r="H33" t="str">
        <f t="shared" ca="1" si="4"/>
        <v/>
      </c>
      <c r="I33" t="str">
        <f t="shared" ca="1" si="5"/>
        <v>我们将其写成增广矩阵，</v>
      </c>
      <c r="J33" s="1">
        <f t="shared" ca="1" si="6"/>
        <v>1.0060185185185185E-3</v>
      </c>
      <c r="K33" s="1" t="b">
        <f t="shared" ca="1" si="7"/>
        <v>0</v>
      </c>
    </row>
    <row r="34" spans="1:11" x14ac:dyDescent="0.3">
      <c r="A34">
        <v>35</v>
      </c>
      <c r="B34" s="11">
        <v>1.100925925925926E-3</v>
      </c>
      <c r="C34" s="11">
        <v>1.1185185185185185E-3</v>
      </c>
      <c r="D34" t="str">
        <f ca="1">srt!C33</f>
        <v>也就是按钮矩阵和翻转向量及灯向量的形式。</v>
      </c>
      <c r="E34" t="str">
        <f t="shared" ca="1" si="1"/>
        <v>。</v>
      </c>
      <c r="F34" t="b">
        <f t="shared" ca="1" si="2"/>
        <v>1</v>
      </c>
      <c r="G34">
        <f t="shared" ca="1" si="3"/>
        <v>10</v>
      </c>
      <c r="H34">
        <f t="shared" ca="1" si="4"/>
        <v>10</v>
      </c>
      <c r="I34" t="str">
        <f t="shared" ca="1" si="5"/>
        <v>我们将其写成增广矩阵，也就是按钮矩阵和翻转向量及灯向量的形式。</v>
      </c>
      <c r="J34" s="1">
        <f t="shared" ca="1" si="6"/>
        <v>1.0060185185185185E-3</v>
      </c>
      <c r="K34" s="1">
        <f t="shared" ca="1" si="7"/>
        <v>1.1185185185185185E-3</v>
      </c>
    </row>
    <row r="35" spans="1:11" x14ac:dyDescent="0.3">
      <c r="A35">
        <v>36</v>
      </c>
      <c r="B35" s="11">
        <v>1.1185185185185185E-3</v>
      </c>
      <c r="C35" s="11">
        <v>1.1444444444444445E-3</v>
      </c>
      <c r="D35" t="str">
        <f ca="1">srt!C34</f>
        <v>而在首行叠加法中，</v>
      </c>
      <c r="E35" t="str">
        <f t="shared" ca="1" si="1"/>
        <v>，</v>
      </c>
      <c r="F35" t="b">
        <f t="shared" ca="1" si="2"/>
        <v>0</v>
      </c>
      <c r="G35">
        <f t="shared" ca="1" si="3"/>
        <v>11</v>
      </c>
      <c r="H35" t="str">
        <f t="shared" ca="1" si="4"/>
        <v/>
      </c>
      <c r="I35" t="str">
        <f t="shared" ca="1" si="5"/>
        <v>而在首行叠加法中，</v>
      </c>
      <c r="J35" s="1">
        <f t="shared" ca="1" si="6"/>
        <v>1.1185185185185185E-3</v>
      </c>
      <c r="K35" s="1" t="b">
        <f t="shared" ca="1" si="7"/>
        <v>0</v>
      </c>
    </row>
    <row r="36" spans="1:11" x14ac:dyDescent="0.3">
      <c r="A36">
        <v>37</v>
      </c>
      <c r="B36" s="11">
        <v>1.1444444444444445E-3</v>
      </c>
      <c r="C36" s="11">
        <v>1.1675925925925925E-3</v>
      </c>
      <c r="D36" t="str">
        <f ca="1">srt!C35</f>
        <v>我们需要把灯表示为第一行按钮的叠加。</v>
      </c>
      <c r="E36" t="str">
        <f t="shared" ca="1" si="1"/>
        <v>。</v>
      </c>
      <c r="F36" t="b">
        <f t="shared" ca="1" si="2"/>
        <v>1</v>
      </c>
      <c r="G36">
        <f t="shared" ca="1" si="3"/>
        <v>11</v>
      </c>
      <c r="H36">
        <f t="shared" ca="1" si="4"/>
        <v>11</v>
      </c>
      <c r="I36" t="str">
        <f t="shared" ca="1" si="5"/>
        <v>而在首行叠加法中，我们需要把灯表示为第一行按钮的叠加。</v>
      </c>
      <c r="J36" s="1">
        <f t="shared" ca="1" si="6"/>
        <v>1.1185185185185185E-3</v>
      </c>
      <c r="K36" s="1">
        <f t="shared" ca="1" si="7"/>
        <v>1.1675925925925925E-3</v>
      </c>
    </row>
    <row r="37" spans="1:11" x14ac:dyDescent="0.3">
      <c r="A37">
        <v>38</v>
      </c>
      <c r="B37" s="11">
        <v>1.1685185185185186E-3</v>
      </c>
      <c r="C37" s="11">
        <v>1.1981481481481483E-3</v>
      </c>
      <c r="D37" t="str">
        <f ca="1">srt!C36</f>
        <v>这里的五个矩阵分别代表第Y列是由第一行的哪几个按钮叠加的。</v>
      </c>
      <c r="E37" t="str">
        <f t="shared" ca="1" si="1"/>
        <v>。</v>
      </c>
      <c r="F37" t="b">
        <f t="shared" ca="1" si="2"/>
        <v>1</v>
      </c>
      <c r="G37">
        <f t="shared" ca="1" si="3"/>
        <v>12</v>
      </c>
      <c r="H37">
        <f t="shared" ca="1" si="4"/>
        <v>12</v>
      </c>
      <c r="I37" t="str">
        <f t="shared" ca="1" si="5"/>
        <v>这里的五个矩阵分别代表第Y列是由第一行的哪几个按钮叠加的。</v>
      </c>
      <c r="J37" s="1">
        <f t="shared" ca="1" si="6"/>
        <v>1.1685185185185186E-3</v>
      </c>
      <c r="K37" s="1">
        <f t="shared" ca="1" si="7"/>
        <v>1.1981481481481483E-3</v>
      </c>
    </row>
    <row r="38" spans="1:11" x14ac:dyDescent="0.3">
      <c r="A38">
        <v>39</v>
      </c>
      <c r="B38" s="11">
        <v>1.1986111111111112E-3</v>
      </c>
      <c r="C38" s="11">
        <v>1.2180555555555556E-3</v>
      </c>
      <c r="D38" t="str">
        <f ca="1">srt!C37</f>
        <v>由于按法是动态的，</v>
      </c>
      <c r="E38" t="str">
        <f t="shared" ca="1" si="1"/>
        <v>，</v>
      </c>
      <c r="F38" t="b">
        <f t="shared" ca="1" si="2"/>
        <v>0</v>
      </c>
      <c r="G38">
        <f t="shared" ca="1" si="3"/>
        <v>13</v>
      </c>
      <c r="H38" t="str">
        <f t="shared" ca="1" si="4"/>
        <v/>
      </c>
      <c r="I38" t="str">
        <f t="shared" ca="1" si="5"/>
        <v>由于按法是动态的，</v>
      </c>
      <c r="J38" s="1">
        <f t="shared" ca="1" si="6"/>
        <v>1.1986111111111112E-3</v>
      </c>
      <c r="K38" s="1" t="b">
        <f t="shared" ca="1" si="7"/>
        <v>0</v>
      </c>
    </row>
    <row r="39" spans="1:11" x14ac:dyDescent="0.3">
      <c r="A39">
        <v>40</v>
      </c>
      <c r="B39" s="11">
        <v>1.2180555555555556E-3</v>
      </c>
      <c r="C39" s="11">
        <v>1.2296296296296298E-3</v>
      </c>
      <c r="D39" t="str">
        <f ca="1">srt!C38</f>
        <v>当第二行按钮还未被按下时。</v>
      </c>
      <c r="E39" t="str">
        <f t="shared" ca="1" si="1"/>
        <v>。</v>
      </c>
      <c r="F39" t="b">
        <f t="shared" ca="1" si="2"/>
        <v>1</v>
      </c>
      <c r="G39">
        <f t="shared" ca="1" si="3"/>
        <v>13</v>
      </c>
      <c r="H39">
        <f t="shared" ca="1" si="4"/>
        <v>13</v>
      </c>
      <c r="I39" t="str">
        <f t="shared" ca="1" si="5"/>
        <v>由于按法是动态的，当第二行按钮还未被按下时。</v>
      </c>
      <c r="J39" s="1">
        <f t="shared" ca="1" si="6"/>
        <v>1.1986111111111112E-3</v>
      </c>
      <c r="K39" s="1">
        <f t="shared" ca="1" si="7"/>
        <v>1.2296296296296298E-3</v>
      </c>
    </row>
    <row r="40" spans="1:11" x14ac:dyDescent="0.3">
      <c r="A40">
        <v>41</v>
      </c>
      <c r="B40" s="11">
        <v>1.2319444444444444E-3</v>
      </c>
      <c r="C40" s="11">
        <v>1.2578703703703703E-3</v>
      </c>
      <c r="D40" t="str">
        <f ca="1">srt!C39</f>
        <v>L1等于B1加B2，</v>
      </c>
      <c r="E40" t="str">
        <f t="shared" ca="1" si="1"/>
        <v>，</v>
      </c>
      <c r="F40" t="b">
        <f t="shared" ca="1" si="2"/>
        <v>0</v>
      </c>
      <c r="G40">
        <f t="shared" ca="1" si="3"/>
        <v>14</v>
      </c>
      <c r="H40" t="str">
        <f t="shared" ca="1" si="4"/>
        <v/>
      </c>
      <c r="I40" t="str">
        <f t="shared" ca="1" si="5"/>
        <v>L1等于B1加B2，</v>
      </c>
      <c r="J40" s="1">
        <f t="shared" ca="1" si="6"/>
        <v>1.2319444444444444E-3</v>
      </c>
      <c r="K40" s="1" t="b">
        <f t="shared" ca="1" si="7"/>
        <v>0</v>
      </c>
    </row>
    <row r="41" spans="1:11" x14ac:dyDescent="0.3">
      <c r="A41">
        <v>42</v>
      </c>
      <c r="B41" s="11">
        <v>1.2578703703703703E-3</v>
      </c>
      <c r="C41" s="11">
        <v>1.2800925925925924E-3</v>
      </c>
      <c r="D41" t="str">
        <f ca="1">srt!C40</f>
        <v>即第一个灯L1是由第一行的第一第二个按钮B1B2叠加的，</v>
      </c>
      <c r="E41" t="str">
        <f t="shared" ca="1" si="1"/>
        <v>，</v>
      </c>
      <c r="F41" t="b">
        <f t="shared" ca="1" si="2"/>
        <v>0</v>
      </c>
      <c r="G41">
        <f t="shared" ca="1" si="3"/>
        <v>14</v>
      </c>
      <c r="H41" t="str">
        <f t="shared" ca="1" si="4"/>
        <v/>
      </c>
      <c r="I41" t="str">
        <f t="shared" ca="1" si="5"/>
        <v>L1等于B1加B2，即第一个灯L1是由第一行的第一第二个按钮B1B2叠加的，</v>
      </c>
      <c r="J41" s="1">
        <f t="shared" ca="1" si="6"/>
        <v>1.2319444444444444E-3</v>
      </c>
      <c r="K41" s="1" t="b">
        <f t="shared" ca="1" si="7"/>
        <v>0</v>
      </c>
    </row>
    <row r="42" spans="1:11" x14ac:dyDescent="0.3">
      <c r="A42">
        <v>43</v>
      </c>
      <c r="B42" s="11">
        <v>1.2810185185185186E-3</v>
      </c>
      <c r="C42" s="11">
        <v>1.3236111111111111E-3</v>
      </c>
      <c r="D42" t="str">
        <f ca="1">srt!C41</f>
        <v>然后B6等于非L1等于非B1加B2，</v>
      </c>
      <c r="E42" t="str">
        <f t="shared" ca="1" si="1"/>
        <v>，</v>
      </c>
      <c r="F42" t="b">
        <f t="shared" ca="1" si="2"/>
        <v>0</v>
      </c>
      <c r="G42">
        <f t="shared" ca="1" si="3"/>
        <v>14</v>
      </c>
      <c r="H42" t="str">
        <f t="shared" ca="1" si="4"/>
        <v/>
      </c>
      <c r="I42" t="str">
        <f t="shared" ca="1" si="5"/>
        <v>L1等于B1加B2，即第一个灯L1是由第一行的第一第二个按钮B1B2叠加的，然后B6等于非L1等于非B1加B2，</v>
      </c>
      <c r="J42" s="1">
        <f t="shared" ca="1" si="6"/>
        <v>1.2319444444444444E-3</v>
      </c>
      <c r="K42" s="1" t="b">
        <f t="shared" ca="1" si="7"/>
        <v>0</v>
      </c>
    </row>
    <row r="43" spans="1:11" x14ac:dyDescent="0.3">
      <c r="A43">
        <v>44</v>
      </c>
      <c r="B43" s="11">
        <v>1.3249999999999998E-3</v>
      </c>
      <c r="C43" s="11">
        <v>1.3537037037037038E-3</v>
      </c>
      <c r="D43" t="str">
        <f ca="1">srt!C42</f>
        <v>即第六个按钮B6是第一个灯L1的翻转，</v>
      </c>
      <c r="E43" t="str">
        <f t="shared" ca="1" si="1"/>
        <v>，</v>
      </c>
      <c r="F43" t="b">
        <f t="shared" ca="1" si="2"/>
        <v>0</v>
      </c>
      <c r="G43">
        <f t="shared" ca="1" si="3"/>
        <v>14</v>
      </c>
      <c r="H43" t="str">
        <f t="shared" ca="1" si="4"/>
        <v/>
      </c>
      <c r="I43" t="str">
        <f t="shared" ca="1" si="5"/>
        <v>L1等于B1加B2，即第一个灯L1是由第一行的第一第二个按钮B1B2叠加的，然后B6等于非L1等于非B1加B2，即第六个按钮B6是第一个灯L1的翻转，</v>
      </c>
      <c r="J43" s="1">
        <f t="shared" ca="1" si="6"/>
        <v>1.2319444444444444E-3</v>
      </c>
      <c r="K43" s="1" t="b">
        <f t="shared" ca="1" si="7"/>
        <v>0</v>
      </c>
    </row>
    <row r="44" spans="1:11" x14ac:dyDescent="0.3">
      <c r="A44">
        <v>45</v>
      </c>
      <c r="B44" s="11">
        <v>1.3537037037037038E-3</v>
      </c>
      <c r="C44" s="11">
        <v>1.3689814814814814E-3</v>
      </c>
      <c r="D44" t="str">
        <f ca="1">srt!C43</f>
        <v>因此第二行按钮B6和第一行灯L1的叠加状态是相同的，</v>
      </c>
      <c r="E44" t="str">
        <f t="shared" ca="1" si="1"/>
        <v>，</v>
      </c>
      <c r="F44" t="b">
        <f t="shared" ca="1" si="2"/>
        <v>0</v>
      </c>
      <c r="G44">
        <f t="shared" ca="1" si="3"/>
        <v>14</v>
      </c>
      <c r="H44" t="str">
        <f t="shared" ca="1" si="4"/>
        <v/>
      </c>
      <c r="I44" t="str">
        <f t="shared" ca="1" si="5"/>
        <v>L1等于B1加B2，即第一个灯L1是由第一行的第一第二个按钮B1B2叠加的，然后B6等于非L1等于非B1加B2，即第六个按钮B6是第一个灯L1的翻转，因此第二行按钮B6和第一行灯L1的叠加状态是相同的，</v>
      </c>
      <c r="J44" s="1">
        <f t="shared" ca="1" si="6"/>
        <v>1.2319444444444444E-3</v>
      </c>
      <c r="K44" s="1" t="b">
        <f t="shared" ca="1" si="7"/>
        <v>0</v>
      </c>
    </row>
    <row r="45" spans="1:11" x14ac:dyDescent="0.3">
      <c r="A45">
        <v>46</v>
      </c>
      <c r="B45" s="11">
        <v>1.3699074074074074E-3</v>
      </c>
      <c r="C45" s="11">
        <v>1.3912037037037037E-3</v>
      </c>
      <c r="D45" t="str">
        <f ca="1">srt!C44</f>
        <v>只不过B6是L1的翻转，</v>
      </c>
      <c r="E45" t="str">
        <f t="shared" ca="1" si="1"/>
        <v>，</v>
      </c>
      <c r="F45" t="b">
        <f t="shared" ca="1" si="2"/>
        <v>0</v>
      </c>
      <c r="G45">
        <f t="shared" ca="1" si="3"/>
        <v>14</v>
      </c>
      <c r="H45" t="str">
        <f t="shared" ca="1" si="4"/>
        <v/>
      </c>
      <c r="I45" t="str">
        <f t="shared" ca="1" si="5"/>
        <v>L1等于B1加B2，即第一个灯L1是由第一行的第一第二个按钮B1B2叠加的，然后B6等于非L1等于非B1加B2，即第六个按钮B6是第一个灯L1的翻转，因此第二行按钮B6和第一行灯L1的叠加状态是相同的，只不过B6是L1的翻转，</v>
      </c>
      <c r="J45" s="1">
        <f t="shared" ca="1" si="6"/>
        <v>1.2319444444444444E-3</v>
      </c>
      <c r="K45" s="1" t="b">
        <f t="shared" ca="1" si="7"/>
        <v>0</v>
      </c>
    </row>
    <row r="46" spans="1:11" x14ac:dyDescent="0.3">
      <c r="A46">
        <v>47</v>
      </c>
      <c r="B46" s="11">
        <v>1.3912037037037037E-3</v>
      </c>
      <c r="C46" s="11">
        <v>1.4375E-3</v>
      </c>
      <c r="D46" t="str">
        <f ca="1">srt!C45</f>
        <v>而旁边的向量。</v>
      </c>
      <c r="E46" t="str">
        <f t="shared" ca="1" si="1"/>
        <v>。</v>
      </c>
      <c r="F46" t="b">
        <f t="shared" ca="1" si="2"/>
        <v>1</v>
      </c>
      <c r="G46">
        <f t="shared" ca="1" si="3"/>
        <v>14</v>
      </c>
      <c r="H46">
        <f t="shared" ca="1" si="4"/>
        <v>14</v>
      </c>
      <c r="I46" t="str">
        <f t="shared" ca="1" si="5"/>
        <v>L1等于B1加B2，即第一个灯L1是由第一行的第一第二个按钮B1B2叠加的，然后B6等于非L1等于非B1加B2，即第六个按钮B6是第一个灯L1的翻转，因此第二行按钮B6和第一行灯L1的叠加状态是相同的，只不过B6是L1的翻转，而旁边的向量。</v>
      </c>
      <c r="J46" s="1">
        <f t="shared" ca="1" si="6"/>
        <v>1.2319444444444444E-3</v>
      </c>
      <c r="K46" s="1">
        <f t="shared" ca="1" si="7"/>
        <v>1.4375E-3</v>
      </c>
    </row>
    <row r="47" spans="1:11" x14ac:dyDescent="0.3">
      <c r="A47">
        <v>48</v>
      </c>
      <c r="B47" s="11">
        <v>1.4384259259259259E-3</v>
      </c>
      <c r="C47" s="11">
        <v>1.4712962962962963E-3</v>
      </c>
      <c r="D47" t="str">
        <f ca="1">srt!C46</f>
        <v>代表的就是按钮或灯有没有翻转，</v>
      </c>
      <c r="E47" t="str">
        <f t="shared" ca="1" si="1"/>
        <v>，</v>
      </c>
      <c r="F47" t="b">
        <f t="shared" ca="1" si="2"/>
        <v>0</v>
      </c>
      <c r="G47">
        <f t="shared" ca="1" si="3"/>
        <v>15</v>
      </c>
      <c r="H47" t="str">
        <f t="shared" ca="1" si="4"/>
        <v/>
      </c>
      <c r="I47" t="str">
        <f t="shared" ca="1" si="5"/>
        <v>代表的就是按钮或灯有没有翻转，</v>
      </c>
      <c r="J47" s="1">
        <f t="shared" ca="1" si="6"/>
        <v>1.4384259259259259E-3</v>
      </c>
      <c r="K47" s="1" t="b">
        <f t="shared" ca="1" si="7"/>
        <v>0</v>
      </c>
    </row>
    <row r="48" spans="1:11" x14ac:dyDescent="0.3">
      <c r="A48">
        <v>49</v>
      </c>
      <c r="B48" s="11">
        <v>1.4722222222222222E-3</v>
      </c>
      <c r="C48" s="11">
        <v>1.5078703703703704E-3</v>
      </c>
      <c r="D48" t="str">
        <f ca="1">srt!C47</f>
        <v>例如当第一个向量的第一个灯L1亮起时，</v>
      </c>
      <c r="E48" t="str">
        <f t="shared" ca="1" si="1"/>
        <v>，</v>
      </c>
      <c r="F48" t="b">
        <f t="shared" ca="1" si="2"/>
        <v>0</v>
      </c>
      <c r="G48">
        <f t="shared" ca="1" si="3"/>
        <v>15</v>
      </c>
      <c r="H48" t="str">
        <f t="shared" ca="1" si="4"/>
        <v/>
      </c>
      <c r="I48" t="str">
        <f t="shared" ca="1" si="5"/>
        <v>代表的就是按钮或灯有没有翻转，例如当第一个向量的第一个灯L1亮起时，</v>
      </c>
      <c r="J48" s="1">
        <f t="shared" ca="1" si="6"/>
        <v>1.4384259259259259E-3</v>
      </c>
      <c r="K48" s="1" t="b">
        <f t="shared" ca="1" si="7"/>
        <v>0</v>
      </c>
    </row>
    <row r="49" spans="1:11" x14ac:dyDescent="0.3">
      <c r="A49">
        <v>50</v>
      </c>
      <c r="B49" s="11">
        <v>1.5078703703703704E-3</v>
      </c>
      <c r="C49" s="11">
        <v>1.5319444444444445E-3</v>
      </c>
      <c r="D49" t="str">
        <f ca="1">srt!C48</f>
        <v>表示L1除了由刚才说的按钮叠加外，</v>
      </c>
      <c r="E49" t="str">
        <f t="shared" ca="1" si="1"/>
        <v>，</v>
      </c>
      <c r="F49" t="b">
        <f t="shared" ca="1" si="2"/>
        <v>0</v>
      </c>
      <c r="G49">
        <f t="shared" ca="1" si="3"/>
        <v>15</v>
      </c>
      <c r="H49" t="str">
        <f t="shared" ca="1" si="4"/>
        <v/>
      </c>
      <c r="I49" t="str">
        <f t="shared" ca="1" si="5"/>
        <v>代表的就是按钮或灯有没有翻转，例如当第一个向量的第一个灯L1亮起时，表示L1除了由刚才说的按钮叠加外，</v>
      </c>
      <c r="J49" s="1">
        <f t="shared" ca="1" si="6"/>
        <v>1.4384259259259259E-3</v>
      </c>
      <c r="K49" s="1" t="b">
        <f t="shared" ca="1" si="7"/>
        <v>0</v>
      </c>
    </row>
    <row r="50" spans="1:11" x14ac:dyDescent="0.3">
      <c r="A50">
        <v>51</v>
      </c>
      <c r="B50" s="11">
        <v>1.5333333333333332E-3</v>
      </c>
      <c r="C50" s="11">
        <v>1.5476851851851851E-3</v>
      </c>
      <c r="D50" t="str">
        <f ca="1">srt!C49</f>
        <v>还需要翻转才是正确的状态。</v>
      </c>
      <c r="E50" t="str">
        <f t="shared" ca="1" si="1"/>
        <v>。</v>
      </c>
      <c r="F50" t="b">
        <f t="shared" ca="1" si="2"/>
        <v>1</v>
      </c>
      <c r="G50">
        <f t="shared" ca="1" si="3"/>
        <v>15</v>
      </c>
      <c r="H50">
        <f t="shared" ca="1" si="4"/>
        <v>15</v>
      </c>
      <c r="I50" t="str">
        <f t="shared" ca="1" si="5"/>
        <v>代表的就是按钮或灯有没有翻转，例如当第一个向量的第一个灯L1亮起时，表示L1除了由刚才说的按钮叠加外，还需要翻转才是正确的状态。</v>
      </c>
      <c r="J50" s="1">
        <f t="shared" ca="1" si="6"/>
        <v>1.4384259259259259E-3</v>
      </c>
      <c r="K50" s="1">
        <f t="shared" ca="1" si="7"/>
        <v>1.5476851851851851E-3</v>
      </c>
    </row>
    <row r="51" spans="1:11" x14ac:dyDescent="0.3">
      <c r="A51">
        <v>52</v>
      </c>
      <c r="B51" s="11">
        <v>1.5476851851851851E-3</v>
      </c>
      <c r="C51" s="11">
        <v>1.5749999999999998E-3</v>
      </c>
      <c r="D51" t="str">
        <f ca="1">srt!C50</f>
        <v>同理，</v>
      </c>
      <c r="E51" t="str">
        <f t="shared" ca="1" si="1"/>
        <v>，</v>
      </c>
      <c r="F51" t="b">
        <f t="shared" ca="1" si="2"/>
        <v>0</v>
      </c>
      <c r="G51">
        <f t="shared" ca="1" si="3"/>
        <v>16</v>
      </c>
      <c r="H51" t="str">
        <f t="shared" ca="1" si="4"/>
        <v/>
      </c>
      <c r="I51" t="str">
        <f t="shared" ca="1" si="5"/>
        <v>同理，</v>
      </c>
      <c r="J51" s="1">
        <f t="shared" ca="1" si="6"/>
        <v>1.5476851851851851E-3</v>
      </c>
      <c r="K51" s="1" t="b">
        <f t="shared" ca="1" si="7"/>
        <v>0</v>
      </c>
    </row>
    <row r="52" spans="1:11" x14ac:dyDescent="0.3">
      <c r="A52">
        <v>53</v>
      </c>
      <c r="B52" s="11">
        <v>1.5768518518518519E-3</v>
      </c>
      <c r="C52" s="11">
        <v>1.6037037037037038E-3</v>
      </c>
      <c r="D52" t="str">
        <f ca="1">srt!C51</f>
        <v>B7等于非L2等于非B1加B2加B3，</v>
      </c>
      <c r="E52" t="str">
        <f t="shared" ca="1" si="1"/>
        <v>，</v>
      </c>
      <c r="F52" t="b">
        <f t="shared" ca="1" si="2"/>
        <v>0</v>
      </c>
      <c r="G52">
        <f t="shared" ca="1" si="3"/>
        <v>16</v>
      </c>
      <c r="H52" t="str">
        <f t="shared" ca="1" si="4"/>
        <v/>
      </c>
      <c r="I52" t="str">
        <f t="shared" ca="1" si="5"/>
        <v>同理，B7等于非L2等于非B1加B2加B3，</v>
      </c>
      <c r="J52" s="1">
        <f t="shared" ca="1" si="6"/>
        <v>1.5476851851851851E-3</v>
      </c>
      <c r="K52" s="1" t="b">
        <f t="shared" ca="1" si="7"/>
        <v>0</v>
      </c>
    </row>
    <row r="53" spans="1:11" x14ac:dyDescent="0.3">
      <c r="A53">
        <v>54</v>
      </c>
      <c r="B53" s="11">
        <v>1.6037037037037038E-3</v>
      </c>
      <c r="C53" s="11">
        <v>1.6319444444444445E-3</v>
      </c>
      <c r="D53" t="str">
        <f ca="1">srt!C52</f>
        <v>即第七个按钮B7是第二个灯L2的翻转。</v>
      </c>
      <c r="E53" t="str">
        <f t="shared" ca="1" si="1"/>
        <v>。</v>
      </c>
      <c r="F53" t="b">
        <f t="shared" ca="1" si="2"/>
        <v>1</v>
      </c>
      <c r="G53">
        <f t="shared" ca="1" si="3"/>
        <v>16</v>
      </c>
      <c r="H53">
        <f t="shared" ca="1" si="4"/>
        <v>16</v>
      </c>
      <c r="I53" t="str">
        <f t="shared" ca="1" si="5"/>
        <v>同理，B7等于非L2等于非B1加B2加B3，即第七个按钮B7是第二个灯L2的翻转。</v>
      </c>
      <c r="J53" s="1">
        <f t="shared" ca="1" si="6"/>
        <v>1.5476851851851851E-3</v>
      </c>
      <c r="K53" s="1">
        <f t="shared" ca="1" si="7"/>
        <v>1.6319444444444445E-3</v>
      </c>
    </row>
    <row r="54" spans="1:11" x14ac:dyDescent="0.3">
      <c r="A54">
        <v>55</v>
      </c>
      <c r="B54" s="11">
        <v>1.6328703703703702E-3</v>
      </c>
      <c r="C54" s="11">
        <v>1.6537037037037037E-3</v>
      </c>
      <c r="D54" t="str">
        <f ca="1">srt!C53</f>
        <v>同样，</v>
      </c>
      <c r="E54" t="str">
        <f t="shared" ca="1" si="1"/>
        <v>，</v>
      </c>
      <c r="F54" t="b">
        <f t="shared" ca="1" si="2"/>
        <v>0</v>
      </c>
      <c r="G54">
        <f t="shared" ca="1" si="3"/>
        <v>17</v>
      </c>
      <c r="H54" t="str">
        <f t="shared" ca="1" si="4"/>
        <v/>
      </c>
      <c r="I54" t="str">
        <f t="shared" ca="1" si="5"/>
        <v>同样，</v>
      </c>
      <c r="J54" s="1">
        <f t="shared" ca="1" si="6"/>
        <v>1.6328703703703702E-3</v>
      </c>
      <c r="K54" s="1" t="b">
        <f t="shared" ca="1" si="7"/>
        <v>0</v>
      </c>
    </row>
    <row r="55" spans="1:11" x14ac:dyDescent="0.3">
      <c r="A55">
        <v>56</v>
      </c>
      <c r="B55" s="11">
        <v>1.6537037037037037E-3</v>
      </c>
      <c r="C55" s="11">
        <v>1.6782407407407408E-3</v>
      </c>
      <c r="D55" t="str">
        <f ca="1">srt!C54</f>
        <v>第二行的按钮B7和第一行灯L2的叠加状态是相同的。</v>
      </c>
      <c r="E55" t="str">
        <f t="shared" ca="1" si="1"/>
        <v>。</v>
      </c>
      <c r="F55" t="b">
        <f t="shared" ca="1" si="2"/>
        <v>1</v>
      </c>
      <c r="G55">
        <f t="shared" ca="1" si="3"/>
        <v>17</v>
      </c>
      <c r="H55">
        <f t="shared" ca="1" si="4"/>
        <v>17</v>
      </c>
      <c r="I55" t="str">
        <f t="shared" ca="1" si="5"/>
        <v>同样，第二行的按钮B7和第一行灯L2的叠加状态是相同的。</v>
      </c>
      <c r="J55" s="1">
        <f t="shared" ca="1" si="6"/>
        <v>1.6328703703703702E-3</v>
      </c>
      <c r="K55" s="1">
        <f t="shared" ca="1" si="7"/>
        <v>1.6782407407407408E-3</v>
      </c>
    </row>
    <row r="56" spans="1:11" x14ac:dyDescent="0.3">
      <c r="A56">
        <v>57</v>
      </c>
      <c r="B56" s="11">
        <v>1.6787037037037035E-3</v>
      </c>
      <c r="C56" s="11">
        <v>1.6999999999999999E-3</v>
      </c>
      <c r="D56" t="str">
        <f ca="1">srt!C55</f>
        <v>这里我们将第一个按钮B1的状态补全，</v>
      </c>
      <c r="E56" t="str">
        <f t="shared" ca="1" si="1"/>
        <v>，</v>
      </c>
      <c r="F56" t="b">
        <f t="shared" ca="1" si="2"/>
        <v>0</v>
      </c>
      <c r="G56">
        <f t="shared" ca="1" si="3"/>
        <v>18</v>
      </c>
      <c r="H56" t="str">
        <f t="shared" ca="1" si="4"/>
        <v/>
      </c>
      <c r="I56" t="str">
        <f t="shared" ca="1" si="5"/>
        <v>这里我们将第一个按钮B1的状态补全，</v>
      </c>
      <c r="J56" s="1">
        <f t="shared" ca="1" si="6"/>
        <v>1.6787037037037035E-3</v>
      </c>
      <c r="K56" s="1" t="b">
        <f t="shared" ca="1" si="7"/>
        <v>0</v>
      </c>
    </row>
    <row r="57" spans="1:11" x14ac:dyDescent="0.3">
      <c r="A57">
        <v>58</v>
      </c>
      <c r="B57" s="11">
        <v>1.700925925925926E-3</v>
      </c>
      <c r="C57" s="11">
        <v>1.7407407407407408E-3</v>
      </c>
      <c r="D57" t="str">
        <f ca="1">srt!C56</f>
        <v>将B1用第一行的按钮叠加时，</v>
      </c>
      <c r="E57" t="str">
        <f t="shared" ca="1" si="1"/>
        <v>，</v>
      </c>
      <c r="F57" t="b">
        <f t="shared" ca="1" si="2"/>
        <v>0</v>
      </c>
      <c r="G57">
        <f t="shared" ca="1" si="3"/>
        <v>18</v>
      </c>
      <c r="H57" t="str">
        <f t="shared" ca="1" si="4"/>
        <v/>
      </c>
      <c r="I57" t="str">
        <f t="shared" ca="1" si="5"/>
        <v>这里我们将第一个按钮B1的状态补全，将B1用第一行的按钮叠加时，</v>
      </c>
      <c r="J57" s="1">
        <f t="shared" ca="1" si="6"/>
        <v>1.6787037037037035E-3</v>
      </c>
      <c r="K57" s="1" t="b">
        <f t="shared" ca="1" si="7"/>
        <v>0</v>
      </c>
    </row>
    <row r="58" spans="1:11" x14ac:dyDescent="0.3">
      <c r="A58">
        <v>59</v>
      </c>
      <c r="B58" s="11">
        <v>1.7421296296296297E-3</v>
      </c>
      <c r="C58" s="11">
        <v>1.7518518518518521E-3</v>
      </c>
      <c r="D58" t="str">
        <f ca="1">srt!C57</f>
        <v>有B1等于B1。</v>
      </c>
      <c r="E58" t="str">
        <f t="shared" ca="1" si="1"/>
        <v>。</v>
      </c>
      <c r="F58" t="b">
        <f t="shared" ca="1" si="2"/>
        <v>1</v>
      </c>
      <c r="G58">
        <f t="shared" ca="1" si="3"/>
        <v>18</v>
      </c>
      <c r="H58">
        <f t="shared" ca="1" si="4"/>
        <v>18</v>
      </c>
      <c r="I58" t="str">
        <f t="shared" ca="1" si="5"/>
        <v>这里我们将第一个按钮B1的状态补全，将B1用第一行的按钮叠加时，有B1等于B1。</v>
      </c>
      <c r="J58" s="1">
        <f t="shared" ca="1" si="6"/>
        <v>1.6787037037037035E-3</v>
      </c>
      <c r="K58" s="1">
        <f t="shared" ca="1" si="7"/>
        <v>1.7518518518518521E-3</v>
      </c>
    </row>
    <row r="59" spans="1:11" x14ac:dyDescent="0.3">
      <c r="A59">
        <v>60</v>
      </c>
      <c r="B59" s="11">
        <v>1.7527777777777778E-3</v>
      </c>
      <c r="C59" s="11">
        <v>1.7763888888888888E-3</v>
      </c>
      <c r="D59" t="str">
        <f ca="1">srt!C58</f>
        <v>接下来我们来看第六个灯L6等于B1加B6加B7等于B1加B1</v>
      </c>
      <c r="E59" t="str">
        <f t="shared" ca="1" si="1"/>
        <v>1</v>
      </c>
      <c r="F59" t="b">
        <f t="shared" ca="1" si="2"/>
        <v>0</v>
      </c>
      <c r="G59">
        <f t="shared" ca="1" si="3"/>
        <v>19</v>
      </c>
      <c r="H59" t="str">
        <f t="shared" ca="1" si="4"/>
        <v/>
      </c>
      <c r="I59" t="str">
        <f t="shared" ca="1" si="5"/>
        <v>接下来我们来看第六个灯L6等于B1加B6加B7等于B1加B1</v>
      </c>
      <c r="J59" s="1">
        <f t="shared" ca="1" si="6"/>
        <v>1.7527777777777778E-3</v>
      </c>
      <c r="K59" s="1" t="b">
        <f t="shared" ca="1" si="7"/>
        <v>0</v>
      </c>
    </row>
    <row r="60" spans="1:11" x14ac:dyDescent="0.3">
      <c r="A60">
        <v>61</v>
      </c>
      <c r="B60" s="11">
        <v>1.7763888888888888E-3</v>
      </c>
      <c r="C60" s="11">
        <v>1.7828703703703702E-3</v>
      </c>
      <c r="D60" t="str">
        <f ca="1">srt!C59</f>
        <v>加B2加B1加B2加B3等于B1加B3，</v>
      </c>
      <c r="E60" t="str">
        <f t="shared" ca="1" si="1"/>
        <v>，</v>
      </c>
      <c r="F60" t="b">
        <f t="shared" ca="1" si="2"/>
        <v>0</v>
      </c>
      <c r="G60">
        <f t="shared" ca="1" si="3"/>
        <v>19</v>
      </c>
      <c r="H60" t="str">
        <f t="shared" ca="1" si="4"/>
        <v/>
      </c>
      <c r="I60" t="str">
        <f t="shared" ca="1" si="5"/>
        <v>接下来我们来看第六个灯L6等于B1加B6加B7等于B1加B1加B2加B1加B2加B3等于B1加B3，</v>
      </c>
      <c r="J60" s="1">
        <f t="shared" ca="1" si="6"/>
        <v>1.7527777777777778E-3</v>
      </c>
      <c r="K60" s="1" t="b">
        <f t="shared" ca="1" si="7"/>
        <v>0</v>
      </c>
    </row>
    <row r="61" spans="1:11" x14ac:dyDescent="0.3">
      <c r="A61">
        <v>62</v>
      </c>
      <c r="B61" s="11">
        <v>1.7833333333333332E-3</v>
      </c>
      <c r="C61" s="11">
        <v>1.8074074074074073E-3</v>
      </c>
      <c r="D61" t="str">
        <f ca="1">srt!C60</f>
        <v>又比如。</v>
      </c>
      <c r="E61" t="str">
        <f t="shared" ca="1" si="1"/>
        <v>。</v>
      </c>
      <c r="F61" t="b">
        <f t="shared" ca="1" si="2"/>
        <v>1</v>
      </c>
      <c r="G61">
        <f t="shared" ca="1" si="3"/>
        <v>19</v>
      </c>
      <c r="H61">
        <f t="shared" ca="1" si="4"/>
        <v>19</v>
      </c>
      <c r="I61" t="str">
        <f t="shared" ca="1" si="5"/>
        <v>接下来我们来看第六个灯L6等于B1加B6加B7等于B1加B1加B2加B1加B2加B3等于B1加B3，又比如。</v>
      </c>
      <c r="J61" s="1">
        <f t="shared" ca="1" si="6"/>
        <v>1.7527777777777778E-3</v>
      </c>
      <c r="K61" s="1">
        <f t="shared" ca="1" si="7"/>
        <v>1.8074074074074073E-3</v>
      </c>
    </row>
    <row r="62" spans="1:11" x14ac:dyDescent="0.3">
      <c r="A62">
        <v>63</v>
      </c>
      <c r="B62" s="11">
        <v>1.8087962962962964E-3</v>
      </c>
      <c r="C62" s="11">
        <v>1.8273148148148148E-3</v>
      </c>
      <c r="D62" t="str">
        <f ca="1">srt!C61</f>
        <v>L7等于B2加B6加B7加B8等于B2加非B1加B2加非B1</v>
      </c>
      <c r="E62" t="str">
        <f t="shared" ca="1" si="1"/>
        <v>1</v>
      </c>
      <c r="F62" t="b">
        <f t="shared" ca="1" si="2"/>
        <v>0</v>
      </c>
      <c r="G62">
        <f t="shared" ca="1" si="3"/>
        <v>20</v>
      </c>
      <c r="H62" t="str">
        <f t="shared" ca="1" si="4"/>
        <v/>
      </c>
      <c r="I62" t="str">
        <f t="shared" ca="1" si="5"/>
        <v>L7等于B2加B6加B7加B8等于B2加非B1加B2加非B1</v>
      </c>
      <c r="J62" s="1">
        <f t="shared" ca="1" si="6"/>
        <v>1.8087962962962964E-3</v>
      </c>
      <c r="K62" s="1" t="b">
        <f t="shared" ca="1" si="7"/>
        <v>0</v>
      </c>
    </row>
    <row r="63" spans="1:11" x14ac:dyDescent="0.3">
      <c r="A63">
        <v>64</v>
      </c>
      <c r="B63" s="11">
        <v>1.8273148148148148E-3</v>
      </c>
      <c r="C63" s="11">
        <v>1.8606481481481479E-3</v>
      </c>
      <c r="D63" t="str">
        <f ca="1">srt!C62</f>
        <v>加B2加B3加非B2加B3加B4等于非B4。</v>
      </c>
      <c r="E63" t="str">
        <f t="shared" ca="1" si="1"/>
        <v>。</v>
      </c>
      <c r="F63" t="b">
        <f t="shared" ca="1" si="2"/>
        <v>1</v>
      </c>
      <c r="G63">
        <f t="shared" ca="1" si="3"/>
        <v>20</v>
      </c>
      <c r="H63">
        <f t="shared" ca="1" si="4"/>
        <v>20</v>
      </c>
      <c r="I63" t="str">
        <f t="shared" ca="1" si="5"/>
        <v>L7等于B2加B6加B7加B8等于B2加非B1加B2加非B1加B2加B3加非B2加B3加B4等于非B4。</v>
      </c>
      <c r="J63" s="1">
        <f t="shared" ca="1" si="6"/>
        <v>1.8087962962962964E-3</v>
      </c>
      <c r="K63" s="1">
        <f t="shared" ca="1" si="7"/>
        <v>1.8606481481481479E-3</v>
      </c>
    </row>
    <row r="64" spans="1:11" x14ac:dyDescent="0.3">
      <c r="A64">
        <v>65</v>
      </c>
      <c r="B64" s="11">
        <v>1.8606481481481479E-3</v>
      </c>
      <c r="C64" s="11">
        <v>1.8976851851851852E-3</v>
      </c>
      <c r="D64" t="str">
        <f ca="1">srt!C63</f>
        <v>这样不断递推，</v>
      </c>
      <c r="E64" t="str">
        <f t="shared" ca="1" si="1"/>
        <v>，</v>
      </c>
      <c r="F64" t="b">
        <f t="shared" ca="1" si="2"/>
        <v>0</v>
      </c>
      <c r="G64">
        <f t="shared" ca="1" si="3"/>
        <v>21</v>
      </c>
      <c r="H64" t="str">
        <f t="shared" ca="1" si="4"/>
        <v/>
      </c>
      <c r="I64" t="str">
        <f t="shared" ca="1" si="5"/>
        <v>这样不断递推，</v>
      </c>
      <c r="J64" s="1">
        <f t="shared" ca="1" si="6"/>
        <v>1.8606481481481479E-3</v>
      </c>
      <c r="K64" s="1" t="b">
        <f t="shared" ca="1" si="7"/>
        <v>0</v>
      </c>
    </row>
    <row r="65" spans="1:11" x14ac:dyDescent="0.3">
      <c r="A65">
        <v>66</v>
      </c>
      <c r="B65" s="11">
        <v>1.8976851851851852E-3</v>
      </c>
      <c r="C65" s="11">
        <v>1.9194444444444445E-3</v>
      </c>
      <c r="D65" t="str">
        <f ca="1">srt!C64</f>
        <v>我们可以将任意L表示为B1到B5的叠加，</v>
      </c>
      <c r="E65" t="str">
        <f t="shared" ca="1" si="1"/>
        <v>，</v>
      </c>
      <c r="F65" t="b">
        <f t="shared" ca="1" si="2"/>
        <v>0</v>
      </c>
      <c r="G65">
        <f t="shared" ca="1" si="3"/>
        <v>21</v>
      </c>
      <c r="H65" t="str">
        <f t="shared" ca="1" si="4"/>
        <v/>
      </c>
      <c r="I65" t="str">
        <f t="shared" ca="1" si="5"/>
        <v>这样不断递推，我们可以将任意L表示为B1到B5的叠加，</v>
      </c>
      <c r="J65" s="1">
        <f t="shared" ca="1" si="6"/>
        <v>1.8606481481481479E-3</v>
      </c>
      <c r="K65" s="1" t="b">
        <f t="shared" ca="1" si="7"/>
        <v>0</v>
      </c>
    </row>
    <row r="66" spans="1:11" x14ac:dyDescent="0.3">
      <c r="A66">
        <v>67</v>
      </c>
      <c r="B66" s="11">
        <v>1.925462962962963E-3</v>
      </c>
      <c r="C66" s="11">
        <v>1.9462962962962962E-3</v>
      </c>
      <c r="D66" t="str">
        <f ca="1">srt!C65</f>
        <v>加上翻转后得到完整的矩阵。</v>
      </c>
      <c r="E66" t="str">
        <f t="shared" ca="1" si="1"/>
        <v>。</v>
      </c>
      <c r="F66" t="b">
        <f t="shared" ca="1" si="2"/>
        <v>1</v>
      </c>
      <c r="G66">
        <f t="shared" ca="1" si="3"/>
        <v>21</v>
      </c>
      <c r="H66">
        <f t="shared" ca="1" si="4"/>
        <v>21</v>
      </c>
      <c r="I66" t="str">
        <f t="shared" ca="1" si="5"/>
        <v>这样不断递推，我们可以将任意L表示为B1到B5的叠加，加上翻转后得到完整的矩阵。</v>
      </c>
      <c r="J66" s="1">
        <f t="shared" ca="1" si="6"/>
        <v>1.8606481481481479E-3</v>
      </c>
      <c r="K66" s="1">
        <f t="shared" ca="1" si="7"/>
        <v>1.9462962962962962E-3</v>
      </c>
    </row>
    <row r="67" spans="1:11" x14ac:dyDescent="0.3">
      <c r="A67">
        <v>68</v>
      </c>
      <c r="B67" s="11">
        <v>1.9462962962962962E-3</v>
      </c>
      <c r="C67" s="11">
        <v>1.9745370370370368E-3</v>
      </c>
      <c r="D67" t="str">
        <f ca="1">srt!C66</f>
        <v>现在如果我们把序号1到25用坐标X和Y表示，</v>
      </c>
      <c r="E67" t="str">
        <f t="shared" ca="1" si="1"/>
        <v>，</v>
      </c>
      <c r="F67" t="b">
        <f t="shared" ca="1" si="2"/>
        <v>0</v>
      </c>
      <c r="G67">
        <f t="shared" ca="1" si="3"/>
        <v>22</v>
      </c>
      <c r="H67" t="str">
        <f t="shared" ca="1" si="4"/>
        <v/>
      </c>
      <c r="I67" t="str">
        <f t="shared" ca="1" si="5"/>
        <v>现在如果我们把序号1到25用坐标X和Y表示，</v>
      </c>
      <c r="J67" s="1">
        <f t="shared" ca="1" si="6"/>
        <v>1.9462962962962962E-3</v>
      </c>
      <c r="K67" s="1" t="b">
        <f t="shared" ca="1" si="7"/>
        <v>0</v>
      </c>
    </row>
    <row r="68" spans="1:11" x14ac:dyDescent="0.3">
      <c r="A68">
        <v>69</v>
      </c>
      <c r="B68" s="11">
        <v>1.9745370370370368E-3</v>
      </c>
      <c r="C68" s="11">
        <v>2.0083333333333333E-3</v>
      </c>
      <c r="D68" t="str">
        <f ca="1">srt!C67</f>
        <v>则按钮和灯可写为以上公式。</v>
      </c>
      <c r="E68" t="str">
        <f t="shared" ref="E68:E131" ca="1" si="8">RIGHT(D68,1)</f>
        <v>。</v>
      </c>
      <c r="F68" t="b">
        <f t="shared" ref="F68:F131" ca="1" si="9">OR(E68="。",E68="？", E68="！")</f>
        <v>1</v>
      </c>
      <c r="G68">
        <f t="shared" ref="G68:G131" ca="1" si="10">F67+G67</f>
        <v>22</v>
      </c>
      <c r="H68">
        <f t="shared" ref="H68:H131" ca="1" si="11">IF(F68,G68,"")</f>
        <v>22</v>
      </c>
      <c r="I68" t="str">
        <f t="shared" ref="I68:I131" ca="1" si="12">IF(F67,D68,I67&amp;D68)</f>
        <v>现在如果我们把序号1到25用坐标X和Y表示，则按钮和灯可写为以上公式。</v>
      </c>
      <c r="J68" s="1">
        <f t="shared" ref="J68:J131" ca="1" si="13">IF(F67,B68,J67)</f>
        <v>1.9462962962962962E-3</v>
      </c>
      <c r="K68" s="1">
        <f t="shared" ref="K68:K131" ca="1" si="14">IF(F68,C68)</f>
        <v>2.0083333333333333E-3</v>
      </c>
    </row>
    <row r="69" spans="1:11" x14ac:dyDescent="0.3">
      <c r="A69">
        <v>70</v>
      </c>
      <c r="B69" s="11">
        <v>2.0097222222222222E-3</v>
      </c>
      <c r="C69" s="11">
        <v>2.0537037037037039E-3</v>
      </c>
      <c r="D69" t="str">
        <f ca="1">srt!C68</f>
        <v>让我们以L72等于L222为例，</v>
      </c>
      <c r="E69" t="str">
        <f t="shared" ca="1" si="8"/>
        <v>，</v>
      </c>
      <c r="F69" t="b">
        <f t="shared" ca="1" si="9"/>
        <v>0</v>
      </c>
      <c r="G69">
        <f t="shared" ca="1" si="10"/>
        <v>23</v>
      </c>
      <c r="H69" t="str">
        <f t="shared" ca="1" si="11"/>
        <v/>
      </c>
      <c r="I69" t="str">
        <f t="shared" ca="1" si="12"/>
        <v>让我们以L72等于L222为例，</v>
      </c>
      <c r="J69" s="1">
        <f t="shared" ca="1" si="13"/>
        <v>2.0097222222222222E-3</v>
      </c>
      <c r="K69" s="1" t="b">
        <f t="shared" ca="1" si="14"/>
        <v>0</v>
      </c>
    </row>
    <row r="70" spans="1:11" x14ac:dyDescent="0.3">
      <c r="A70">
        <v>71</v>
      </c>
      <c r="B70" s="11">
        <v>2.0546296296296298E-3</v>
      </c>
      <c r="C70" s="11">
        <v>2.0902777777777777E-3</v>
      </c>
      <c r="D70" t="str">
        <f ca="1">srt!C69</f>
        <v>这里我们的矩阵同时满足另一个性质，</v>
      </c>
      <c r="E70" t="str">
        <f t="shared" ca="1" si="8"/>
        <v>，</v>
      </c>
      <c r="F70" t="b">
        <f t="shared" ca="1" si="9"/>
        <v>0</v>
      </c>
      <c r="G70">
        <f t="shared" ca="1" si="10"/>
        <v>23</v>
      </c>
      <c r="H70" t="str">
        <f t="shared" ca="1" si="11"/>
        <v/>
      </c>
      <c r="I70" t="str">
        <f t="shared" ca="1" si="12"/>
        <v>让我们以L72等于L222为例，这里我们的矩阵同时满足另一个性质，</v>
      </c>
      <c r="J70" s="1">
        <f t="shared" ca="1" si="13"/>
        <v>2.0097222222222222E-3</v>
      </c>
      <c r="K70" s="1" t="b">
        <f t="shared" ca="1" si="14"/>
        <v>0</v>
      </c>
    </row>
    <row r="71" spans="1:11" x14ac:dyDescent="0.3">
      <c r="A71">
        <v>72</v>
      </c>
      <c r="B71" s="11">
        <v>2.0912037037037036E-3</v>
      </c>
      <c r="C71" s="11">
        <v>2.1259259259259261E-3</v>
      </c>
      <c r="D71" t="str">
        <f ca="1">srt!C70</f>
        <v>让我们称之为十字偶校验约束，</v>
      </c>
      <c r="E71" t="str">
        <f t="shared" ca="1" si="8"/>
        <v>，</v>
      </c>
      <c r="F71" t="b">
        <f t="shared" ca="1" si="9"/>
        <v>0</v>
      </c>
      <c r="G71">
        <f t="shared" ca="1" si="10"/>
        <v>23</v>
      </c>
      <c r="H71" t="str">
        <f t="shared" ca="1" si="11"/>
        <v/>
      </c>
      <c r="I71" t="str">
        <f t="shared" ca="1" si="12"/>
        <v>让我们以L72等于L222为例，这里我们的矩阵同时满足另一个性质，让我们称之为十字偶校验约束，</v>
      </c>
      <c r="J71" s="1">
        <f t="shared" ca="1" si="13"/>
        <v>2.0097222222222222E-3</v>
      </c>
      <c r="K71" s="1" t="b">
        <f t="shared" ca="1" si="14"/>
        <v>0</v>
      </c>
    </row>
    <row r="72" spans="1:11" x14ac:dyDescent="0.3">
      <c r="A72">
        <v>73</v>
      </c>
      <c r="B72" s="11">
        <v>2.1277777777777779E-3</v>
      </c>
      <c r="C72" s="11">
        <v>2.1472222222222222E-3</v>
      </c>
      <c r="D72" t="str">
        <f ca="1">srt!C71</f>
        <v>某个元素的左右两个矩阵的对应位置的元素和元素所在矩阵左右两个</v>
      </c>
      <c r="E72" t="str">
        <f t="shared" ca="1" si="8"/>
        <v>个</v>
      </c>
      <c r="F72" t="b">
        <f t="shared" ca="1" si="9"/>
        <v>0</v>
      </c>
      <c r="G72">
        <f t="shared" ca="1" si="10"/>
        <v>23</v>
      </c>
      <c r="H72" t="str">
        <f t="shared" ca="1" si="11"/>
        <v/>
      </c>
      <c r="I72" t="str">
        <f t="shared" ca="1" si="12"/>
        <v>让我们以L72等于L222为例，这里我们的矩阵同时满足另一个性质，让我们称之为十字偶校验约束，某个元素的左右两个矩阵的对应位置的元素和元素所在矩阵左右两个</v>
      </c>
      <c r="J72" s="1">
        <f t="shared" ca="1" si="13"/>
        <v>2.0097222222222222E-3</v>
      </c>
      <c r="K72" s="1" t="b">
        <f t="shared" ca="1" si="14"/>
        <v>0</v>
      </c>
    </row>
    <row r="73" spans="1:11" x14ac:dyDescent="0.3">
      <c r="A73">
        <v>74</v>
      </c>
      <c r="B73" s="11">
        <v>2.1486111111111111E-3</v>
      </c>
      <c r="C73" s="11">
        <v>2.1763888888888887E-3</v>
      </c>
      <c r="D73" t="str">
        <f ca="1">srt!C72</f>
        <v>元素的叠加后为零，</v>
      </c>
      <c r="E73" t="str">
        <f t="shared" ca="1" si="8"/>
        <v>，</v>
      </c>
      <c r="F73" t="b">
        <f t="shared" ca="1" si="9"/>
        <v>0</v>
      </c>
      <c r="G73">
        <f t="shared" ca="1" si="10"/>
        <v>23</v>
      </c>
      <c r="H73" t="str">
        <f t="shared" ca="1" si="11"/>
        <v/>
      </c>
      <c r="I73" t="str">
        <f t="shared" ca="1" si="12"/>
        <v>让我们以L72等于L222为例，这里我们的矩阵同时满足另一个性质，让我们称之为十字偶校验约束，某个元素的左右两个矩阵的对应位置的元素和元素所在矩阵左右两个元素的叠加后为零，</v>
      </c>
      <c r="J73" s="1">
        <f t="shared" ca="1" si="13"/>
        <v>2.0097222222222222E-3</v>
      </c>
      <c r="K73" s="1" t="b">
        <f t="shared" ca="1" si="14"/>
        <v>0</v>
      </c>
    </row>
    <row r="74" spans="1:11" x14ac:dyDescent="0.3">
      <c r="A74">
        <v>75</v>
      </c>
      <c r="B74" s="11">
        <v>2.1782407407407406E-3</v>
      </c>
      <c r="C74" s="11">
        <v>2.2092592592592593E-3</v>
      </c>
      <c r="D74" t="str">
        <f ca="1">srt!C73</f>
        <v>这也就是上集视频中优化生成矩阵章节中的性质之后会给出证明，</v>
      </c>
      <c r="E74" t="str">
        <f t="shared" ca="1" si="8"/>
        <v>，</v>
      </c>
      <c r="F74" t="b">
        <f t="shared" ca="1" si="9"/>
        <v>0</v>
      </c>
      <c r="G74">
        <f t="shared" ca="1" si="10"/>
        <v>23</v>
      </c>
      <c r="H74" t="str">
        <f t="shared" ca="1" si="11"/>
        <v/>
      </c>
      <c r="I74" t="str">
        <f t="shared" ca="1" si="12"/>
        <v>让我们以L72等于L222为例，这里我们的矩阵同时满足另一个性质，让我们称之为十字偶校验约束，某个元素的左右两个矩阵的对应位置的元素和元素所在矩阵左右两个元素的叠加后为零，这也就是上集视频中优化生成矩阵章节中的性质之后会给出证明，</v>
      </c>
      <c r="J74" s="1">
        <f t="shared" ca="1" si="13"/>
        <v>2.0097222222222222E-3</v>
      </c>
      <c r="K74" s="1" t="b">
        <f t="shared" ca="1" si="14"/>
        <v>0</v>
      </c>
    </row>
    <row r="75" spans="1:11" x14ac:dyDescent="0.3">
      <c r="A75">
        <v>76</v>
      </c>
      <c r="B75" s="11">
        <v>2.2106481481481482E-3</v>
      </c>
      <c r="C75" s="11">
        <v>2.2259259259259259E-3</v>
      </c>
      <c r="D75" t="str">
        <f ca="1">srt!C74</f>
        <v>通过这个性质。</v>
      </c>
      <c r="E75" t="str">
        <f t="shared" ca="1" si="8"/>
        <v>。</v>
      </c>
      <c r="F75" t="b">
        <f t="shared" ca="1" si="9"/>
        <v>1</v>
      </c>
      <c r="G75">
        <f t="shared" ca="1" si="10"/>
        <v>23</v>
      </c>
      <c r="H75">
        <f t="shared" ca="1" si="11"/>
        <v>23</v>
      </c>
      <c r="I75" t="str">
        <f t="shared" ca="1" si="12"/>
        <v>让我们以L72等于L222为例，这里我们的矩阵同时满足另一个性质，让我们称之为十字偶校验约束，某个元素的左右两个矩阵的对应位置的元素和元素所在矩阵左右两个元素的叠加后为零，这也就是上集视频中优化生成矩阵章节中的性质之后会给出证明，通过这个性质。</v>
      </c>
      <c r="J75" s="1">
        <f t="shared" ca="1" si="13"/>
        <v>2.0097222222222222E-3</v>
      </c>
      <c r="K75" s="1">
        <f t="shared" ca="1" si="14"/>
        <v>2.2259259259259259E-3</v>
      </c>
    </row>
    <row r="76" spans="1:11" x14ac:dyDescent="0.3">
      <c r="A76">
        <v>77</v>
      </c>
      <c r="B76" s="11">
        <v>2.2263888888888889E-3</v>
      </c>
      <c r="C76" s="11">
        <v>2.2611111111111113E-3</v>
      </c>
      <c r="D76" t="str">
        <f ca="1">srt!C75</f>
        <v>递推公式可化为只根据当前矩阵的元素来叠加，</v>
      </c>
      <c r="E76" t="str">
        <f t="shared" ca="1" si="8"/>
        <v>，</v>
      </c>
      <c r="F76" t="b">
        <f t="shared" ca="1" si="9"/>
        <v>0</v>
      </c>
      <c r="G76">
        <f t="shared" ca="1" si="10"/>
        <v>24</v>
      </c>
      <c r="H76" t="str">
        <f t="shared" ca="1" si="11"/>
        <v/>
      </c>
      <c r="I76" t="str">
        <f t="shared" ca="1" si="12"/>
        <v>递推公式可化为只根据当前矩阵的元素来叠加，</v>
      </c>
      <c r="J76" s="1">
        <f t="shared" ca="1" si="13"/>
        <v>2.2263888888888889E-3</v>
      </c>
      <c r="K76" s="1" t="b">
        <f t="shared" ca="1" si="14"/>
        <v>0</v>
      </c>
    </row>
    <row r="77" spans="1:11" x14ac:dyDescent="0.3">
      <c r="A77">
        <v>78</v>
      </c>
      <c r="B77" s="11">
        <v>2.2629629629629631E-3</v>
      </c>
      <c r="C77" s="11">
        <v>2.2694444444444442E-3</v>
      </c>
      <c r="D77" t="str">
        <f ca="1">srt!C76</f>
        <v>无需依赖于左右矩阵，</v>
      </c>
      <c r="E77" t="str">
        <f t="shared" ca="1" si="8"/>
        <v>，</v>
      </c>
      <c r="F77" t="b">
        <f t="shared" ca="1" si="9"/>
        <v>0</v>
      </c>
      <c r="G77">
        <f t="shared" ca="1" si="10"/>
        <v>24</v>
      </c>
      <c r="H77" t="str">
        <f t="shared" ca="1" si="11"/>
        <v/>
      </c>
      <c r="I77" t="str">
        <f t="shared" ca="1" si="12"/>
        <v>递推公式可化为只根据当前矩阵的元素来叠加，无需依赖于左右矩阵，</v>
      </c>
      <c r="J77" s="1">
        <f t="shared" ca="1" si="13"/>
        <v>2.2263888888888889E-3</v>
      </c>
      <c r="K77" s="1" t="b">
        <f t="shared" ca="1" si="14"/>
        <v>0</v>
      </c>
    </row>
    <row r="78" spans="1:11" x14ac:dyDescent="0.3">
      <c r="A78">
        <v>79</v>
      </c>
      <c r="B78" s="11">
        <v>2.2694444444444442E-3</v>
      </c>
      <c r="C78" s="11">
        <v>2.3189814814814818E-3</v>
      </c>
      <c r="D78" t="str">
        <f ca="1">srt!C77</f>
        <v>因此我们可以在公式中去除外，</v>
      </c>
      <c r="E78" t="str">
        <f t="shared" ca="1" si="8"/>
        <v>，</v>
      </c>
      <c r="F78" t="b">
        <f t="shared" ca="1" si="9"/>
        <v>0</v>
      </c>
      <c r="G78">
        <f t="shared" ca="1" si="10"/>
        <v>24</v>
      </c>
      <c r="H78" t="str">
        <f t="shared" ca="1" si="11"/>
        <v/>
      </c>
      <c r="I78" t="str">
        <f t="shared" ca="1" si="12"/>
        <v>递推公式可化为只根据当前矩阵的元素来叠加，无需依赖于左右矩阵，因此我们可以在公式中去除外，</v>
      </c>
      <c r="J78" s="1">
        <f t="shared" ca="1" si="13"/>
        <v>2.2263888888888889E-3</v>
      </c>
      <c r="K78" s="1" t="b">
        <f t="shared" ca="1" si="14"/>
        <v>0</v>
      </c>
    </row>
    <row r="79" spans="1:11" x14ac:dyDescent="0.3">
      <c r="A79">
        <v>80</v>
      </c>
      <c r="B79" s="11">
        <v>2.3199074074074072E-3</v>
      </c>
      <c r="C79" s="11">
        <v>2.3643518518518519E-3</v>
      </c>
      <c r="D79" t="str">
        <f ca="1">srt!C78</f>
        <v>于是灯可以表示为当前矩阵的上左中右的按钮的叠加，</v>
      </c>
      <c r="E79" t="str">
        <f t="shared" ca="1" si="8"/>
        <v>，</v>
      </c>
      <c r="F79" t="b">
        <f t="shared" ca="1" si="9"/>
        <v>0</v>
      </c>
      <c r="G79">
        <f t="shared" ca="1" si="10"/>
        <v>24</v>
      </c>
      <c r="H79" t="str">
        <f t="shared" ca="1" si="11"/>
        <v/>
      </c>
      <c r="I79" t="str">
        <f t="shared" ca="1" si="12"/>
        <v>递推公式可化为只根据当前矩阵的元素来叠加，无需依赖于左右矩阵，因此我们可以在公式中去除外，于是灯可以表示为当前矩阵的上左中右的按钮的叠加，</v>
      </c>
      <c r="J79" s="1">
        <f t="shared" ca="1" si="13"/>
        <v>2.2263888888888889E-3</v>
      </c>
      <c r="K79" s="1" t="b">
        <f t="shared" ca="1" si="14"/>
        <v>0</v>
      </c>
    </row>
    <row r="80" spans="1:11" x14ac:dyDescent="0.3">
      <c r="A80">
        <v>81</v>
      </c>
      <c r="B80" s="11">
        <v>2.3648148148148148E-3</v>
      </c>
      <c r="C80" s="11">
        <v>2.3898148148148147E-3</v>
      </c>
      <c r="D80" t="str">
        <f ca="1">srt!C79</f>
        <v>又因为后一行的按钮是前一行灯的翻转，</v>
      </c>
      <c r="E80" t="str">
        <f t="shared" ca="1" si="8"/>
        <v>，</v>
      </c>
      <c r="F80" t="b">
        <f t="shared" ca="1" si="9"/>
        <v>0</v>
      </c>
      <c r="G80">
        <f t="shared" ca="1" si="10"/>
        <v>24</v>
      </c>
      <c r="H80" t="str">
        <f t="shared" ca="1" si="11"/>
        <v/>
      </c>
      <c r="I80" t="str">
        <f t="shared" ca="1" si="12"/>
        <v>递推公式可化为只根据当前矩阵的元素来叠加，无需依赖于左右矩阵，因此我们可以在公式中去除外，于是灯可以表示为当前矩阵的上左中右的按钮的叠加，又因为后一行的按钮是前一行灯的翻转，</v>
      </c>
      <c r="J80" s="1">
        <f t="shared" ca="1" si="13"/>
        <v>2.2263888888888889E-3</v>
      </c>
      <c r="K80" s="1" t="b">
        <f t="shared" ca="1" si="14"/>
        <v>0</v>
      </c>
    </row>
    <row r="81" spans="1:11" x14ac:dyDescent="0.3">
      <c r="A81">
        <v>82</v>
      </c>
      <c r="B81" s="11">
        <v>2.3898148148148147E-3</v>
      </c>
      <c r="C81" s="11">
        <v>2.4129629629629627E-3</v>
      </c>
      <c r="D81" t="str">
        <f ca="1">srt!C80</f>
        <v>而后一行的灯是上左中右的灯的翻转的叠加，</v>
      </c>
      <c r="E81" t="str">
        <f t="shared" ca="1" si="8"/>
        <v>，</v>
      </c>
      <c r="F81" t="b">
        <f t="shared" ca="1" si="9"/>
        <v>0</v>
      </c>
      <c r="G81">
        <f t="shared" ca="1" si="10"/>
        <v>24</v>
      </c>
      <c r="H81" t="str">
        <f t="shared" ca="1" si="11"/>
        <v/>
      </c>
      <c r="I81" t="str">
        <f t="shared" ca="1" si="12"/>
        <v>递推公式可化为只根据当前矩阵的元素来叠加，无需依赖于左右矩阵，因此我们可以在公式中去除外，于是灯可以表示为当前矩阵的上左中右的按钮的叠加，又因为后一行的按钮是前一行灯的翻转，而后一行的灯是上左中右的灯的翻转的叠加，</v>
      </c>
      <c r="J81" s="1">
        <f t="shared" ca="1" si="13"/>
        <v>2.2263888888888889E-3</v>
      </c>
      <c r="K81" s="1" t="b">
        <f t="shared" ca="1" si="14"/>
        <v>0</v>
      </c>
    </row>
    <row r="82" spans="1:11" x14ac:dyDescent="0.3">
      <c r="A82">
        <v>83</v>
      </c>
      <c r="B82" s="11">
        <v>2.4129629629629627E-3</v>
      </c>
      <c r="C82" s="11">
        <v>2.4398148148148148E-3</v>
      </c>
      <c r="D82" t="str">
        <f ca="1">srt!C81</f>
        <v>如果把翻转飞提取出来，</v>
      </c>
      <c r="E82" t="str">
        <f t="shared" ca="1" si="8"/>
        <v>，</v>
      </c>
      <c r="F82" t="b">
        <f t="shared" ca="1" si="9"/>
        <v>0</v>
      </c>
      <c r="G82">
        <f t="shared" ca="1" si="10"/>
        <v>24</v>
      </c>
      <c r="H82" t="str">
        <f t="shared" ca="1" si="11"/>
        <v/>
      </c>
      <c r="I82" t="str">
        <f t="shared" ca="1" si="12"/>
        <v>递推公式可化为只根据当前矩阵的元素来叠加，无需依赖于左右矩阵，因此我们可以在公式中去除外，于是灯可以表示为当前矩阵的上左中右的按钮的叠加，又因为后一行的按钮是前一行灯的翻转，而后一行的灯是上左中右的灯的翻转的叠加，如果把翻转飞提取出来，</v>
      </c>
      <c r="J82" s="1">
        <f t="shared" ca="1" si="13"/>
        <v>2.2263888888888889E-3</v>
      </c>
      <c r="K82" s="1" t="b">
        <f t="shared" ca="1" si="14"/>
        <v>0</v>
      </c>
    </row>
    <row r="83" spans="1:11" x14ac:dyDescent="0.3">
      <c r="A83">
        <v>84</v>
      </c>
      <c r="B83" s="11">
        <v>2.4402777777777778E-3</v>
      </c>
      <c r="C83" s="11">
        <v>2.4574074074074073E-3</v>
      </c>
      <c r="D83" t="str">
        <f ca="1">srt!C82</f>
        <v>便有了一开始的推导公式。</v>
      </c>
      <c r="E83" t="str">
        <f t="shared" ca="1" si="8"/>
        <v>。</v>
      </c>
      <c r="F83" t="b">
        <f t="shared" ca="1" si="9"/>
        <v>1</v>
      </c>
      <c r="G83">
        <f t="shared" ca="1" si="10"/>
        <v>24</v>
      </c>
      <c r="H83">
        <f t="shared" ca="1" si="11"/>
        <v>24</v>
      </c>
      <c r="I83" t="str">
        <f t="shared" ca="1" si="12"/>
        <v>递推公式可化为只根据当前矩阵的元素来叠加，无需依赖于左右矩阵，因此我们可以在公式中去除外，于是灯可以表示为当前矩阵的上左中右的按钮的叠加，又因为后一行的按钮是前一行灯的翻转，而后一行的灯是上左中右的灯的翻转的叠加，如果把翻转飞提取出来，便有了一开始的推导公式。</v>
      </c>
      <c r="J83" s="1">
        <f t="shared" ca="1" si="13"/>
        <v>2.2263888888888889E-3</v>
      </c>
      <c r="K83" s="1">
        <f t="shared" ca="1" si="14"/>
        <v>2.4574074074074073E-3</v>
      </c>
    </row>
    <row r="84" spans="1:11" x14ac:dyDescent="0.3">
      <c r="A84">
        <v>85</v>
      </c>
      <c r="B84" s="11">
        <v>2.4578703703703707E-3</v>
      </c>
      <c r="C84" s="11">
        <v>2.4856481481481479E-3</v>
      </c>
      <c r="D84" t="str">
        <f ca="1">srt!C83</f>
        <v>也就是按钮是前一行的左中右的按钮和上上行的按钮的叠加，</v>
      </c>
      <c r="E84" t="str">
        <f t="shared" ca="1" si="8"/>
        <v>，</v>
      </c>
      <c r="F84" t="b">
        <f t="shared" ca="1" si="9"/>
        <v>0</v>
      </c>
      <c r="G84">
        <f t="shared" ca="1" si="10"/>
        <v>25</v>
      </c>
      <c r="H84" t="str">
        <f t="shared" ca="1" si="11"/>
        <v/>
      </c>
      <c r="I84" t="str">
        <f t="shared" ca="1" si="12"/>
        <v>也就是按钮是前一行的左中右的按钮和上上行的按钮的叠加，</v>
      </c>
      <c r="J84" s="1">
        <f t="shared" ca="1" si="13"/>
        <v>2.4578703703703707E-3</v>
      </c>
      <c r="K84" s="1" t="b">
        <f t="shared" ca="1" si="14"/>
        <v>0</v>
      </c>
    </row>
    <row r="85" spans="1:11" x14ac:dyDescent="0.3">
      <c r="A85">
        <v>86</v>
      </c>
      <c r="B85" s="11">
        <v>2.4856481481481479E-3</v>
      </c>
      <c r="C85" s="11">
        <v>2.5175925925925925E-3</v>
      </c>
      <c r="D85" t="str">
        <f ca="1">srt!C84</f>
        <v>以及灯是前一行的左中右的按钮和上上行的灯的叠加，</v>
      </c>
      <c r="E85" t="str">
        <f t="shared" ca="1" si="8"/>
        <v>，</v>
      </c>
      <c r="F85" t="b">
        <f t="shared" ca="1" si="9"/>
        <v>0</v>
      </c>
      <c r="G85">
        <f t="shared" ca="1" si="10"/>
        <v>25</v>
      </c>
      <c r="H85" t="str">
        <f t="shared" ca="1" si="11"/>
        <v/>
      </c>
      <c r="I85" t="str">
        <f t="shared" ca="1" si="12"/>
        <v>也就是按钮是前一行的左中右的按钮和上上行的按钮的叠加，以及灯是前一行的左中右的按钮和上上行的灯的叠加，</v>
      </c>
      <c r="J85" s="1">
        <f t="shared" ca="1" si="13"/>
        <v>2.4578703703703707E-3</v>
      </c>
      <c r="K85" s="1" t="b">
        <f t="shared" ca="1" si="14"/>
        <v>0</v>
      </c>
    </row>
    <row r="86" spans="1:11" x14ac:dyDescent="0.3">
      <c r="A86">
        <v>87</v>
      </c>
      <c r="B86" s="11">
        <v>2.5175925925925925E-3</v>
      </c>
      <c r="C86" s="11">
        <v>2.5375000000000003E-3</v>
      </c>
      <c r="D86" t="str">
        <f ca="1">srt!C85</f>
        <v>可以注意到按钮和灯的递推公式具有相同的形式，</v>
      </c>
      <c r="E86" t="str">
        <f t="shared" ca="1" si="8"/>
        <v>，</v>
      </c>
      <c r="F86" t="b">
        <f t="shared" ca="1" si="9"/>
        <v>0</v>
      </c>
      <c r="G86">
        <f t="shared" ca="1" si="10"/>
        <v>25</v>
      </c>
      <c r="H86" t="str">
        <f t="shared" ca="1" si="11"/>
        <v/>
      </c>
      <c r="I86" t="str">
        <f t="shared" ca="1" si="12"/>
        <v>也就是按钮是前一行的左中右的按钮和上上行的按钮的叠加，以及灯是前一行的左中右的按钮和上上行的灯的叠加，可以注意到按钮和灯的递推公式具有相同的形式，</v>
      </c>
      <c r="J86" s="1">
        <f t="shared" ca="1" si="13"/>
        <v>2.4578703703703707E-3</v>
      </c>
      <c r="K86" s="1" t="b">
        <f t="shared" ca="1" si="14"/>
        <v>0</v>
      </c>
    </row>
    <row r="87" spans="1:11" x14ac:dyDescent="0.3">
      <c r="A87">
        <v>88</v>
      </c>
      <c r="B87" s="11">
        <v>2.5393518518518521E-3</v>
      </c>
      <c r="C87" s="11">
        <v>2.5726851851851852E-3</v>
      </c>
      <c r="D87" t="str">
        <f ca="1">srt!C86</f>
        <v>这是因为前一行灯就是后一行按钮，</v>
      </c>
      <c r="E87" t="str">
        <f t="shared" ca="1" si="8"/>
        <v>，</v>
      </c>
      <c r="F87" t="b">
        <f t="shared" ca="1" si="9"/>
        <v>0</v>
      </c>
      <c r="G87">
        <f t="shared" ca="1" si="10"/>
        <v>25</v>
      </c>
      <c r="H87" t="str">
        <f t="shared" ca="1" si="11"/>
        <v/>
      </c>
      <c r="I87" t="str">
        <f t="shared" ca="1" si="12"/>
        <v>也就是按钮是前一行的左中右的按钮和上上行的按钮的叠加，以及灯是前一行的左中右的按钮和上上行的灯的叠加，可以注意到按钮和灯的递推公式具有相同的形式，这是因为前一行灯就是后一行按钮，</v>
      </c>
      <c r="J87" s="1">
        <f t="shared" ca="1" si="13"/>
        <v>2.4578703703703707E-3</v>
      </c>
      <c r="K87" s="1" t="b">
        <f t="shared" ca="1" si="14"/>
        <v>0</v>
      </c>
    </row>
    <row r="88" spans="1:11" x14ac:dyDescent="0.3">
      <c r="A88">
        <v>89</v>
      </c>
      <c r="B88" s="11">
        <v>2.5736111111111112E-3</v>
      </c>
      <c r="C88" s="11">
        <v>2.586574074074074E-3</v>
      </c>
      <c r="D88" t="str">
        <f ca="1">srt!C87</f>
        <v>因为最终需要推倒的是灯，</v>
      </c>
      <c r="E88" t="str">
        <f t="shared" ca="1" si="8"/>
        <v>，</v>
      </c>
      <c r="F88" t="b">
        <f t="shared" ca="1" si="9"/>
        <v>0</v>
      </c>
      <c r="G88">
        <f t="shared" ca="1" si="10"/>
        <v>25</v>
      </c>
      <c r="H88" t="str">
        <f t="shared" ca="1" si="11"/>
        <v/>
      </c>
      <c r="I88" t="str">
        <f t="shared" ca="1" si="12"/>
        <v>也就是按钮是前一行的左中右的按钮和上上行的按钮的叠加，以及灯是前一行的左中右的按钮和上上行的灯的叠加，可以注意到按钮和灯的递推公式具有相同的形式，这是因为前一行灯就是后一行按钮，因为最终需要推倒的是灯，</v>
      </c>
      <c r="J88" s="1">
        <f t="shared" ca="1" si="13"/>
        <v>2.4578703703703707E-3</v>
      </c>
      <c r="K88" s="1" t="b">
        <f t="shared" ca="1" si="14"/>
        <v>0</v>
      </c>
    </row>
    <row r="89" spans="1:11" x14ac:dyDescent="0.3">
      <c r="A89">
        <v>90</v>
      </c>
      <c r="B89" s="11">
        <v>2.5902777777777777E-3</v>
      </c>
      <c r="C89" s="11">
        <v>2.6166666666666664E-3</v>
      </c>
      <c r="D89" t="str">
        <f ca="1">srt!C88</f>
        <v>因此灯是从按钮的第一行推到五行，</v>
      </c>
      <c r="E89" t="str">
        <f t="shared" ca="1" si="8"/>
        <v>，</v>
      </c>
      <c r="F89" t="b">
        <f t="shared" ca="1" si="9"/>
        <v>0</v>
      </c>
      <c r="G89">
        <f t="shared" ca="1" si="10"/>
        <v>25</v>
      </c>
      <c r="H89" t="str">
        <f t="shared" ca="1" si="11"/>
        <v/>
      </c>
      <c r="I89" t="str">
        <f t="shared" ca="1" si="12"/>
        <v>也就是按钮是前一行的左中右的按钮和上上行的按钮的叠加，以及灯是前一行的左中右的按钮和上上行的灯的叠加，可以注意到按钮和灯的递推公式具有相同的形式，这是因为前一行灯就是后一行按钮，因为最终需要推倒的是灯，因此灯是从按钮的第一行推到五行，</v>
      </c>
      <c r="J89" s="1">
        <f t="shared" ca="1" si="13"/>
        <v>2.4578703703703707E-3</v>
      </c>
      <c r="K89" s="1" t="b">
        <f t="shared" ca="1" si="14"/>
        <v>0</v>
      </c>
    </row>
    <row r="90" spans="1:11" x14ac:dyDescent="0.3">
      <c r="A90">
        <v>91</v>
      </c>
      <c r="B90" s="11">
        <v>2.6175925925925924E-3</v>
      </c>
      <c r="C90" s="11">
        <v>2.6398148148148145E-3</v>
      </c>
      <c r="D90" t="str">
        <f ca="1">srt!C89</f>
        <v>因为最后一次推倒的是灯。</v>
      </c>
      <c r="E90" t="str">
        <f t="shared" ca="1" si="8"/>
        <v>。</v>
      </c>
      <c r="F90" t="b">
        <f t="shared" ca="1" si="9"/>
        <v>1</v>
      </c>
      <c r="G90">
        <f t="shared" ca="1" si="10"/>
        <v>25</v>
      </c>
      <c r="H90">
        <f t="shared" ca="1" si="11"/>
        <v>25</v>
      </c>
      <c r="I90" t="str">
        <f t="shared" ca="1" si="12"/>
        <v>也就是按钮是前一行的左中右的按钮和上上行的按钮的叠加，以及灯是前一行的左中右的按钮和上上行的灯的叠加，可以注意到按钮和灯的递推公式具有相同的形式，这是因为前一行灯就是后一行按钮，因为最终需要推倒的是灯，因此灯是从按钮的第一行推到五行，因为最后一次推倒的是灯。</v>
      </c>
      <c r="J90" s="1">
        <f t="shared" ca="1" si="13"/>
        <v>2.4578703703703707E-3</v>
      </c>
      <c r="K90" s="1">
        <f t="shared" ca="1" si="14"/>
        <v>2.6398148148148145E-3</v>
      </c>
    </row>
    <row r="91" spans="1:11" x14ac:dyDescent="0.3">
      <c r="A91">
        <v>92</v>
      </c>
      <c r="B91" s="11">
        <v>2.6402777777777778E-3</v>
      </c>
      <c r="C91" s="11">
        <v>2.6574074074074074E-3</v>
      </c>
      <c r="D91" t="str">
        <f ca="1">srt!C90</f>
        <v>因此按钮也是5行，</v>
      </c>
      <c r="E91" t="str">
        <f t="shared" ca="1" si="8"/>
        <v>，</v>
      </c>
      <c r="F91" t="b">
        <f t="shared" ca="1" si="9"/>
        <v>0</v>
      </c>
      <c r="G91">
        <f t="shared" ca="1" si="10"/>
        <v>26</v>
      </c>
      <c r="H91" t="str">
        <f t="shared" ca="1" si="11"/>
        <v/>
      </c>
      <c r="I91" t="str">
        <f t="shared" ca="1" si="12"/>
        <v>因此按钮也是5行，</v>
      </c>
      <c r="J91" s="1">
        <f t="shared" ca="1" si="13"/>
        <v>2.6402777777777778E-3</v>
      </c>
      <c r="K91" s="1" t="b">
        <f t="shared" ca="1" si="14"/>
        <v>0</v>
      </c>
    </row>
    <row r="92" spans="1:11" x14ac:dyDescent="0.3">
      <c r="A92">
        <v>93</v>
      </c>
      <c r="B92" s="11">
        <v>2.6574074074074074E-3</v>
      </c>
      <c r="C92" s="11">
        <v>2.6870370370370368E-3</v>
      </c>
      <c r="D92" t="str">
        <f ca="1">srt!C91</f>
        <v>对于翻转的情况则可以单独列出来，</v>
      </c>
      <c r="E92" t="str">
        <f t="shared" ca="1" si="8"/>
        <v>，</v>
      </c>
      <c r="F92" t="b">
        <f t="shared" ca="1" si="9"/>
        <v>0</v>
      </c>
      <c r="G92">
        <f t="shared" ca="1" si="10"/>
        <v>26</v>
      </c>
      <c r="H92" t="str">
        <f t="shared" ca="1" si="11"/>
        <v/>
      </c>
      <c r="I92" t="str">
        <f t="shared" ca="1" si="12"/>
        <v>因此按钮也是5行，对于翻转的情况则可以单独列出来，</v>
      </c>
      <c r="J92" s="1">
        <f t="shared" ca="1" si="13"/>
        <v>2.6402777777777778E-3</v>
      </c>
      <c r="K92" s="1" t="b">
        <f t="shared" ca="1" si="14"/>
        <v>0</v>
      </c>
    </row>
    <row r="93" spans="1:11" x14ac:dyDescent="0.3">
      <c r="A93">
        <v>94</v>
      </c>
      <c r="B93" s="11">
        <v>2.6884259259259261E-3</v>
      </c>
      <c r="C93" s="11">
        <v>2.7236111111111111E-3</v>
      </c>
      <c r="D93" t="str">
        <f ca="1">srt!C92</f>
        <v>以类似的方法推导，</v>
      </c>
      <c r="E93" t="str">
        <f t="shared" ca="1" si="8"/>
        <v>，</v>
      </c>
      <c r="F93" t="b">
        <f t="shared" ca="1" si="9"/>
        <v>0</v>
      </c>
      <c r="G93">
        <f t="shared" ca="1" si="10"/>
        <v>26</v>
      </c>
      <c r="H93" t="str">
        <f t="shared" ca="1" si="11"/>
        <v/>
      </c>
      <c r="I93" t="str">
        <f t="shared" ca="1" si="12"/>
        <v>因此按钮也是5行，对于翻转的情况则可以单独列出来，以类似的方法推导，</v>
      </c>
      <c r="J93" s="1">
        <f t="shared" ca="1" si="13"/>
        <v>2.6402777777777778E-3</v>
      </c>
      <c r="K93" s="1" t="b">
        <f t="shared" ca="1" si="14"/>
        <v>0</v>
      </c>
    </row>
    <row r="94" spans="1:11" x14ac:dyDescent="0.3">
      <c r="A94">
        <v>95</v>
      </c>
      <c r="B94" s="11">
        <v>2.725E-3</v>
      </c>
      <c r="C94" s="11">
        <v>2.7574074074074076E-3</v>
      </c>
      <c r="D94" t="str">
        <f ca="1">srt!C93</f>
        <v>写成公式Y，</v>
      </c>
      <c r="E94" t="str">
        <f t="shared" ca="1" si="8"/>
        <v>，</v>
      </c>
      <c r="F94" t="b">
        <f t="shared" ca="1" si="9"/>
        <v>0</v>
      </c>
      <c r="G94">
        <f t="shared" ca="1" si="10"/>
        <v>26</v>
      </c>
      <c r="H94" t="str">
        <f t="shared" ca="1" si="11"/>
        <v/>
      </c>
      <c r="I94" t="str">
        <f t="shared" ca="1" si="12"/>
        <v>因此按钮也是5行，对于翻转的情况则可以单独列出来，以类似的方法推导，写成公式Y，</v>
      </c>
      <c r="J94" s="1">
        <f t="shared" ca="1" si="13"/>
        <v>2.6402777777777778E-3</v>
      </c>
      <c r="K94" s="1" t="b">
        <f t="shared" ca="1" si="14"/>
        <v>0</v>
      </c>
    </row>
    <row r="95" spans="1:11" x14ac:dyDescent="0.3">
      <c r="A95">
        <v>96</v>
      </c>
      <c r="B95" s="11">
        <v>2.7583333333333331E-3</v>
      </c>
      <c r="C95" s="11">
        <v>2.764351851851852E-3</v>
      </c>
      <c r="D95" t="str">
        <f ca="1">srt!C94</f>
        <v>即后一行的翻转是前一行左中右和上上行叠加后的翻转，</v>
      </c>
      <c r="E95" t="str">
        <f t="shared" ca="1" si="8"/>
        <v>，</v>
      </c>
      <c r="F95" t="b">
        <f t="shared" ca="1" si="9"/>
        <v>0</v>
      </c>
      <c r="G95">
        <f t="shared" ca="1" si="10"/>
        <v>26</v>
      </c>
      <c r="H95" t="str">
        <f t="shared" ca="1" si="11"/>
        <v/>
      </c>
      <c r="I95" t="str">
        <f t="shared" ca="1" si="12"/>
        <v>因此按钮也是5行，对于翻转的情况则可以单独列出来，以类似的方法推导，写成公式Y，即后一行的翻转是前一行左中右和上上行叠加后的翻转，</v>
      </c>
      <c r="J95" s="1">
        <f t="shared" ca="1" si="13"/>
        <v>2.6402777777777778E-3</v>
      </c>
      <c r="K95" s="1" t="b">
        <f t="shared" ca="1" si="14"/>
        <v>0</v>
      </c>
    </row>
    <row r="96" spans="1:11" x14ac:dyDescent="0.3">
      <c r="A96">
        <v>97</v>
      </c>
      <c r="B96" s="11">
        <v>2.7662037037037039E-3</v>
      </c>
      <c r="C96" s="11">
        <v>2.7902777777777778E-3</v>
      </c>
      <c r="D96" t="str">
        <f ca="1">srt!C95</f>
        <v>可以注意到这里的公式Y和公式B的推导公式是类似的，</v>
      </c>
      <c r="E96" t="str">
        <f t="shared" ca="1" si="8"/>
        <v>，</v>
      </c>
      <c r="F96" t="b">
        <f t="shared" ca="1" si="9"/>
        <v>0</v>
      </c>
      <c r="G96">
        <f t="shared" ca="1" si="10"/>
        <v>26</v>
      </c>
      <c r="H96" t="str">
        <f t="shared" ca="1" si="11"/>
        <v/>
      </c>
      <c r="I96" t="str">
        <f t="shared" ca="1" si="12"/>
        <v>因此按钮也是5行，对于翻转的情况则可以单独列出来，以类似的方法推导，写成公式Y，即后一行的翻转是前一行左中右和上上行叠加后的翻转，可以注意到这里的公式Y和公式B的推导公式是类似的，</v>
      </c>
      <c r="J96" s="1">
        <f t="shared" ca="1" si="13"/>
        <v>2.6402777777777778E-3</v>
      </c>
      <c r="K96" s="1" t="b">
        <f t="shared" ca="1" si="14"/>
        <v>0</v>
      </c>
    </row>
    <row r="97" spans="1:11" x14ac:dyDescent="0.3">
      <c r="A97">
        <v>98</v>
      </c>
      <c r="B97" s="11">
        <v>2.7916666666666667E-3</v>
      </c>
      <c r="C97" s="11">
        <v>2.828240740740741E-3</v>
      </c>
      <c r="D97" t="str">
        <f ca="1">srt!C96</f>
        <v>只不过Y是从零向量开始推导的，</v>
      </c>
      <c r="E97" t="str">
        <f t="shared" ca="1" si="8"/>
        <v>，</v>
      </c>
      <c r="F97" t="b">
        <f t="shared" ca="1" si="9"/>
        <v>0</v>
      </c>
      <c r="G97">
        <f t="shared" ca="1" si="10"/>
        <v>26</v>
      </c>
      <c r="H97" t="str">
        <f t="shared" ca="1" si="11"/>
        <v/>
      </c>
      <c r="I97" t="str">
        <f t="shared" ca="1" si="12"/>
        <v>因此按钮也是5行，对于翻转的情况则可以单独列出来，以类似的方法推导，写成公式Y，即后一行的翻转是前一行左中右和上上行叠加后的翻转，可以注意到这里的公式Y和公式B的推导公式是类似的，只不过Y是从零向量开始推导的，</v>
      </c>
      <c r="J97" s="1">
        <f t="shared" ca="1" si="13"/>
        <v>2.6402777777777778E-3</v>
      </c>
      <c r="K97" s="1" t="b">
        <f t="shared" ca="1" si="14"/>
        <v>0</v>
      </c>
    </row>
    <row r="98" spans="1:11" x14ac:dyDescent="0.3">
      <c r="A98">
        <v>99</v>
      </c>
      <c r="B98" s="11">
        <v>2.8287037037037039E-3</v>
      </c>
      <c r="C98" s="11">
        <v>2.8384259259259261E-3</v>
      </c>
      <c r="D98" t="str">
        <f ca="1">srt!C97</f>
        <v>并且不能省略翻转符号非。</v>
      </c>
      <c r="E98" t="str">
        <f t="shared" ca="1" si="8"/>
        <v>。</v>
      </c>
      <c r="F98" t="b">
        <f t="shared" ca="1" si="9"/>
        <v>1</v>
      </c>
      <c r="G98">
        <f t="shared" ca="1" si="10"/>
        <v>26</v>
      </c>
      <c r="H98">
        <f t="shared" ca="1" si="11"/>
        <v>26</v>
      </c>
      <c r="I98" t="str">
        <f t="shared" ca="1" si="12"/>
        <v>因此按钮也是5行，对于翻转的情况则可以单独列出来，以类似的方法推导，写成公式Y，即后一行的翻转是前一行左中右和上上行叠加后的翻转，可以注意到这里的公式Y和公式B的推导公式是类似的，只不过Y是从零向量开始推导的，并且不能省略翻转符号非。</v>
      </c>
      <c r="J98" s="1">
        <f t="shared" ca="1" si="13"/>
        <v>2.6402777777777778E-3</v>
      </c>
      <c r="K98" s="1">
        <f t="shared" ca="1" si="14"/>
        <v>2.8384259259259261E-3</v>
      </c>
    </row>
    <row r="99" spans="1:11" x14ac:dyDescent="0.3">
      <c r="A99">
        <v>100</v>
      </c>
      <c r="B99" s="11">
        <v>2.8384259259259261E-3</v>
      </c>
      <c r="C99" s="11">
        <v>2.8699074074074074E-3</v>
      </c>
      <c r="D99" t="str">
        <f ca="1">srt!C98</f>
        <v>一使用零向量，</v>
      </c>
      <c r="E99" t="str">
        <f t="shared" ca="1" si="8"/>
        <v>，</v>
      </c>
      <c r="F99" t="b">
        <f t="shared" ca="1" si="9"/>
        <v>0</v>
      </c>
      <c r="G99">
        <f t="shared" ca="1" si="10"/>
        <v>27</v>
      </c>
      <c r="H99" t="str">
        <f t="shared" ca="1" si="11"/>
        <v/>
      </c>
      <c r="I99" t="str">
        <f t="shared" ca="1" si="12"/>
        <v>一使用零向量，</v>
      </c>
      <c r="J99" s="1">
        <f t="shared" ca="1" si="13"/>
        <v>2.8384259259259261E-3</v>
      </c>
      <c r="K99" s="1" t="b">
        <f t="shared" ca="1" si="14"/>
        <v>0</v>
      </c>
    </row>
    <row r="100" spans="1:11" x14ac:dyDescent="0.3">
      <c r="A100">
        <v>101</v>
      </c>
      <c r="B100" s="11">
        <v>2.8708333333333333E-3</v>
      </c>
      <c r="C100" s="11">
        <v>2.8921296296296295E-3</v>
      </c>
      <c r="D100" t="str">
        <f ca="1">srt!C99</f>
        <v>第一次翻转发生在从一到二行的推导过程中，</v>
      </c>
      <c r="E100" t="str">
        <f t="shared" ca="1" si="8"/>
        <v>，</v>
      </c>
      <c r="F100" t="b">
        <f t="shared" ca="1" si="9"/>
        <v>0</v>
      </c>
      <c r="G100">
        <f t="shared" ca="1" si="10"/>
        <v>27</v>
      </c>
      <c r="H100" t="str">
        <f t="shared" ca="1" si="11"/>
        <v/>
      </c>
      <c r="I100" t="str">
        <f t="shared" ca="1" si="12"/>
        <v>一使用零向量，第一次翻转发生在从一到二行的推导过程中，</v>
      </c>
      <c r="J100" s="1">
        <f t="shared" ca="1" si="13"/>
        <v>2.8384259259259261E-3</v>
      </c>
      <c r="K100" s="1" t="b">
        <f t="shared" ca="1" si="14"/>
        <v>0</v>
      </c>
    </row>
    <row r="101" spans="1:11" x14ac:dyDescent="0.3">
      <c r="A101">
        <v>102</v>
      </c>
      <c r="B101" s="11">
        <v>2.8944444444444447E-3</v>
      </c>
      <c r="C101" s="11">
        <v>2.902777777777778E-3</v>
      </c>
      <c r="D101" t="str">
        <f ca="1">srt!C100</f>
        <v>在此之前没有发生过翻转，</v>
      </c>
      <c r="E101" t="str">
        <f t="shared" ca="1" si="8"/>
        <v>，</v>
      </c>
      <c r="F101" t="b">
        <f t="shared" ca="1" si="9"/>
        <v>0</v>
      </c>
      <c r="G101">
        <f t="shared" ca="1" si="10"/>
        <v>27</v>
      </c>
      <c r="H101" t="str">
        <f t="shared" ca="1" si="11"/>
        <v/>
      </c>
      <c r="I101" t="str">
        <f t="shared" ca="1" si="12"/>
        <v>一使用零向量，第一次翻转发生在从一到二行的推导过程中，在此之前没有发生过翻转，</v>
      </c>
      <c r="J101" s="1">
        <f t="shared" ca="1" si="13"/>
        <v>2.8384259259259261E-3</v>
      </c>
      <c r="K101" s="1" t="b">
        <f t="shared" ca="1" si="14"/>
        <v>0</v>
      </c>
    </row>
    <row r="102" spans="1:11" x14ac:dyDescent="0.3">
      <c r="A102">
        <v>103</v>
      </c>
      <c r="B102" s="11">
        <v>2.902777777777778E-3</v>
      </c>
      <c r="C102" s="11">
        <v>2.9462962962962963E-3</v>
      </c>
      <c r="D102" t="str">
        <f ca="1">srt!C101</f>
        <v>因此Y的第一行是全零，</v>
      </c>
      <c r="E102" t="str">
        <f t="shared" ca="1" si="8"/>
        <v>，</v>
      </c>
      <c r="F102" t="b">
        <f t="shared" ca="1" si="9"/>
        <v>0</v>
      </c>
      <c r="G102">
        <f t="shared" ca="1" si="10"/>
        <v>27</v>
      </c>
      <c r="H102" t="str">
        <f t="shared" ca="1" si="11"/>
        <v/>
      </c>
      <c r="I102" t="str">
        <f t="shared" ca="1" si="12"/>
        <v>一使用零向量，第一次翻转发生在从一到二行的推导过程中，在此之前没有发生过翻转，因此Y的第一行是全零，</v>
      </c>
      <c r="J102" s="1">
        <f t="shared" ca="1" si="13"/>
        <v>2.8384259259259261E-3</v>
      </c>
      <c r="K102" s="1" t="b">
        <f t="shared" ca="1" si="14"/>
        <v>0</v>
      </c>
    </row>
    <row r="103" spans="1:11" x14ac:dyDescent="0.3">
      <c r="A103">
        <v>104</v>
      </c>
      <c r="B103" s="11">
        <v>2.9467592592592592E-3</v>
      </c>
      <c r="C103" s="11">
        <v>2.9703703703703702E-3</v>
      </c>
      <c r="D103" t="str">
        <f ca="1">srt!C102</f>
        <v>二翻转符号非必须存在，</v>
      </c>
      <c r="E103" t="str">
        <f t="shared" ca="1" si="8"/>
        <v>，</v>
      </c>
      <c r="F103" t="b">
        <f t="shared" ca="1" si="9"/>
        <v>0</v>
      </c>
      <c r="G103">
        <f t="shared" ca="1" si="10"/>
        <v>27</v>
      </c>
      <c r="H103" t="str">
        <f t="shared" ca="1" si="11"/>
        <v/>
      </c>
      <c r="I103" t="str">
        <f t="shared" ca="1" si="12"/>
        <v>一使用零向量，第一次翻转发生在从一到二行的推导过程中，在此之前没有发生过翻转，因此Y的第一行是全零，二翻转符号非必须存在，</v>
      </c>
      <c r="J103" s="1">
        <f t="shared" ca="1" si="13"/>
        <v>2.8384259259259261E-3</v>
      </c>
      <c r="K103" s="1" t="b">
        <f t="shared" ca="1" si="14"/>
        <v>0</v>
      </c>
    </row>
    <row r="104" spans="1:11" x14ac:dyDescent="0.3">
      <c r="A104">
        <v>105</v>
      </c>
      <c r="B104" s="11">
        <v>2.9708333333333336E-3</v>
      </c>
      <c r="C104" s="11">
        <v>3.0037037037037033E-3</v>
      </c>
      <c r="D104" t="str">
        <f ca="1">srt!C103</f>
        <v>每次推导都需要翻转，</v>
      </c>
      <c r="E104" t="str">
        <f t="shared" ca="1" si="8"/>
        <v>，</v>
      </c>
      <c r="F104" t="b">
        <f t="shared" ca="1" si="9"/>
        <v>0</v>
      </c>
      <c r="G104">
        <f t="shared" ca="1" si="10"/>
        <v>27</v>
      </c>
      <c r="H104" t="str">
        <f t="shared" ca="1" si="11"/>
        <v/>
      </c>
      <c r="I104" t="str">
        <f t="shared" ca="1" si="12"/>
        <v>一使用零向量，第一次翻转发生在从一到二行的推导过程中，在此之前没有发生过翻转，因此Y的第一行是全零，二翻转符号非必须存在，每次推导都需要翻转，</v>
      </c>
      <c r="J104" s="1">
        <f t="shared" ca="1" si="13"/>
        <v>2.8384259259259261E-3</v>
      </c>
      <c r="K104" s="1" t="b">
        <f t="shared" ca="1" si="14"/>
        <v>0</v>
      </c>
    </row>
    <row r="105" spans="1:11" x14ac:dyDescent="0.3">
      <c r="A105">
        <v>106</v>
      </c>
      <c r="B105" s="11">
        <v>3.0055555555555556E-3</v>
      </c>
      <c r="C105" s="11">
        <v>3.0416666666666669E-3</v>
      </c>
      <c r="D105" t="str">
        <f ca="1">srt!C104</f>
        <v>因此不可省略，</v>
      </c>
      <c r="E105" t="str">
        <f t="shared" ca="1" si="8"/>
        <v>，</v>
      </c>
      <c r="F105" t="b">
        <f t="shared" ca="1" si="9"/>
        <v>0</v>
      </c>
      <c r="G105">
        <f t="shared" ca="1" si="10"/>
        <v>27</v>
      </c>
      <c r="H105" t="str">
        <f t="shared" ca="1" si="11"/>
        <v/>
      </c>
      <c r="I105" t="str">
        <f t="shared" ca="1" si="12"/>
        <v>一使用零向量，第一次翻转发生在从一到二行的推导过程中，在此之前没有发生过翻转，因此Y的第一行是全零，二翻转符号非必须存在，每次推导都需要翻转，因此不可省略，</v>
      </c>
      <c r="J105" s="1">
        <f t="shared" ca="1" si="13"/>
        <v>2.8384259259259261E-3</v>
      </c>
      <c r="K105" s="1" t="b">
        <f t="shared" ca="1" si="14"/>
        <v>0</v>
      </c>
    </row>
    <row r="106" spans="1:11" x14ac:dyDescent="0.3">
      <c r="A106">
        <v>107</v>
      </c>
      <c r="B106" s="11">
        <v>3.0430555555555558E-3</v>
      </c>
      <c r="C106" s="11">
        <v>3.0888888888888888E-3</v>
      </c>
      <c r="D106" t="str">
        <f ca="1">srt!C105</f>
        <v>而前者将这个翻转取出来了，</v>
      </c>
      <c r="E106" t="str">
        <f t="shared" ca="1" si="8"/>
        <v>，</v>
      </c>
      <c r="F106" t="b">
        <f t="shared" ca="1" si="9"/>
        <v>0</v>
      </c>
      <c r="G106">
        <f t="shared" ca="1" si="10"/>
        <v>27</v>
      </c>
      <c r="H106" t="str">
        <f t="shared" ca="1" si="11"/>
        <v/>
      </c>
      <c r="I106" t="str">
        <f t="shared" ca="1" si="12"/>
        <v>一使用零向量，第一次翻转发生在从一到二行的推导过程中，在此之前没有发生过翻转，因此Y的第一行是全零，二翻转符号非必须存在，每次推导都需要翻转，因此不可省略，而前者将这个翻转取出来了，</v>
      </c>
      <c r="J106" s="1">
        <f t="shared" ca="1" si="13"/>
        <v>2.8384259259259261E-3</v>
      </c>
      <c r="K106" s="1" t="b">
        <f t="shared" ca="1" si="14"/>
        <v>0</v>
      </c>
    </row>
    <row r="107" spans="1:11" x14ac:dyDescent="0.3">
      <c r="A107">
        <v>108</v>
      </c>
      <c r="B107" s="11">
        <v>3.0898148148148148E-3</v>
      </c>
      <c r="C107" s="11">
        <v>3.1541666666666667E-3</v>
      </c>
      <c r="D107" t="str">
        <f ca="1">srt!C106</f>
        <v>因此不用翻转符号飞，</v>
      </c>
      <c r="E107" t="str">
        <f t="shared" ca="1" si="8"/>
        <v>，</v>
      </c>
      <c r="F107" t="b">
        <f t="shared" ca="1" si="9"/>
        <v>0</v>
      </c>
      <c r="G107">
        <f t="shared" ca="1" si="10"/>
        <v>27</v>
      </c>
      <c r="H107" t="str">
        <f t="shared" ca="1" si="11"/>
        <v/>
      </c>
      <c r="I107" t="str">
        <f t="shared" ca="1" si="12"/>
        <v>一使用零向量，第一次翻转发生在从一到二行的推导过程中，在此之前没有发生过翻转，因此Y的第一行是全零，二翻转符号非必须存在，每次推导都需要翻转，因此不可省略，而前者将这个翻转取出来了，因此不用翻转符号飞，</v>
      </c>
      <c r="J107" s="1">
        <f t="shared" ca="1" si="13"/>
        <v>2.8384259259259261E-3</v>
      </c>
      <c r="K107" s="1" t="b">
        <f t="shared" ca="1" si="14"/>
        <v>0</v>
      </c>
    </row>
    <row r="108" spans="1:11" x14ac:dyDescent="0.3">
      <c r="A108">
        <v>109</v>
      </c>
      <c r="B108" s="11">
        <v>3.1555555555555555E-3</v>
      </c>
      <c r="C108" s="11">
        <v>3.1874999999999998E-3</v>
      </c>
      <c r="D108" t="str">
        <f ca="1">srt!C107</f>
        <v>三不使用X而使用Y。</v>
      </c>
      <c r="E108" t="str">
        <f t="shared" ca="1" si="8"/>
        <v>。</v>
      </c>
      <c r="F108" t="b">
        <f t="shared" ca="1" si="9"/>
        <v>1</v>
      </c>
      <c r="G108">
        <f t="shared" ca="1" si="10"/>
        <v>27</v>
      </c>
      <c r="H108">
        <f t="shared" ca="1" si="11"/>
        <v>27</v>
      </c>
      <c r="I108" t="str">
        <f t="shared" ca="1" si="12"/>
        <v>一使用零向量，第一次翻转发生在从一到二行的推导过程中，在此之前没有发生过翻转，因此Y的第一行是全零，二翻转符号非必须存在，每次推导都需要翻转，因此不可省略，而前者将这个翻转取出来了，因此不用翻转符号飞，三不使用X而使用Y。</v>
      </c>
      <c r="J108" s="1">
        <f t="shared" ca="1" si="13"/>
        <v>2.8384259259259261E-3</v>
      </c>
      <c r="K108" s="1">
        <f t="shared" ca="1" si="14"/>
        <v>3.1874999999999998E-3</v>
      </c>
    </row>
    <row r="109" spans="1:11" x14ac:dyDescent="0.3">
      <c r="A109">
        <v>110</v>
      </c>
      <c r="B109" s="11">
        <v>3.1888888888888887E-3</v>
      </c>
      <c r="C109" s="11">
        <v>3.2055555555555552E-3</v>
      </c>
      <c r="D109" t="str">
        <f ca="1">srt!C108</f>
        <v>翻转是前面所有按钮的翻转叠加后提取出来的，</v>
      </c>
      <c r="E109" t="str">
        <f t="shared" ca="1" si="8"/>
        <v>，</v>
      </c>
      <c r="F109" t="b">
        <f t="shared" ca="1" si="9"/>
        <v>0</v>
      </c>
      <c r="G109">
        <f t="shared" ca="1" si="10"/>
        <v>28</v>
      </c>
      <c r="H109" t="str">
        <f t="shared" ca="1" si="11"/>
        <v/>
      </c>
      <c r="I109" t="str">
        <f t="shared" ca="1" si="12"/>
        <v>翻转是前面所有按钮的翻转叠加后提取出来的，</v>
      </c>
      <c r="J109" s="1">
        <f t="shared" ca="1" si="13"/>
        <v>3.1888888888888887E-3</v>
      </c>
      <c r="K109" s="1" t="b">
        <f t="shared" ca="1" si="14"/>
        <v>0</v>
      </c>
    </row>
    <row r="110" spans="1:11" x14ac:dyDescent="0.3">
      <c r="A110">
        <v>111</v>
      </c>
      <c r="B110" s="11">
        <v>3.2087962962962964E-3</v>
      </c>
      <c r="C110" s="11">
        <v>3.2555555555555554E-3</v>
      </c>
      <c r="D110" t="str">
        <f ca="1">srt!C109</f>
        <v>代表的是灯的翻转，</v>
      </c>
      <c r="E110" t="str">
        <f t="shared" ca="1" si="8"/>
        <v>，</v>
      </c>
      <c r="F110" t="b">
        <f t="shared" ca="1" si="9"/>
        <v>0</v>
      </c>
      <c r="G110">
        <f t="shared" ca="1" si="10"/>
        <v>28</v>
      </c>
      <c r="H110" t="str">
        <f t="shared" ca="1" si="11"/>
        <v/>
      </c>
      <c r="I110" t="str">
        <f t="shared" ca="1" si="12"/>
        <v>翻转是前面所有按钮的翻转叠加后提取出来的，代表的是灯的翻转，</v>
      </c>
      <c r="J110" s="1">
        <f t="shared" ca="1" si="13"/>
        <v>3.1888888888888887E-3</v>
      </c>
      <c r="K110" s="1" t="b">
        <f t="shared" ca="1" si="14"/>
        <v>0</v>
      </c>
    </row>
    <row r="111" spans="1:11" x14ac:dyDescent="0.3">
      <c r="A111">
        <v>112</v>
      </c>
      <c r="B111" s="11">
        <v>3.2555555555555554E-3</v>
      </c>
      <c r="C111" s="11">
        <v>3.2870370370370371E-3</v>
      </c>
      <c r="D111" t="str">
        <f ca="1">srt!C110</f>
        <v>而不是某个按钮的翻转。</v>
      </c>
      <c r="E111" t="str">
        <f t="shared" ca="1" si="8"/>
        <v>。</v>
      </c>
      <c r="F111" t="b">
        <f t="shared" ca="1" si="9"/>
        <v>1</v>
      </c>
      <c r="G111">
        <f t="shared" ca="1" si="10"/>
        <v>28</v>
      </c>
      <c r="H111">
        <f t="shared" ca="1" si="11"/>
        <v>28</v>
      </c>
      <c r="I111" t="str">
        <f t="shared" ca="1" si="12"/>
        <v>翻转是前面所有按钮的翻转叠加后提取出来的，代表的是灯的翻转，而不是某个按钮的翻转。</v>
      </c>
      <c r="J111" s="1">
        <f t="shared" ca="1" si="13"/>
        <v>3.1888888888888887E-3</v>
      </c>
      <c r="K111" s="1">
        <f t="shared" ca="1" si="14"/>
        <v>3.2870370370370371E-3</v>
      </c>
    </row>
    <row r="112" spans="1:11" x14ac:dyDescent="0.3">
      <c r="A112">
        <v>113</v>
      </c>
      <c r="B112" s="11">
        <v>3.2870370370370371E-3</v>
      </c>
      <c r="C112" s="11">
        <v>3.2972222222222222E-3</v>
      </c>
      <c r="D112" t="str">
        <f ca="1">srt!C111</f>
        <v>事实上，</v>
      </c>
      <c r="E112" t="str">
        <f t="shared" ca="1" si="8"/>
        <v>，</v>
      </c>
      <c r="F112" t="b">
        <f t="shared" ca="1" si="9"/>
        <v>0</v>
      </c>
      <c r="G112">
        <f t="shared" ca="1" si="10"/>
        <v>29</v>
      </c>
      <c r="H112" t="str">
        <f t="shared" ca="1" si="11"/>
        <v/>
      </c>
      <c r="I112" t="str">
        <f t="shared" ca="1" si="12"/>
        <v>事实上，</v>
      </c>
      <c r="J112" s="1">
        <f t="shared" ca="1" si="13"/>
        <v>3.2870370370370371E-3</v>
      </c>
      <c r="K112" s="1" t="b">
        <f t="shared" ca="1" si="14"/>
        <v>0</v>
      </c>
    </row>
    <row r="113" spans="1:11" x14ac:dyDescent="0.3">
      <c r="A113">
        <v>114</v>
      </c>
      <c r="B113" s="11">
        <v>3.2972222222222222E-3</v>
      </c>
      <c r="C113" s="11">
        <v>3.3310185185185187E-3</v>
      </c>
      <c r="D113" t="str">
        <f ca="1">srt!C112</f>
        <v>按钮矩阵也可以用另一种更直观的方法推得。</v>
      </c>
      <c r="E113" t="str">
        <f t="shared" ca="1" si="8"/>
        <v>。</v>
      </c>
      <c r="F113" t="b">
        <f t="shared" ca="1" si="9"/>
        <v>1</v>
      </c>
      <c r="G113">
        <f t="shared" ca="1" si="10"/>
        <v>29</v>
      </c>
      <c r="H113">
        <f t="shared" ca="1" si="11"/>
        <v>29</v>
      </c>
      <c r="I113" t="str">
        <f t="shared" ca="1" si="12"/>
        <v>事实上，按钮矩阵也可以用另一种更直观的方法推得。</v>
      </c>
      <c r="J113" s="1">
        <f t="shared" ca="1" si="13"/>
        <v>3.2870370370370371E-3</v>
      </c>
      <c r="K113" s="1">
        <f t="shared" ca="1" si="14"/>
        <v>3.3310185185185187E-3</v>
      </c>
    </row>
    <row r="114" spans="1:11" x14ac:dyDescent="0.3">
      <c r="A114">
        <v>115</v>
      </c>
      <c r="B114" s="11">
        <v>3.3319444444444442E-3</v>
      </c>
      <c r="C114" s="11">
        <v>3.3569444444444445E-3</v>
      </c>
      <c r="D114" t="str">
        <f ca="1">srt!C113</f>
        <v>首先，</v>
      </c>
      <c r="E114" t="str">
        <f t="shared" ca="1" si="8"/>
        <v>，</v>
      </c>
      <c r="F114" t="b">
        <f t="shared" ca="1" si="9"/>
        <v>0</v>
      </c>
      <c r="G114">
        <f t="shared" ca="1" si="10"/>
        <v>30</v>
      </c>
      <c r="H114" t="str">
        <f t="shared" ca="1" si="11"/>
        <v/>
      </c>
      <c r="I114" t="str">
        <f t="shared" ca="1" si="12"/>
        <v>首先，</v>
      </c>
      <c r="J114" s="1">
        <f t="shared" ca="1" si="13"/>
        <v>3.3319444444444442E-3</v>
      </c>
      <c r="K114" s="1" t="b">
        <f t="shared" ca="1" si="14"/>
        <v>0</v>
      </c>
    </row>
    <row r="115" spans="1:11" x14ac:dyDescent="0.3">
      <c r="A115">
        <v>116</v>
      </c>
      <c r="B115" s="11">
        <v>3.357407407407407E-3</v>
      </c>
      <c r="C115" s="11">
        <v>3.4041666666666669E-3</v>
      </c>
      <c r="D115" t="str">
        <f ca="1">srt!C114</f>
        <v>在第一个矩阵中，</v>
      </c>
      <c r="E115" t="str">
        <f t="shared" ca="1" si="8"/>
        <v>，</v>
      </c>
      <c r="F115" t="b">
        <f t="shared" ca="1" si="9"/>
        <v>0</v>
      </c>
      <c r="G115">
        <f t="shared" ca="1" si="10"/>
        <v>30</v>
      </c>
      <c r="H115" t="str">
        <f t="shared" ca="1" si="11"/>
        <v/>
      </c>
      <c r="I115" t="str">
        <f t="shared" ca="1" si="12"/>
        <v>首先，在第一个矩阵中，</v>
      </c>
      <c r="J115" s="1">
        <f t="shared" ca="1" si="13"/>
        <v>3.3319444444444442E-3</v>
      </c>
      <c r="K115" s="1" t="b">
        <f t="shared" ca="1" si="14"/>
        <v>0</v>
      </c>
    </row>
    <row r="116" spans="1:11" x14ac:dyDescent="0.3">
      <c r="A116">
        <v>117</v>
      </c>
      <c r="B116" s="11">
        <v>3.4046296296296294E-3</v>
      </c>
      <c r="C116" s="11">
        <v>3.4300925925925927E-3</v>
      </c>
      <c r="D116" t="str">
        <f ca="1">srt!C115</f>
        <v>我们点击第一行第一个按钮，</v>
      </c>
      <c r="E116" t="str">
        <f t="shared" ca="1" si="8"/>
        <v>，</v>
      </c>
      <c r="F116" t="b">
        <f t="shared" ca="1" si="9"/>
        <v>0</v>
      </c>
      <c r="G116">
        <f t="shared" ca="1" si="10"/>
        <v>30</v>
      </c>
      <c r="H116" t="str">
        <f t="shared" ca="1" si="11"/>
        <v/>
      </c>
      <c r="I116" t="str">
        <f t="shared" ca="1" si="12"/>
        <v>首先，在第一个矩阵中，我们点击第一行第一个按钮，</v>
      </c>
      <c r="J116" s="1">
        <f t="shared" ca="1" si="13"/>
        <v>3.3319444444444442E-3</v>
      </c>
      <c r="K116" s="1" t="b">
        <f t="shared" ca="1" si="14"/>
        <v>0</v>
      </c>
    </row>
    <row r="117" spans="1:11" x14ac:dyDescent="0.3">
      <c r="A117">
        <v>118</v>
      </c>
      <c r="B117" s="11">
        <v>3.4300925925925927E-3</v>
      </c>
      <c r="C117" s="11">
        <v>3.4666666666666665E-3</v>
      </c>
      <c r="D117" t="str">
        <f ca="1">srt!C116</f>
        <v>然后点击第二行的按钮，</v>
      </c>
      <c r="E117" t="str">
        <f t="shared" ca="1" si="8"/>
        <v>，</v>
      </c>
      <c r="F117" t="b">
        <f t="shared" ca="1" si="9"/>
        <v>0</v>
      </c>
      <c r="G117">
        <f t="shared" ca="1" si="10"/>
        <v>30</v>
      </c>
      <c r="H117" t="str">
        <f t="shared" ca="1" si="11"/>
        <v/>
      </c>
      <c r="I117" t="str">
        <f t="shared" ca="1" si="12"/>
        <v>首先，在第一个矩阵中，我们点击第一行第一个按钮，然后点击第二行的按钮，</v>
      </c>
      <c r="J117" s="1">
        <f t="shared" ca="1" si="13"/>
        <v>3.3319444444444442E-3</v>
      </c>
      <c r="K117" s="1" t="b">
        <f t="shared" ca="1" si="14"/>
        <v>0</v>
      </c>
    </row>
    <row r="118" spans="1:11" x14ac:dyDescent="0.3">
      <c r="A118">
        <v>119</v>
      </c>
      <c r="B118" s="11">
        <v>3.4675925925925929E-3</v>
      </c>
      <c r="C118" s="11">
        <v>3.500462962962963E-3</v>
      </c>
      <c r="D118" t="str">
        <f ca="1">srt!C117</f>
        <v>尽量消去第一行的灯。</v>
      </c>
      <c r="E118" t="str">
        <f t="shared" ca="1" si="8"/>
        <v>。</v>
      </c>
      <c r="F118" t="b">
        <f t="shared" ca="1" si="9"/>
        <v>1</v>
      </c>
      <c r="G118">
        <f t="shared" ca="1" si="10"/>
        <v>30</v>
      </c>
      <c r="H118">
        <f t="shared" ca="1" si="11"/>
        <v>30</v>
      </c>
      <c r="I118" t="str">
        <f t="shared" ca="1" si="12"/>
        <v>首先，在第一个矩阵中，我们点击第一行第一个按钮，然后点击第二行的按钮，尽量消去第一行的灯。</v>
      </c>
      <c r="J118" s="1">
        <f t="shared" ca="1" si="13"/>
        <v>3.3319444444444442E-3</v>
      </c>
      <c r="K118" s="1">
        <f t="shared" ca="1" si="14"/>
        <v>3.500462962962963E-3</v>
      </c>
    </row>
    <row r="119" spans="1:11" x14ac:dyDescent="0.3">
      <c r="A119">
        <v>120</v>
      </c>
      <c r="B119" s="11">
        <v>3.5018518518518519E-3</v>
      </c>
      <c r="C119" s="11">
        <v>3.5509259259259261E-3</v>
      </c>
      <c r="D119" t="str">
        <f ca="1">srt!C118</f>
        <v>接着按第三行按钮，</v>
      </c>
      <c r="E119" t="str">
        <f t="shared" ca="1" si="8"/>
        <v>，</v>
      </c>
      <c r="F119" t="b">
        <f t="shared" ca="1" si="9"/>
        <v>0</v>
      </c>
      <c r="G119">
        <f t="shared" ca="1" si="10"/>
        <v>31</v>
      </c>
      <c r="H119" t="str">
        <f t="shared" ca="1" si="11"/>
        <v/>
      </c>
      <c r="I119" t="str">
        <f t="shared" ca="1" si="12"/>
        <v>接着按第三行按钮，</v>
      </c>
      <c r="J119" s="1">
        <f t="shared" ca="1" si="13"/>
        <v>3.5018518518518519E-3</v>
      </c>
      <c r="K119" s="1" t="b">
        <f t="shared" ca="1" si="14"/>
        <v>0</v>
      </c>
    </row>
    <row r="120" spans="1:11" x14ac:dyDescent="0.3">
      <c r="A120">
        <v>122</v>
      </c>
      <c r="B120" s="11">
        <v>3.5578703703703701E-3</v>
      </c>
      <c r="C120" s="11">
        <v>3.6125000000000003E-3</v>
      </c>
      <c r="D120" t="str">
        <f ca="1">srt!C119</f>
        <v>消去第二行的灯，</v>
      </c>
      <c r="E120" t="str">
        <f t="shared" ca="1" si="8"/>
        <v>，</v>
      </c>
      <c r="F120" t="b">
        <f t="shared" ca="1" si="9"/>
        <v>0</v>
      </c>
      <c r="G120">
        <f t="shared" ca="1" si="10"/>
        <v>31</v>
      </c>
      <c r="H120" t="str">
        <f t="shared" ca="1" si="11"/>
        <v/>
      </c>
      <c r="I120" t="str">
        <f t="shared" ca="1" si="12"/>
        <v>接着按第三行按钮，消去第二行的灯，</v>
      </c>
      <c r="J120" s="1">
        <f t="shared" ca="1" si="13"/>
        <v>3.5018518518518519E-3</v>
      </c>
      <c r="K120" s="1" t="b">
        <f t="shared" ca="1" si="14"/>
        <v>0</v>
      </c>
    </row>
    <row r="121" spans="1:11" x14ac:dyDescent="0.3">
      <c r="A121">
        <v>123</v>
      </c>
      <c r="B121" s="11">
        <v>3.6134259259259257E-3</v>
      </c>
      <c r="C121" s="11">
        <v>3.656944444444444E-3</v>
      </c>
      <c r="D121" t="str">
        <f ca="1">srt!C120</f>
        <v>不断递推，</v>
      </c>
      <c r="E121" t="str">
        <f t="shared" ca="1" si="8"/>
        <v>，</v>
      </c>
      <c r="F121" t="b">
        <f t="shared" ca="1" si="9"/>
        <v>0</v>
      </c>
      <c r="G121">
        <f t="shared" ca="1" si="10"/>
        <v>31</v>
      </c>
      <c r="H121" t="str">
        <f t="shared" ca="1" si="11"/>
        <v/>
      </c>
      <c r="I121" t="str">
        <f t="shared" ca="1" si="12"/>
        <v>接着按第三行按钮，消去第二行的灯，不断递推，</v>
      </c>
      <c r="J121" s="1">
        <f t="shared" ca="1" si="13"/>
        <v>3.5018518518518519E-3</v>
      </c>
      <c r="K121" s="1" t="b">
        <f t="shared" ca="1" si="14"/>
        <v>0</v>
      </c>
    </row>
    <row r="122" spans="1:11" x14ac:dyDescent="0.3">
      <c r="A122">
        <v>124</v>
      </c>
      <c r="B122" s="11">
        <v>3.6578703703703708E-3</v>
      </c>
      <c r="C122" s="11">
        <v>3.6652777777777777E-3</v>
      </c>
      <c r="D122" t="str">
        <f ca="1">srt!C121</f>
        <v>直到最后一行。</v>
      </c>
      <c r="E122" t="str">
        <f t="shared" ca="1" si="8"/>
        <v>。</v>
      </c>
      <c r="F122" t="b">
        <f t="shared" ca="1" si="9"/>
        <v>1</v>
      </c>
      <c r="G122">
        <f t="shared" ca="1" si="10"/>
        <v>31</v>
      </c>
      <c r="H122">
        <f t="shared" ca="1" si="11"/>
        <v>31</v>
      </c>
      <c r="I122" t="str">
        <f t="shared" ca="1" si="12"/>
        <v>接着按第三行按钮，消去第二行的灯，不断递推，直到最后一行。</v>
      </c>
      <c r="J122" s="1">
        <f t="shared" ca="1" si="13"/>
        <v>3.5018518518518519E-3</v>
      </c>
      <c r="K122" s="1">
        <f t="shared" ca="1" si="14"/>
        <v>3.6652777777777777E-3</v>
      </c>
    </row>
    <row r="123" spans="1:11" x14ac:dyDescent="0.3">
      <c r="A123">
        <v>125</v>
      </c>
      <c r="B123" s="11">
        <v>3.6657407407407411E-3</v>
      </c>
      <c r="C123" s="11">
        <v>3.7050925925925927E-3</v>
      </c>
      <c r="D123" t="str">
        <f ca="1">srt!C122</f>
        <v>最终最后一行按钮和灯的状态和前面推得的矩阵是一样的，</v>
      </c>
      <c r="E123" t="str">
        <f t="shared" ca="1" si="8"/>
        <v>，</v>
      </c>
      <c r="F123" t="b">
        <f t="shared" ca="1" si="9"/>
        <v>0</v>
      </c>
      <c r="G123">
        <f t="shared" ca="1" si="10"/>
        <v>32</v>
      </c>
      <c r="H123" t="str">
        <f t="shared" ca="1" si="11"/>
        <v/>
      </c>
      <c r="I123" t="str">
        <f t="shared" ca="1" si="12"/>
        <v>最终最后一行按钮和灯的状态和前面推得的矩阵是一样的，</v>
      </c>
      <c r="J123" s="1">
        <f t="shared" ca="1" si="13"/>
        <v>3.6657407407407411E-3</v>
      </c>
      <c r="K123" s="1" t="b">
        <f t="shared" ca="1" si="14"/>
        <v>0</v>
      </c>
    </row>
    <row r="124" spans="1:11" x14ac:dyDescent="0.3">
      <c r="A124">
        <v>126</v>
      </c>
      <c r="B124" s="11">
        <v>3.7064814814814816E-3</v>
      </c>
      <c r="C124" s="11">
        <v>3.7550925925925924E-3</v>
      </c>
      <c r="D124" t="str">
        <f ca="1">srt!C123</f>
        <v>同样在第二个矩阵点击第一行第二个按钮，</v>
      </c>
      <c r="E124" t="str">
        <f t="shared" ca="1" si="8"/>
        <v>，</v>
      </c>
      <c r="F124" t="b">
        <f t="shared" ca="1" si="9"/>
        <v>0</v>
      </c>
      <c r="G124">
        <f t="shared" ca="1" si="10"/>
        <v>32</v>
      </c>
      <c r="H124" t="str">
        <f t="shared" ca="1" si="11"/>
        <v/>
      </c>
      <c r="I124" t="str">
        <f t="shared" ca="1" si="12"/>
        <v>最终最后一行按钮和灯的状态和前面推得的矩阵是一样的，同样在第二个矩阵点击第一行第二个按钮，</v>
      </c>
      <c r="J124" s="1">
        <f t="shared" ca="1" si="13"/>
        <v>3.6657407407407411E-3</v>
      </c>
      <c r="K124" s="1" t="b">
        <f t="shared" ca="1" si="14"/>
        <v>0</v>
      </c>
    </row>
    <row r="125" spans="1:11" x14ac:dyDescent="0.3">
      <c r="A125">
        <v>127</v>
      </c>
      <c r="B125" s="11">
        <v>3.7560185185185183E-3</v>
      </c>
      <c r="C125" s="11">
        <v>3.8166666666666666E-3</v>
      </c>
      <c r="D125" t="str">
        <f ca="1">srt!C124</f>
        <v>然后递推也可以得到第二个矩阵最后一行按钮和灯的状态。</v>
      </c>
      <c r="E125" t="str">
        <f t="shared" ca="1" si="8"/>
        <v>。</v>
      </c>
      <c r="F125" t="b">
        <f t="shared" ca="1" si="9"/>
        <v>1</v>
      </c>
      <c r="G125">
        <f t="shared" ca="1" si="10"/>
        <v>32</v>
      </c>
      <c r="H125">
        <f t="shared" ca="1" si="11"/>
        <v>32</v>
      </c>
      <c r="I125" t="str">
        <f t="shared" ca="1" si="12"/>
        <v>最终最后一行按钮和灯的状态和前面推得的矩阵是一样的，同样在第二个矩阵点击第一行第二个按钮，然后递推也可以得到第二个矩阵最后一行按钮和灯的状态。</v>
      </c>
      <c r="J125" s="1">
        <f t="shared" ca="1" si="13"/>
        <v>3.6657407407407411E-3</v>
      </c>
      <c r="K125" s="1">
        <f t="shared" ca="1" si="14"/>
        <v>3.8166666666666666E-3</v>
      </c>
    </row>
    <row r="126" spans="1:11" x14ac:dyDescent="0.3">
      <c r="A126">
        <v>128</v>
      </c>
      <c r="B126" s="11">
        <v>3.8175925925925925E-3</v>
      </c>
      <c r="C126" s="11">
        <v>3.8537037037037034E-3</v>
      </c>
      <c r="D126" t="str">
        <f ca="1">srt!C125</f>
        <v>通过这个方法，</v>
      </c>
      <c r="E126" t="str">
        <f t="shared" ca="1" si="8"/>
        <v>，</v>
      </c>
      <c r="F126" t="b">
        <f t="shared" ca="1" si="9"/>
        <v>0</v>
      </c>
      <c r="G126">
        <f t="shared" ca="1" si="10"/>
        <v>33</v>
      </c>
      <c r="H126" t="str">
        <f t="shared" ca="1" si="11"/>
        <v/>
      </c>
      <c r="I126" t="str">
        <f t="shared" ca="1" si="12"/>
        <v>通过这个方法，</v>
      </c>
      <c r="J126" s="1">
        <f t="shared" ca="1" si="13"/>
        <v>3.8175925925925925E-3</v>
      </c>
      <c r="K126" s="1" t="b">
        <f t="shared" ca="1" si="14"/>
        <v>0</v>
      </c>
    </row>
    <row r="127" spans="1:11" x14ac:dyDescent="0.3">
      <c r="A127">
        <v>129</v>
      </c>
      <c r="B127" s="11">
        <v>3.8546296296296297E-3</v>
      </c>
      <c r="C127" s="11">
        <v>3.8847222222222221E-3</v>
      </c>
      <c r="D127" t="str">
        <f ca="1">srt!C126</f>
        <v>我们可以得到所有矩阵最后一行的状态。</v>
      </c>
      <c r="E127" t="str">
        <f t="shared" ca="1" si="8"/>
        <v>。</v>
      </c>
      <c r="F127" t="b">
        <f t="shared" ca="1" si="9"/>
        <v>1</v>
      </c>
      <c r="G127">
        <f t="shared" ca="1" si="10"/>
        <v>33</v>
      </c>
      <c r="H127">
        <f t="shared" ca="1" si="11"/>
        <v>33</v>
      </c>
      <c r="I127" t="str">
        <f t="shared" ca="1" si="12"/>
        <v>通过这个方法，我们可以得到所有矩阵最后一行的状态。</v>
      </c>
      <c r="J127" s="1">
        <f t="shared" ca="1" si="13"/>
        <v>3.8175925925925925E-3</v>
      </c>
      <c r="K127" s="1">
        <f t="shared" ca="1" si="14"/>
        <v>3.8847222222222221E-3</v>
      </c>
    </row>
    <row r="128" spans="1:11" x14ac:dyDescent="0.3">
      <c r="A128">
        <v>130</v>
      </c>
      <c r="B128" s="11">
        <v>3.8865740740740744E-3</v>
      </c>
      <c r="C128" s="11">
        <v>3.9273148148148149E-3</v>
      </c>
      <c r="D128" t="str">
        <f ca="1">srt!C127</f>
        <v>另外，</v>
      </c>
      <c r="E128" t="str">
        <f t="shared" ca="1" si="8"/>
        <v>，</v>
      </c>
      <c r="F128" t="b">
        <f t="shared" ca="1" si="9"/>
        <v>0</v>
      </c>
      <c r="G128">
        <f t="shared" ca="1" si="10"/>
        <v>34</v>
      </c>
      <c r="H128" t="str">
        <f t="shared" ca="1" si="11"/>
        <v/>
      </c>
      <c r="I128" t="str">
        <f t="shared" ca="1" si="12"/>
        <v>另外，</v>
      </c>
      <c r="J128" s="1">
        <f t="shared" ca="1" si="13"/>
        <v>3.8865740740740744E-3</v>
      </c>
      <c r="K128" s="1" t="b">
        <f t="shared" ca="1" si="14"/>
        <v>0</v>
      </c>
    </row>
    <row r="129" spans="1:11" x14ac:dyDescent="0.3">
      <c r="A129">
        <v>131</v>
      </c>
      <c r="B129" s="11">
        <v>3.9282407407407408E-3</v>
      </c>
      <c r="C129" s="11">
        <v>3.9773148148148146E-3</v>
      </c>
      <c r="D129" t="str">
        <f ca="1">srt!C128</f>
        <v>翻转向量也可以用相似的方法推得。</v>
      </c>
      <c r="E129" t="str">
        <f t="shared" ca="1" si="8"/>
        <v>。</v>
      </c>
      <c r="F129" t="b">
        <f t="shared" ca="1" si="9"/>
        <v>1</v>
      </c>
      <c r="G129">
        <f t="shared" ca="1" si="10"/>
        <v>34</v>
      </c>
      <c r="H129">
        <f t="shared" ca="1" si="11"/>
        <v>34</v>
      </c>
      <c r="I129" t="str">
        <f t="shared" ca="1" si="12"/>
        <v>另外，翻转向量也可以用相似的方法推得。</v>
      </c>
      <c r="J129" s="1">
        <f t="shared" ca="1" si="13"/>
        <v>3.8865740740740744E-3</v>
      </c>
      <c r="K129" s="1">
        <f t="shared" ca="1" si="14"/>
        <v>3.9773148148148146E-3</v>
      </c>
    </row>
    <row r="130" spans="1:11" x14ac:dyDescent="0.3">
      <c r="A130">
        <v>132</v>
      </c>
      <c r="B130" s="11">
        <v>3.9782407407407414E-3</v>
      </c>
      <c r="C130" s="11">
        <v>3.9944444444444446E-3</v>
      </c>
      <c r="D130" t="str">
        <f ca="1">srt!C129</f>
        <v>我们把所有灯全部点亮，</v>
      </c>
      <c r="E130" t="str">
        <f t="shared" ca="1" si="8"/>
        <v>，</v>
      </c>
      <c r="F130" t="b">
        <f t="shared" ca="1" si="9"/>
        <v>0</v>
      </c>
      <c r="G130">
        <f t="shared" ca="1" si="10"/>
        <v>35</v>
      </c>
      <c r="H130" t="str">
        <f t="shared" ca="1" si="11"/>
        <v/>
      </c>
      <c r="I130" t="str">
        <f t="shared" ca="1" si="12"/>
        <v>我们把所有灯全部点亮，</v>
      </c>
      <c r="J130" s="1">
        <f t="shared" ca="1" si="13"/>
        <v>3.9782407407407414E-3</v>
      </c>
      <c r="K130" s="1" t="b">
        <f t="shared" ca="1" si="14"/>
        <v>0</v>
      </c>
    </row>
    <row r="131" spans="1:11" x14ac:dyDescent="0.3">
      <c r="A131">
        <v>133</v>
      </c>
      <c r="B131" s="11">
        <v>3.9949074074074071E-3</v>
      </c>
      <c r="C131" s="11">
        <v>4.0152777777777782E-3</v>
      </c>
      <c r="D131" t="str">
        <f ca="1">srt!C130</f>
        <v>然后用刚才的方法尝试把所有灯消去，</v>
      </c>
      <c r="E131" t="str">
        <f t="shared" ca="1" si="8"/>
        <v>，</v>
      </c>
      <c r="F131" t="b">
        <f t="shared" ca="1" si="9"/>
        <v>0</v>
      </c>
      <c r="G131">
        <f t="shared" ca="1" si="10"/>
        <v>35</v>
      </c>
      <c r="H131" t="str">
        <f t="shared" ca="1" si="11"/>
        <v/>
      </c>
      <c r="I131" t="str">
        <f t="shared" ca="1" si="12"/>
        <v>我们把所有灯全部点亮，然后用刚才的方法尝试把所有灯消去，</v>
      </c>
      <c r="J131" s="1">
        <f t="shared" ca="1" si="13"/>
        <v>3.9782407407407414E-3</v>
      </c>
      <c r="K131" s="1" t="b">
        <f t="shared" ca="1" si="14"/>
        <v>0</v>
      </c>
    </row>
    <row r="132" spans="1:11" x14ac:dyDescent="0.3">
      <c r="A132">
        <v>134</v>
      </c>
      <c r="B132" s="11">
        <v>4.0162037037037041E-3</v>
      </c>
      <c r="C132" s="11">
        <v>4.0375000000000003E-3</v>
      </c>
      <c r="D132" t="str">
        <f ca="1">srt!C131</f>
        <v>同样可以得到翻转向量最后一行的状态。</v>
      </c>
      <c r="E132" t="str">
        <f t="shared" ref="E132:E195" ca="1" si="15">RIGHT(D132,1)</f>
        <v>。</v>
      </c>
      <c r="F132" t="b">
        <f t="shared" ref="F132:F195" ca="1" si="16">OR(E132="。",E132="？", E132="！")</f>
        <v>1</v>
      </c>
      <c r="G132">
        <f t="shared" ref="G132:G195" ca="1" si="17">F131+G131</f>
        <v>35</v>
      </c>
      <c r="H132">
        <f t="shared" ref="H132:H195" ca="1" si="18">IF(F132,G132,"")</f>
        <v>35</v>
      </c>
      <c r="I132" t="str">
        <f t="shared" ref="I132:I195" ca="1" si="19">IF(F131,D132,I131&amp;D132)</f>
        <v>我们把所有灯全部点亮，然后用刚才的方法尝试把所有灯消去，同样可以得到翻转向量最后一行的状态。</v>
      </c>
      <c r="J132" s="1">
        <f t="shared" ref="J132:J195" ca="1" si="20">IF(F131,B132,J131)</f>
        <v>3.9782407407407414E-3</v>
      </c>
      <c r="K132" s="1">
        <f t="shared" ref="K132:K195" ca="1" si="21">IF(F132,C132)</f>
        <v>4.0375000000000003E-3</v>
      </c>
    </row>
    <row r="133" spans="1:11" x14ac:dyDescent="0.3">
      <c r="A133">
        <v>135</v>
      </c>
      <c r="B133" s="11">
        <v>4.0375000000000003E-3</v>
      </c>
      <c r="C133" s="11">
        <v>4.0638888888888886E-3</v>
      </c>
      <c r="D133" t="str">
        <f ca="1">srt!C132</f>
        <v>我们把这种方法称作余数矩阵法和首行叠加法的原理，</v>
      </c>
      <c r="E133" t="str">
        <f t="shared" ca="1" si="15"/>
        <v>，</v>
      </c>
      <c r="F133" t="b">
        <f t="shared" ca="1" si="16"/>
        <v>0</v>
      </c>
      <c r="G133">
        <f t="shared" ca="1" si="17"/>
        <v>36</v>
      </c>
      <c r="H133" t="str">
        <f t="shared" ca="1" si="18"/>
        <v/>
      </c>
      <c r="I133" t="str">
        <f t="shared" ca="1" si="19"/>
        <v>我们把这种方法称作余数矩阵法和首行叠加法的原理，</v>
      </c>
      <c r="J133" s="1">
        <f t="shared" ca="1" si="20"/>
        <v>4.0375000000000003E-3</v>
      </c>
      <c r="K133" s="1" t="b">
        <f t="shared" ca="1" si="21"/>
        <v>0</v>
      </c>
    </row>
    <row r="134" spans="1:11" x14ac:dyDescent="0.3">
      <c r="A134">
        <v>136</v>
      </c>
      <c r="B134" s="11">
        <v>4.0643518518518511E-3</v>
      </c>
      <c r="C134" s="11">
        <v>4.0921296296296296E-3</v>
      </c>
      <c r="D134" t="str">
        <f ca="1">srt!C133</f>
        <v>本质上是相同的。</v>
      </c>
      <c r="E134" t="str">
        <f t="shared" ca="1" si="15"/>
        <v>。</v>
      </c>
      <c r="F134" t="b">
        <f t="shared" ca="1" si="16"/>
        <v>1</v>
      </c>
      <c r="G134">
        <f t="shared" ca="1" si="17"/>
        <v>36</v>
      </c>
      <c r="H134">
        <f t="shared" ca="1" si="18"/>
        <v>36</v>
      </c>
      <c r="I134" t="str">
        <f t="shared" ca="1" si="19"/>
        <v>我们把这种方法称作余数矩阵法和首行叠加法的原理，本质上是相同的。</v>
      </c>
      <c r="J134" s="1">
        <f t="shared" ca="1" si="20"/>
        <v>4.0375000000000003E-3</v>
      </c>
      <c r="K134" s="1">
        <f t="shared" ca="1" si="21"/>
        <v>4.0921296296296296E-3</v>
      </c>
    </row>
    <row r="135" spans="1:11" x14ac:dyDescent="0.3">
      <c r="A135">
        <v>137</v>
      </c>
      <c r="B135" s="11">
        <v>4.0921296296296296E-3</v>
      </c>
      <c r="C135" s="11">
        <v>4.1199074074074072E-3</v>
      </c>
      <c r="D135" t="str">
        <f ca="1">srt!C134</f>
        <v>有兴趣的小伙伴可以自行证明。</v>
      </c>
      <c r="E135" t="str">
        <f t="shared" ca="1" si="15"/>
        <v>。</v>
      </c>
      <c r="F135" t="b">
        <f t="shared" ca="1" si="16"/>
        <v>1</v>
      </c>
      <c r="G135">
        <f t="shared" ca="1" si="17"/>
        <v>37</v>
      </c>
      <c r="H135">
        <f t="shared" ca="1" si="18"/>
        <v>37</v>
      </c>
      <c r="I135" t="str">
        <f t="shared" ca="1" si="19"/>
        <v>有兴趣的小伙伴可以自行证明。</v>
      </c>
      <c r="J135" s="1">
        <f t="shared" ca="1" si="20"/>
        <v>4.0921296296296296E-3</v>
      </c>
      <c r="K135" s="1">
        <f t="shared" ca="1" si="21"/>
        <v>4.1199074074074072E-3</v>
      </c>
    </row>
    <row r="136" spans="1:11" x14ac:dyDescent="0.3">
      <c r="A136">
        <v>138</v>
      </c>
      <c r="B136" s="11">
        <v>4.120833333333334E-3</v>
      </c>
      <c r="C136" s="11">
        <v>4.1800925925925929E-3</v>
      </c>
      <c r="D136" t="str">
        <f ca="1">srt!C135</f>
        <v>在生成优化矩阵章节中，</v>
      </c>
      <c r="E136" t="str">
        <f t="shared" ca="1" si="15"/>
        <v>，</v>
      </c>
      <c r="F136" t="b">
        <f t="shared" ca="1" si="16"/>
        <v>0</v>
      </c>
      <c r="G136">
        <f t="shared" ca="1" si="17"/>
        <v>38</v>
      </c>
      <c r="H136" t="str">
        <f t="shared" ca="1" si="18"/>
        <v/>
      </c>
      <c r="I136" t="str">
        <f t="shared" ca="1" si="19"/>
        <v>在生成优化矩阵章节中，</v>
      </c>
      <c r="J136" s="1">
        <f t="shared" ca="1" si="20"/>
        <v>4.120833333333334E-3</v>
      </c>
      <c r="K136" s="1" t="b">
        <f t="shared" ca="1" si="21"/>
        <v>0</v>
      </c>
    </row>
    <row r="137" spans="1:11" x14ac:dyDescent="0.3">
      <c r="A137">
        <v>139</v>
      </c>
      <c r="B137" s="11">
        <v>4.1819444444444447E-3</v>
      </c>
      <c r="C137" s="11">
        <v>4.2194444444444441E-3</v>
      </c>
      <c r="D137" t="str">
        <f ca="1">srt!C136</f>
        <v>我们将矩阵的行重排，</v>
      </c>
      <c r="E137" t="str">
        <f t="shared" ca="1" si="15"/>
        <v>，</v>
      </c>
      <c r="F137" t="b">
        <f t="shared" ca="1" si="16"/>
        <v>0</v>
      </c>
      <c r="G137">
        <f t="shared" ca="1" si="17"/>
        <v>38</v>
      </c>
      <c r="H137" t="str">
        <f t="shared" ca="1" si="18"/>
        <v/>
      </c>
      <c r="I137" t="str">
        <f t="shared" ca="1" si="19"/>
        <v>在生成优化矩阵章节中，我们将矩阵的行重排，</v>
      </c>
      <c r="J137" s="1">
        <f t="shared" ca="1" si="20"/>
        <v>4.120833333333334E-3</v>
      </c>
      <c r="K137" s="1" t="b">
        <f t="shared" ca="1" si="21"/>
        <v>0</v>
      </c>
    </row>
    <row r="138" spans="1:11" x14ac:dyDescent="0.3">
      <c r="A138">
        <v>141</v>
      </c>
      <c r="B138" s="11">
        <v>4.2194444444444441E-3</v>
      </c>
      <c r="C138" s="11">
        <v>4.2453703703703707E-3</v>
      </c>
      <c r="D138" t="str">
        <f ca="1">srt!C137</f>
        <v>其实是调换了N和Y的位置。</v>
      </c>
      <c r="E138" t="str">
        <f t="shared" ca="1" si="15"/>
        <v>。</v>
      </c>
      <c r="F138" t="b">
        <f t="shared" ca="1" si="16"/>
        <v>1</v>
      </c>
      <c r="G138">
        <f t="shared" ca="1" si="17"/>
        <v>38</v>
      </c>
      <c r="H138">
        <f t="shared" ca="1" si="18"/>
        <v>38</v>
      </c>
      <c r="I138" t="str">
        <f t="shared" ca="1" si="19"/>
        <v>在生成优化矩阵章节中，我们将矩阵的行重排，其实是调换了N和Y的位置。</v>
      </c>
      <c r="J138" s="1">
        <f t="shared" ca="1" si="20"/>
        <v>4.120833333333334E-3</v>
      </c>
      <c r="K138" s="1">
        <f t="shared" ca="1" si="21"/>
        <v>4.2453703703703707E-3</v>
      </c>
    </row>
    <row r="139" spans="1:11" x14ac:dyDescent="0.3">
      <c r="A139">
        <v>142</v>
      </c>
      <c r="B139" s="11">
        <v>4.2453703703703707E-3</v>
      </c>
      <c r="C139" s="11">
        <v>4.2870370370370371E-3</v>
      </c>
      <c r="D139" t="str">
        <f ca="1">srt!C138</f>
        <v>使原来从左到右的第Y个矩阵变为了第N个矩阵。</v>
      </c>
      <c r="E139" t="str">
        <f t="shared" ca="1" si="15"/>
        <v>。</v>
      </c>
      <c r="F139" t="b">
        <f t="shared" ca="1" si="16"/>
        <v>1</v>
      </c>
      <c r="G139">
        <f t="shared" ca="1" si="17"/>
        <v>39</v>
      </c>
      <c r="H139">
        <f t="shared" ca="1" si="18"/>
        <v>39</v>
      </c>
      <c r="I139" t="str">
        <f t="shared" ca="1" si="19"/>
        <v>使原来从左到右的第Y个矩阵变为了第N个矩阵。</v>
      </c>
      <c r="J139" s="1">
        <f t="shared" ca="1" si="20"/>
        <v>4.2453703703703707E-3</v>
      </c>
      <c r="K139" s="1">
        <f t="shared" ca="1" si="21"/>
        <v>4.2870370370370371E-3</v>
      </c>
    </row>
    <row r="140" spans="1:11" x14ac:dyDescent="0.3">
      <c r="A140">
        <v>143</v>
      </c>
      <c r="B140" s="11">
        <v>4.2884259259259256E-3</v>
      </c>
      <c r="C140" s="11">
        <v>4.3129629629629629E-3</v>
      </c>
      <c r="D140" t="str">
        <f ca="1">srt!C139</f>
        <v>这N个矩阵都满足十字偶校验约束，</v>
      </c>
      <c r="E140" t="str">
        <f t="shared" ca="1" si="15"/>
        <v>，</v>
      </c>
      <c r="F140" t="b">
        <f t="shared" ca="1" si="16"/>
        <v>0</v>
      </c>
      <c r="G140">
        <f t="shared" ca="1" si="17"/>
        <v>40</v>
      </c>
      <c r="H140" t="str">
        <f t="shared" ca="1" si="18"/>
        <v/>
      </c>
      <c r="I140" t="str">
        <f t="shared" ca="1" si="19"/>
        <v>这N个矩阵都满足十字偶校验约束，</v>
      </c>
      <c r="J140" s="1">
        <f t="shared" ca="1" si="20"/>
        <v>4.2884259259259256E-3</v>
      </c>
      <c r="K140" s="1" t="b">
        <f t="shared" ca="1" si="21"/>
        <v>0</v>
      </c>
    </row>
    <row r="141" spans="1:11" x14ac:dyDescent="0.3">
      <c r="A141">
        <v>144</v>
      </c>
      <c r="B141" s="11">
        <v>4.3148148148148147E-3</v>
      </c>
      <c r="C141" s="11">
        <v>4.358333333333333E-3</v>
      </c>
      <c r="D141" t="str">
        <f ca="1">srt!C140</f>
        <v>及上下左右四个格子叠加为零，</v>
      </c>
      <c r="E141" t="str">
        <f t="shared" ca="1" si="15"/>
        <v>，</v>
      </c>
      <c r="F141" t="b">
        <f t="shared" ca="1" si="16"/>
        <v>0</v>
      </c>
      <c r="G141">
        <f t="shared" ca="1" si="17"/>
        <v>40</v>
      </c>
      <c r="H141" t="str">
        <f t="shared" ca="1" si="18"/>
        <v/>
      </c>
      <c r="I141" t="str">
        <f t="shared" ca="1" si="19"/>
        <v>这N个矩阵都满足十字偶校验约束，及上下左右四个格子叠加为零，</v>
      </c>
      <c r="J141" s="1">
        <f t="shared" ca="1" si="20"/>
        <v>4.2884259259259256E-3</v>
      </c>
      <c r="K141" s="1" t="b">
        <f t="shared" ca="1" si="21"/>
        <v>0</v>
      </c>
    </row>
    <row r="142" spans="1:11" x14ac:dyDescent="0.3">
      <c r="A142">
        <v>145</v>
      </c>
      <c r="B142" s="11">
        <v>4.3592592592592589E-3</v>
      </c>
      <c r="C142" s="11">
        <v>4.4046296296296299E-3</v>
      </c>
      <c r="D142" t="str">
        <f ca="1">srt!C141</f>
        <v>因此这里的公式省去了N。</v>
      </c>
      <c r="E142" t="str">
        <f t="shared" ca="1" si="15"/>
        <v>。</v>
      </c>
      <c r="F142" t="b">
        <f t="shared" ca="1" si="16"/>
        <v>1</v>
      </c>
      <c r="G142">
        <f t="shared" ca="1" si="17"/>
        <v>40</v>
      </c>
      <c r="H142">
        <f t="shared" ca="1" si="18"/>
        <v>40</v>
      </c>
      <c r="I142" t="str">
        <f t="shared" ca="1" si="19"/>
        <v>这N个矩阵都满足十字偶校验约束，及上下左右四个格子叠加为零，因此这里的公式省去了N。</v>
      </c>
      <c r="J142" s="1">
        <f t="shared" ca="1" si="20"/>
        <v>4.2884259259259256E-3</v>
      </c>
      <c r="K142" s="1">
        <f t="shared" ca="1" si="21"/>
        <v>4.4046296296296299E-3</v>
      </c>
    </row>
    <row r="143" spans="1:11" x14ac:dyDescent="0.3">
      <c r="A143">
        <v>146</v>
      </c>
      <c r="B143" s="11">
        <v>4.4060185185185183E-3</v>
      </c>
      <c r="C143" s="11">
        <v>4.425925925925926E-3</v>
      </c>
      <c r="D143" t="str">
        <f ca="1">srt!C142</f>
        <v>这里和之前的情况是一样的，</v>
      </c>
      <c r="E143" t="str">
        <f t="shared" ca="1" si="15"/>
        <v>，</v>
      </c>
      <c r="F143" t="b">
        <f t="shared" ca="1" si="16"/>
        <v>0</v>
      </c>
      <c r="G143">
        <f t="shared" ca="1" si="17"/>
        <v>41</v>
      </c>
      <c r="H143" t="str">
        <f t="shared" ca="1" si="18"/>
        <v/>
      </c>
      <c r="I143" t="str">
        <f t="shared" ca="1" si="19"/>
        <v>这里和之前的情况是一样的，</v>
      </c>
      <c r="J143" s="1">
        <f t="shared" ca="1" si="20"/>
        <v>4.4060185185185183E-3</v>
      </c>
      <c r="K143" s="1" t="b">
        <f t="shared" ca="1" si="21"/>
        <v>0</v>
      </c>
    </row>
    <row r="144" spans="1:11" x14ac:dyDescent="0.3">
      <c r="A144">
        <v>147</v>
      </c>
      <c r="B144" s="11">
        <v>4.425925925925926E-3</v>
      </c>
      <c r="C144" s="11">
        <v>4.4652777777777781E-3</v>
      </c>
      <c r="D144" t="str">
        <f ca="1">srt!C143</f>
        <v>只不过N和Y调换了，</v>
      </c>
      <c r="E144" t="str">
        <f t="shared" ca="1" si="15"/>
        <v>，</v>
      </c>
      <c r="F144" t="b">
        <f t="shared" ca="1" si="16"/>
        <v>0</v>
      </c>
      <c r="G144">
        <f t="shared" ca="1" si="17"/>
        <v>41</v>
      </c>
      <c r="H144" t="str">
        <f t="shared" ca="1" si="18"/>
        <v/>
      </c>
      <c r="I144" t="str">
        <f t="shared" ca="1" si="19"/>
        <v>这里和之前的情况是一样的，只不过N和Y调换了，</v>
      </c>
      <c r="J144" s="1">
        <f t="shared" ca="1" si="20"/>
        <v>4.4060185185185183E-3</v>
      </c>
      <c r="K144" s="1" t="b">
        <f t="shared" ca="1" si="21"/>
        <v>0</v>
      </c>
    </row>
    <row r="145" spans="1:11" x14ac:dyDescent="0.3">
      <c r="A145">
        <v>148</v>
      </c>
      <c r="B145" s="11">
        <v>4.4666666666666665E-3</v>
      </c>
      <c r="C145" s="11">
        <v>4.4740740740740739E-3</v>
      </c>
      <c r="D145" t="str">
        <f ca="1">srt!C144</f>
        <v>因此位置发生了变化。</v>
      </c>
      <c r="E145" t="str">
        <f t="shared" ca="1" si="15"/>
        <v>。</v>
      </c>
      <c r="F145" t="b">
        <f t="shared" ca="1" si="16"/>
        <v>1</v>
      </c>
      <c r="G145">
        <f t="shared" ca="1" si="17"/>
        <v>41</v>
      </c>
      <c r="H145">
        <f t="shared" ca="1" si="18"/>
        <v>41</v>
      </c>
      <c r="I145" t="str">
        <f t="shared" ca="1" si="19"/>
        <v>这里和之前的情况是一样的，只不过N和Y调换了，因此位置发生了变化。</v>
      </c>
      <c r="J145" s="1">
        <f t="shared" ca="1" si="20"/>
        <v>4.4060185185185183E-3</v>
      </c>
      <c r="K145" s="1">
        <f t="shared" ca="1" si="21"/>
        <v>4.4740740740740739E-3</v>
      </c>
    </row>
    <row r="146" spans="1:11" x14ac:dyDescent="0.3">
      <c r="A146">
        <v>149</v>
      </c>
      <c r="B146" s="11">
        <v>4.4740740740740739E-3</v>
      </c>
      <c r="C146" s="11">
        <v>4.5041666666666667E-3</v>
      </c>
      <c r="D146" t="str">
        <f ca="1">srt!C145</f>
        <v>这是一个十分重要的性质，</v>
      </c>
      <c r="E146" t="str">
        <f t="shared" ca="1" si="15"/>
        <v>，</v>
      </c>
      <c r="F146" t="b">
        <f t="shared" ca="1" si="16"/>
        <v>0</v>
      </c>
      <c r="G146">
        <f t="shared" ca="1" si="17"/>
        <v>42</v>
      </c>
      <c r="H146" t="str">
        <f t="shared" ca="1" si="18"/>
        <v/>
      </c>
      <c r="I146" t="str">
        <f t="shared" ca="1" si="19"/>
        <v>这是一个十分重要的性质，</v>
      </c>
      <c r="J146" s="1">
        <f t="shared" ca="1" si="20"/>
        <v>4.4740740740740739E-3</v>
      </c>
      <c r="K146" s="1" t="b">
        <f t="shared" ca="1" si="21"/>
        <v>0</v>
      </c>
    </row>
    <row r="147" spans="1:11" x14ac:dyDescent="0.3">
      <c r="A147">
        <v>150</v>
      </c>
      <c r="B147" s="11">
        <v>4.5041666666666667E-3</v>
      </c>
      <c r="C147" s="11">
        <v>4.5268518518518522E-3</v>
      </c>
      <c r="D147" t="str">
        <f ca="1">srt!C146</f>
        <v>使用这个性质可以由第一个灯直接推到后面的灯。</v>
      </c>
      <c r="E147" t="str">
        <f t="shared" ca="1" si="15"/>
        <v>。</v>
      </c>
      <c r="F147" t="b">
        <f t="shared" ca="1" si="16"/>
        <v>1</v>
      </c>
      <c r="G147">
        <f t="shared" ca="1" si="17"/>
        <v>42</v>
      </c>
      <c r="H147">
        <f t="shared" ca="1" si="18"/>
        <v>42</v>
      </c>
      <c r="I147" t="str">
        <f t="shared" ca="1" si="19"/>
        <v>这是一个十分重要的性质，使用这个性质可以由第一个灯直接推到后面的灯。</v>
      </c>
      <c r="J147" s="1">
        <f t="shared" ca="1" si="20"/>
        <v>4.4740740740740739E-3</v>
      </c>
      <c r="K147" s="1">
        <f t="shared" ca="1" si="21"/>
        <v>4.5268518518518522E-3</v>
      </c>
    </row>
    <row r="148" spans="1:11" x14ac:dyDescent="0.3">
      <c r="A148">
        <v>151</v>
      </c>
      <c r="B148" s="11">
        <v>4.5324074074074077E-3</v>
      </c>
      <c r="C148" s="11">
        <v>4.552777777777778E-3</v>
      </c>
      <c r="D148" t="str">
        <f ca="1">srt!C147</f>
        <v>在之后的ON的二次方算法中，</v>
      </c>
      <c r="E148" t="str">
        <f t="shared" ca="1" si="15"/>
        <v>，</v>
      </c>
      <c r="F148" t="b">
        <f t="shared" ca="1" si="16"/>
        <v>0</v>
      </c>
      <c r="G148">
        <f t="shared" ca="1" si="17"/>
        <v>43</v>
      </c>
      <c r="H148" t="str">
        <f t="shared" ca="1" si="18"/>
        <v/>
      </c>
      <c r="I148" t="str">
        <f t="shared" ca="1" si="19"/>
        <v>在之后的ON的二次方算法中，</v>
      </c>
      <c r="J148" s="1">
        <f t="shared" ca="1" si="20"/>
        <v>4.5324074074074077E-3</v>
      </c>
      <c r="K148" s="1" t="b">
        <f t="shared" ca="1" si="21"/>
        <v>0</v>
      </c>
    </row>
    <row r="149" spans="1:11" x14ac:dyDescent="0.3">
      <c r="A149">
        <v>152</v>
      </c>
      <c r="B149" s="11">
        <v>4.552777777777778E-3</v>
      </c>
      <c r="C149" s="11">
        <v>4.5912037037037041E-3</v>
      </c>
      <c r="D149" t="str">
        <f ca="1">srt!C148</f>
        <v>其本质也是用这个性质进行的优化。</v>
      </c>
      <c r="E149" t="str">
        <f t="shared" ca="1" si="15"/>
        <v>。</v>
      </c>
      <c r="F149" t="b">
        <f t="shared" ca="1" si="16"/>
        <v>1</v>
      </c>
      <c r="G149">
        <f t="shared" ca="1" si="17"/>
        <v>43</v>
      </c>
      <c r="H149">
        <f t="shared" ca="1" si="18"/>
        <v>43</v>
      </c>
      <c r="I149" t="str">
        <f t="shared" ca="1" si="19"/>
        <v>在之后的ON的二次方算法中，其本质也是用这个性质进行的优化。</v>
      </c>
      <c r="J149" s="1">
        <f t="shared" ca="1" si="20"/>
        <v>4.5324074074074077E-3</v>
      </c>
      <c r="K149" s="1">
        <f t="shared" ca="1" si="21"/>
        <v>4.5912037037037041E-3</v>
      </c>
    </row>
    <row r="150" spans="1:11" x14ac:dyDescent="0.3">
      <c r="A150">
        <v>153</v>
      </c>
      <c r="B150" s="11">
        <v>4.5912037037037041E-3</v>
      </c>
      <c r="C150" s="11">
        <v>4.6388888888888894E-3</v>
      </c>
      <c r="D150" t="str">
        <f ca="1">srt!C149</f>
        <v>下面让我们用数学归纳法证明这个性质。</v>
      </c>
      <c r="E150" t="str">
        <f t="shared" ca="1" si="15"/>
        <v>。</v>
      </c>
      <c r="F150" t="b">
        <f t="shared" ca="1" si="16"/>
        <v>1</v>
      </c>
      <c r="G150">
        <f t="shared" ca="1" si="17"/>
        <v>44</v>
      </c>
      <c r="H150">
        <f t="shared" ca="1" si="18"/>
        <v>44</v>
      </c>
      <c r="I150" t="str">
        <f t="shared" ca="1" si="19"/>
        <v>下面让我们用数学归纳法证明这个性质。</v>
      </c>
      <c r="J150" s="1">
        <f t="shared" ca="1" si="20"/>
        <v>4.5912037037037041E-3</v>
      </c>
      <c r="K150" s="1">
        <f t="shared" ca="1" si="21"/>
        <v>4.6388888888888894E-3</v>
      </c>
    </row>
    <row r="151" spans="1:11" x14ac:dyDescent="0.3">
      <c r="A151">
        <v>154</v>
      </c>
      <c r="B151" s="11">
        <v>4.6388888888888894E-3</v>
      </c>
      <c r="C151" s="11">
        <v>4.6620370370370375E-3</v>
      </c>
      <c r="D151" t="str">
        <f ca="1">srt!C150</f>
        <v>由于右边的按钮矩阵就是左边的灯矩阵，</v>
      </c>
      <c r="E151" t="str">
        <f t="shared" ca="1" si="15"/>
        <v>，</v>
      </c>
      <c r="F151" t="b">
        <f t="shared" ca="1" si="16"/>
        <v>0</v>
      </c>
      <c r="G151">
        <f t="shared" ca="1" si="17"/>
        <v>45</v>
      </c>
      <c r="H151" t="str">
        <f t="shared" ca="1" si="18"/>
        <v/>
      </c>
      <c r="I151" t="str">
        <f t="shared" ca="1" si="19"/>
        <v>由于右边的按钮矩阵就是左边的灯矩阵，</v>
      </c>
      <c r="J151" s="1">
        <f t="shared" ca="1" si="20"/>
        <v>4.6388888888888894E-3</v>
      </c>
      <c r="K151" s="1" t="b">
        <f t="shared" ca="1" si="21"/>
        <v>0</v>
      </c>
    </row>
    <row r="152" spans="1:11" x14ac:dyDescent="0.3">
      <c r="A152">
        <v>155</v>
      </c>
      <c r="B152" s="11">
        <v>4.6629629629629625E-3</v>
      </c>
      <c r="C152" s="11">
        <v>4.6916666666666669E-3</v>
      </c>
      <c r="D152" t="str">
        <f ca="1">srt!C151</f>
        <v>为了方便我们就只看按钮矩阵。</v>
      </c>
      <c r="E152" t="str">
        <f t="shared" ca="1" si="15"/>
        <v>。</v>
      </c>
      <c r="F152" t="b">
        <f t="shared" ca="1" si="16"/>
        <v>1</v>
      </c>
      <c r="G152">
        <f t="shared" ca="1" si="17"/>
        <v>45</v>
      </c>
      <c r="H152">
        <f t="shared" ca="1" si="18"/>
        <v>45</v>
      </c>
      <c r="I152" t="str">
        <f t="shared" ca="1" si="19"/>
        <v>由于右边的按钮矩阵就是左边的灯矩阵，为了方便我们就只看按钮矩阵。</v>
      </c>
      <c r="J152" s="1">
        <f t="shared" ca="1" si="20"/>
        <v>4.6388888888888894E-3</v>
      </c>
      <c r="K152" s="1">
        <f t="shared" ca="1" si="21"/>
        <v>4.6916666666666669E-3</v>
      </c>
    </row>
    <row r="153" spans="1:11" x14ac:dyDescent="0.3">
      <c r="A153">
        <v>156</v>
      </c>
      <c r="B153" s="11">
        <v>4.6921296296296294E-3</v>
      </c>
      <c r="C153" s="11">
        <v>4.7236111111111116E-3</v>
      </c>
      <c r="D153" t="str">
        <f ca="1">srt!C152</f>
        <v>首先我们假定前两个矩阵BN减1和BN减2满足这个性质，</v>
      </c>
      <c r="E153" t="str">
        <f t="shared" ca="1" si="15"/>
        <v>，</v>
      </c>
      <c r="F153" t="b">
        <f t="shared" ca="1" si="16"/>
        <v>0</v>
      </c>
      <c r="G153">
        <f t="shared" ca="1" si="17"/>
        <v>46</v>
      </c>
      <c r="H153" t="str">
        <f t="shared" ca="1" si="18"/>
        <v/>
      </c>
      <c r="I153" t="str">
        <f t="shared" ca="1" si="19"/>
        <v>首先我们假定前两个矩阵BN减1和BN减2满足这个性质，</v>
      </c>
      <c r="J153" s="1">
        <f t="shared" ca="1" si="20"/>
        <v>4.6921296296296294E-3</v>
      </c>
      <c r="K153" s="1" t="b">
        <f t="shared" ca="1" si="21"/>
        <v>0</v>
      </c>
    </row>
    <row r="154" spans="1:11" x14ac:dyDescent="0.3">
      <c r="A154">
        <v>157</v>
      </c>
      <c r="B154" s="11">
        <v>4.725E-3</v>
      </c>
      <c r="C154" s="11">
        <v>4.7574074074074072E-3</v>
      </c>
      <c r="D154" t="str">
        <f ca="1">srt!C153</f>
        <v>现在来证明BN也满足这个性质。</v>
      </c>
      <c r="E154" t="str">
        <f t="shared" ca="1" si="15"/>
        <v>。</v>
      </c>
      <c r="F154" t="b">
        <f t="shared" ca="1" si="16"/>
        <v>1</v>
      </c>
      <c r="G154">
        <f t="shared" ca="1" si="17"/>
        <v>46</v>
      </c>
      <c r="H154">
        <f t="shared" ca="1" si="18"/>
        <v>46</v>
      </c>
      <c r="I154" t="str">
        <f t="shared" ca="1" si="19"/>
        <v>首先我们假定前两个矩阵BN减1和BN减2满足这个性质，现在来证明BN也满足这个性质。</v>
      </c>
      <c r="J154" s="1">
        <f t="shared" ca="1" si="20"/>
        <v>4.6921296296296294E-3</v>
      </c>
      <c r="K154" s="1">
        <f t="shared" ca="1" si="21"/>
        <v>4.7574074074074072E-3</v>
      </c>
    </row>
    <row r="155" spans="1:11" x14ac:dyDescent="0.3">
      <c r="A155">
        <v>158</v>
      </c>
      <c r="B155" s="11">
        <v>4.7578703703703698E-3</v>
      </c>
      <c r="C155" s="11">
        <v>4.7782407407407409E-3</v>
      </c>
      <c r="D155" t="str">
        <f ca="1">srt!C154</f>
        <v>将刚才的矩阵递推关系加上参数Y并重写。</v>
      </c>
      <c r="E155" t="str">
        <f t="shared" ca="1" si="15"/>
        <v>。</v>
      </c>
      <c r="F155" t="b">
        <f t="shared" ca="1" si="16"/>
        <v>1</v>
      </c>
      <c r="G155">
        <f t="shared" ca="1" si="17"/>
        <v>47</v>
      </c>
      <c r="H155">
        <f t="shared" ca="1" si="18"/>
        <v>47</v>
      </c>
      <c r="I155" t="str">
        <f t="shared" ca="1" si="19"/>
        <v>将刚才的矩阵递推关系加上参数Y并重写。</v>
      </c>
      <c r="J155" s="1">
        <f t="shared" ca="1" si="20"/>
        <v>4.7578703703703698E-3</v>
      </c>
      <c r="K155" s="1">
        <f t="shared" ca="1" si="21"/>
        <v>4.7782407407407409E-3</v>
      </c>
    </row>
    <row r="156" spans="1:11" x14ac:dyDescent="0.3">
      <c r="A156">
        <v>159</v>
      </c>
      <c r="B156" s="11">
        <v>4.7782407407407409E-3</v>
      </c>
      <c r="C156" s="11">
        <v>4.79537037037037E-3</v>
      </c>
      <c r="D156" t="str">
        <f ca="1">srt!C155</f>
        <v>对于BN，</v>
      </c>
      <c r="E156" t="str">
        <f t="shared" ca="1" si="15"/>
        <v>，</v>
      </c>
      <c r="F156" t="b">
        <f t="shared" ca="1" si="16"/>
        <v>0</v>
      </c>
      <c r="G156">
        <f t="shared" ca="1" si="17"/>
        <v>48</v>
      </c>
      <c r="H156" t="str">
        <f t="shared" ca="1" si="18"/>
        <v/>
      </c>
      <c r="I156" t="str">
        <f t="shared" ca="1" si="19"/>
        <v>对于BN，</v>
      </c>
      <c r="J156" s="1">
        <f t="shared" ca="1" si="20"/>
        <v>4.7782407407407409E-3</v>
      </c>
      <c r="K156" s="1" t="b">
        <f t="shared" ca="1" si="21"/>
        <v>0</v>
      </c>
    </row>
    <row r="157" spans="1:11" x14ac:dyDescent="0.3">
      <c r="A157">
        <v>160</v>
      </c>
      <c r="B157" s="11">
        <v>4.7962962962962959E-3</v>
      </c>
      <c r="C157" s="11">
        <v>4.8351851851851854E-3</v>
      </c>
      <c r="D157" t="str">
        <f ca="1">srt!C156</f>
        <v>我们将式子竖着写成四项，</v>
      </c>
      <c r="E157" t="str">
        <f t="shared" ca="1" si="15"/>
        <v>，</v>
      </c>
      <c r="F157" t="b">
        <f t="shared" ca="1" si="16"/>
        <v>0</v>
      </c>
      <c r="G157">
        <f t="shared" ca="1" si="17"/>
        <v>48</v>
      </c>
      <c r="H157" t="str">
        <f t="shared" ca="1" si="18"/>
        <v/>
      </c>
      <c r="I157" t="str">
        <f t="shared" ca="1" si="19"/>
        <v>对于BN，我们将式子竖着写成四项，</v>
      </c>
      <c r="J157" s="1">
        <f t="shared" ca="1" si="20"/>
        <v>4.7782407407407409E-3</v>
      </c>
      <c r="K157" s="1" t="b">
        <f t="shared" ca="1" si="21"/>
        <v>0</v>
      </c>
    </row>
    <row r="158" spans="1:11" x14ac:dyDescent="0.3">
      <c r="A158">
        <v>161</v>
      </c>
      <c r="B158" s="11">
        <v>4.8351851851851854E-3</v>
      </c>
      <c r="C158" s="11">
        <v>4.8634259259259256E-3</v>
      </c>
      <c r="D158" t="str">
        <f ca="1">srt!C157</f>
        <v>然后将递推关系代入这个式子。</v>
      </c>
      <c r="E158" t="str">
        <f t="shared" ca="1" si="15"/>
        <v>。</v>
      </c>
      <c r="F158" t="b">
        <f t="shared" ca="1" si="16"/>
        <v>1</v>
      </c>
      <c r="G158">
        <f t="shared" ca="1" si="17"/>
        <v>48</v>
      </c>
      <c r="H158">
        <f t="shared" ca="1" si="18"/>
        <v>48</v>
      </c>
      <c r="I158" t="str">
        <f t="shared" ca="1" si="19"/>
        <v>对于BN，我们将式子竖着写成四项，然后将递推关系代入这个式子。</v>
      </c>
      <c r="J158" s="1">
        <f t="shared" ca="1" si="20"/>
        <v>4.7782407407407409E-3</v>
      </c>
      <c r="K158" s="1">
        <f t="shared" ca="1" si="21"/>
        <v>4.8634259259259256E-3</v>
      </c>
    </row>
    <row r="159" spans="1:11" x14ac:dyDescent="0.3">
      <c r="A159">
        <v>162</v>
      </c>
      <c r="B159" s="11">
        <v>4.8652777777777783E-3</v>
      </c>
      <c r="C159" s="11">
        <v>4.8782407407407411E-3</v>
      </c>
      <c r="D159" t="str">
        <f ca="1">srt!C158</f>
        <v>代入后的式子包含16项，</v>
      </c>
      <c r="E159" t="str">
        <f t="shared" ca="1" si="15"/>
        <v>，</v>
      </c>
      <c r="F159" t="b">
        <f t="shared" ca="1" si="16"/>
        <v>0</v>
      </c>
      <c r="G159">
        <f t="shared" ca="1" si="17"/>
        <v>49</v>
      </c>
      <c r="H159" t="str">
        <f t="shared" ca="1" si="18"/>
        <v/>
      </c>
      <c r="I159" t="str">
        <f t="shared" ca="1" si="19"/>
        <v>代入后的式子包含16项，</v>
      </c>
      <c r="J159" s="1">
        <f t="shared" ca="1" si="20"/>
        <v>4.8652777777777783E-3</v>
      </c>
      <c r="K159" s="1" t="b">
        <f t="shared" ca="1" si="21"/>
        <v>0</v>
      </c>
    </row>
    <row r="160" spans="1:11" x14ac:dyDescent="0.3">
      <c r="A160">
        <v>163</v>
      </c>
      <c r="B160" s="11">
        <v>4.8782407407407411E-3</v>
      </c>
      <c r="C160" s="11">
        <v>4.8986111111111114E-3</v>
      </c>
      <c r="D160" t="str">
        <f ca="1">srt!C159</f>
        <v>现在重新排列项目顺序将Y和N调换，</v>
      </c>
      <c r="E160" t="str">
        <f t="shared" ca="1" si="15"/>
        <v>，</v>
      </c>
      <c r="F160" t="b">
        <f t="shared" ca="1" si="16"/>
        <v>0</v>
      </c>
      <c r="G160">
        <f t="shared" ca="1" si="17"/>
        <v>49</v>
      </c>
      <c r="H160" t="str">
        <f t="shared" ca="1" si="18"/>
        <v/>
      </c>
      <c r="I160" t="str">
        <f t="shared" ca="1" si="19"/>
        <v>代入后的式子包含16项，现在重新排列项目顺序将Y和N调换，</v>
      </c>
      <c r="J160" s="1">
        <f t="shared" ca="1" si="20"/>
        <v>4.8652777777777783E-3</v>
      </c>
      <c r="K160" s="1" t="b">
        <f t="shared" ca="1" si="21"/>
        <v>0</v>
      </c>
    </row>
    <row r="161" spans="1:11" x14ac:dyDescent="0.3">
      <c r="A161">
        <v>164</v>
      </c>
      <c r="B161" s="11">
        <v>4.8986111111111114E-3</v>
      </c>
      <c r="C161" s="11">
        <v>4.9305555555555552E-3</v>
      </c>
      <c r="D161" t="str">
        <f ca="1">srt!C160</f>
        <v>类似优化生成矩阵章节中的调换操作。</v>
      </c>
      <c r="E161" t="str">
        <f t="shared" ca="1" si="15"/>
        <v>。</v>
      </c>
      <c r="F161" t="b">
        <f t="shared" ca="1" si="16"/>
        <v>1</v>
      </c>
      <c r="G161">
        <f t="shared" ca="1" si="17"/>
        <v>49</v>
      </c>
      <c r="H161">
        <f t="shared" ca="1" si="18"/>
        <v>49</v>
      </c>
      <c r="I161" t="str">
        <f t="shared" ca="1" si="19"/>
        <v>代入后的式子包含16项，现在重新排列项目顺序将Y和N调换，类似优化生成矩阵章节中的调换操作。</v>
      </c>
      <c r="J161" s="1">
        <f t="shared" ca="1" si="20"/>
        <v>4.8652777777777783E-3</v>
      </c>
      <c r="K161" s="1">
        <f t="shared" ca="1" si="21"/>
        <v>4.9305555555555552E-3</v>
      </c>
    </row>
    <row r="162" spans="1:11" x14ac:dyDescent="0.3">
      <c r="A162">
        <v>165</v>
      </c>
      <c r="B162" s="11">
        <v>4.9305555555555552E-3</v>
      </c>
      <c r="C162" s="11">
        <v>4.9578703703703703E-3</v>
      </c>
      <c r="D162" t="str">
        <f ca="1">srt!C161</f>
        <v>不难发现这四项属于BN减1或BN减2。</v>
      </c>
      <c r="E162" t="str">
        <f t="shared" ca="1" si="15"/>
        <v>。</v>
      </c>
      <c r="F162" t="b">
        <f t="shared" ca="1" si="16"/>
        <v>1</v>
      </c>
      <c r="G162">
        <f t="shared" ca="1" si="17"/>
        <v>50</v>
      </c>
      <c r="H162">
        <f t="shared" ca="1" si="18"/>
        <v>50</v>
      </c>
      <c r="I162" t="str">
        <f t="shared" ca="1" si="19"/>
        <v>不难发现这四项属于BN减1或BN减2。</v>
      </c>
      <c r="J162" s="1">
        <f t="shared" ca="1" si="20"/>
        <v>4.9305555555555552E-3</v>
      </c>
      <c r="K162" s="1">
        <f t="shared" ca="1" si="21"/>
        <v>4.9578703703703703E-3</v>
      </c>
    </row>
    <row r="163" spans="1:11" x14ac:dyDescent="0.3">
      <c r="A163">
        <v>166</v>
      </c>
      <c r="B163" s="11">
        <v>4.9578703703703703E-3</v>
      </c>
      <c r="C163" s="11">
        <v>4.9902777777777784E-3</v>
      </c>
      <c r="D163" t="str">
        <f ca="1">srt!C162</f>
        <v>并且元素之间的关系满足十字偶校验约束，</v>
      </c>
      <c r="E163" t="str">
        <f t="shared" ca="1" si="15"/>
        <v>，</v>
      </c>
      <c r="F163" t="b">
        <f t="shared" ca="1" si="16"/>
        <v>0</v>
      </c>
      <c r="G163">
        <f t="shared" ca="1" si="17"/>
        <v>51</v>
      </c>
      <c r="H163" t="str">
        <f t="shared" ca="1" si="18"/>
        <v/>
      </c>
      <c r="I163" t="str">
        <f t="shared" ca="1" si="19"/>
        <v>并且元素之间的关系满足十字偶校验约束，</v>
      </c>
      <c r="J163" s="1">
        <f t="shared" ca="1" si="20"/>
        <v>4.9578703703703703E-3</v>
      </c>
      <c r="K163" s="1" t="b">
        <f t="shared" ca="1" si="21"/>
        <v>0</v>
      </c>
    </row>
    <row r="164" spans="1:11" x14ac:dyDescent="0.3">
      <c r="A164">
        <v>167</v>
      </c>
      <c r="B164" s="11">
        <v>4.9907407407407409E-3</v>
      </c>
      <c r="C164" s="11">
        <v>5.0527777777777776E-3</v>
      </c>
      <c r="D164" t="str">
        <f ca="1">srt!C163</f>
        <v>因此整个式子化为了零。</v>
      </c>
      <c r="E164" t="str">
        <f t="shared" ca="1" si="15"/>
        <v>。</v>
      </c>
      <c r="F164" t="b">
        <f t="shared" ca="1" si="16"/>
        <v>1</v>
      </c>
      <c r="G164">
        <f t="shared" ca="1" si="17"/>
        <v>51</v>
      </c>
      <c r="H164">
        <f t="shared" ca="1" si="18"/>
        <v>51</v>
      </c>
      <c r="I164" t="str">
        <f t="shared" ca="1" si="19"/>
        <v>并且元素之间的关系满足十字偶校验约束，因此整个式子化为了零。</v>
      </c>
      <c r="J164" s="1">
        <f t="shared" ca="1" si="20"/>
        <v>4.9578703703703703E-3</v>
      </c>
      <c r="K164" s="1">
        <f t="shared" ca="1" si="21"/>
        <v>5.0527777777777776E-3</v>
      </c>
    </row>
    <row r="165" spans="1:11" x14ac:dyDescent="0.3">
      <c r="A165">
        <v>168</v>
      </c>
      <c r="B165" s="11">
        <v>5.053240740740741E-3</v>
      </c>
      <c r="C165" s="11">
        <v>5.0851851851851856E-3</v>
      </c>
      <c r="D165" t="str">
        <f ca="1">srt!C164</f>
        <v>现在我们只需要证明最左边的两个矩阵也满足这个性质即可。</v>
      </c>
      <c r="E165" t="str">
        <f t="shared" ca="1" si="15"/>
        <v>。</v>
      </c>
      <c r="F165" t="b">
        <f t="shared" ca="1" si="16"/>
        <v>1</v>
      </c>
      <c r="G165">
        <f t="shared" ca="1" si="17"/>
        <v>52</v>
      </c>
      <c r="H165">
        <f t="shared" ca="1" si="18"/>
        <v>52</v>
      </c>
      <c r="I165" t="str">
        <f t="shared" ca="1" si="19"/>
        <v>现在我们只需要证明最左边的两个矩阵也满足这个性质即可。</v>
      </c>
      <c r="J165" s="1">
        <f t="shared" ca="1" si="20"/>
        <v>5.053240740740741E-3</v>
      </c>
      <c r="K165" s="1">
        <f t="shared" ca="1" si="21"/>
        <v>5.0851851851851856E-3</v>
      </c>
    </row>
    <row r="166" spans="1:11" x14ac:dyDescent="0.3">
      <c r="A166">
        <v>169</v>
      </c>
      <c r="B166" s="11">
        <v>5.0851851851851856E-3</v>
      </c>
      <c r="C166" s="11">
        <v>5.1162037037037035E-3</v>
      </c>
      <c r="D166" t="str">
        <f ca="1">srt!C165</f>
        <v>第一个矩阵是单位矩阵，</v>
      </c>
      <c r="E166" t="str">
        <f t="shared" ca="1" si="15"/>
        <v>，</v>
      </c>
      <c r="F166" t="b">
        <f t="shared" ca="1" si="16"/>
        <v>0</v>
      </c>
      <c r="G166">
        <f t="shared" ca="1" si="17"/>
        <v>53</v>
      </c>
      <c r="H166" t="str">
        <f t="shared" ca="1" si="18"/>
        <v/>
      </c>
      <c r="I166" t="str">
        <f t="shared" ca="1" si="19"/>
        <v>第一个矩阵是单位矩阵，</v>
      </c>
      <c r="J166" s="1">
        <f t="shared" ca="1" si="20"/>
        <v>5.0851851851851856E-3</v>
      </c>
      <c r="K166" s="1" t="b">
        <f t="shared" ca="1" si="21"/>
        <v>0</v>
      </c>
    </row>
    <row r="167" spans="1:11" x14ac:dyDescent="0.3">
      <c r="A167">
        <v>170</v>
      </c>
      <c r="B167" s="11">
        <v>5.1175925925925929E-3</v>
      </c>
      <c r="C167" s="11">
        <v>5.1641203703703701E-3</v>
      </c>
      <c r="D167" t="str">
        <f ca="1">srt!C166</f>
        <v>显然满足这个性质。</v>
      </c>
      <c r="E167" t="str">
        <f t="shared" ca="1" si="15"/>
        <v>。</v>
      </c>
      <c r="F167" t="b">
        <f t="shared" ca="1" si="16"/>
        <v>1</v>
      </c>
      <c r="G167">
        <f t="shared" ca="1" si="17"/>
        <v>53</v>
      </c>
      <c r="H167">
        <f t="shared" ca="1" si="18"/>
        <v>53</v>
      </c>
      <c r="I167" t="str">
        <f t="shared" ca="1" si="19"/>
        <v>第一个矩阵是单位矩阵，显然满足这个性质。</v>
      </c>
      <c r="J167" s="1">
        <f t="shared" ca="1" si="20"/>
        <v>5.0851851851851856E-3</v>
      </c>
      <c r="K167" s="1">
        <f t="shared" ca="1" si="21"/>
        <v>5.1641203703703701E-3</v>
      </c>
    </row>
    <row r="168" spans="1:11" x14ac:dyDescent="0.3">
      <c r="A168">
        <v>172</v>
      </c>
      <c r="B168" s="11">
        <v>5.1655092592592594E-3</v>
      </c>
      <c r="C168" s="11">
        <v>5.2168981481481485E-3</v>
      </c>
      <c r="D168" t="str">
        <f ca="1">srt!C167</f>
        <v>第二个矩阵可以表示为左边两个矩阵的叠加。</v>
      </c>
      <c r="E168" t="str">
        <f t="shared" ca="1" si="15"/>
        <v>。</v>
      </c>
      <c r="F168" t="b">
        <f t="shared" ca="1" si="16"/>
        <v>1</v>
      </c>
      <c r="G168">
        <f t="shared" ca="1" si="17"/>
        <v>54</v>
      </c>
      <c r="H168">
        <f t="shared" ca="1" si="18"/>
        <v>54</v>
      </c>
      <c r="I168" t="str">
        <f t="shared" ca="1" si="19"/>
        <v>第二个矩阵可以表示为左边两个矩阵的叠加。</v>
      </c>
      <c r="J168" s="1">
        <f t="shared" ca="1" si="20"/>
        <v>5.1655092592592594E-3</v>
      </c>
      <c r="K168" s="1">
        <f t="shared" ca="1" si="21"/>
        <v>5.2168981481481485E-3</v>
      </c>
    </row>
    <row r="169" spans="1:11" x14ac:dyDescent="0.3">
      <c r="A169">
        <v>173</v>
      </c>
      <c r="B169" s="11">
        <v>5.2178240740740744E-3</v>
      </c>
      <c r="C169" s="11">
        <v>5.2432870370370368E-3</v>
      </c>
      <c r="D169" t="str">
        <f ca="1">srt!C168</f>
        <v>由于单位矩阵左边没有矩阵，</v>
      </c>
      <c r="E169" t="str">
        <f t="shared" ca="1" si="15"/>
        <v>，</v>
      </c>
      <c r="F169" t="b">
        <f t="shared" ca="1" si="16"/>
        <v>0</v>
      </c>
      <c r="G169">
        <f t="shared" ca="1" si="17"/>
        <v>55</v>
      </c>
      <c r="H169" t="str">
        <f t="shared" ca="1" si="18"/>
        <v/>
      </c>
      <c r="I169" t="str">
        <f t="shared" ca="1" si="19"/>
        <v>由于单位矩阵左边没有矩阵，</v>
      </c>
      <c r="J169" s="1">
        <f t="shared" ca="1" si="20"/>
        <v>5.2178240740740744E-3</v>
      </c>
      <c r="K169" s="1" t="b">
        <f t="shared" ca="1" si="21"/>
        <v>0</v>
      </c>
    </row>
    <row r="170" spans="1:11" x14ac:dyDescent="0.3">
      <c r="A170">
        <v>174</v>
      </c>
      <c r="B170" s="11">
        <v>5.2451388888888886E-3</v>
      </c>
      <c r="C170" s="11">
        <v>5.2877314814814818E-3</v>
      </c>
      <c r="D170" t="str">
        <f ca="1">srt!C169</f>
        <v>因此相当于叠加了一个零矩阵。</v>
      </c>
      <c r="E170" t="str">
        <f t="shared" ca="1" si="15"/>
        <v>。</v>
      </c>
      <c r="F170" t="b">
        <f t="shared" ca="1" si="16"/>
        <v>1</v>
      </c>
      <c r="G170">
        <f t="shared" ca="1" si="17"/>
        <v>55</v>
      </c>
      <c r="H170">
        <f t="shared" ca="1" si="18"/>
        <v>55</v>
      </c>
      <c r="I170" t="str">
        <f t="shared" ca="1" si="19"/>
        <v>由于单位矩阵左边没有矩阵，因此相当于叠加了一个零矩阵。</v>
      </c>
      <c r="J170" s="1">
        <f t="shared" ca="1" si="20"/>
        <v>5.2178240740740744E-3</v>
      </c>
      <c r="K170" s="1">
        <f t="shared" ca="1" si="21"/>
        <v>5.2877314814814818E-3</v>
      </c>
    </row>
    <row r="171" spans="1:11" x14ac:dyDescent="0.3">
      <c r="A171">
        <v>175</v>
      </c>
      <c r="B171" s="11">
        <v>5.2895833333333328E-3</v>
      </c>
      <c r="C171" s="11">
        <v>5.325231481481482E-3</v>
      </c>
      <c r="D171" t="str">
        <f ca="1">srt!C170</f>
        <v>由于零矩阵显然满足这个性质。</v>
      </c>
      <c r="E171" t="str">
        <f t="shared" ca="1" si="15"/>
        <v>。</v>
      </c>
      <c r="F171" t="b">
        <f t="shared" ca="1" si="16"/>
        <v>1</v>
      </c>
      <c r="G171">
        <f t="shared" ca="1" si="17"/>
        <v>56</v>
      </c>
      <c r="H171">
        <f t="shared" ca="1" si="18"/>
        <v>56</v>
      </c>
      <c r="I171" t="str">
        <f t="shared" ca="1" si="19"/>
        <v>由于零矩阵显然满足这个性质。</v>
      </c>
      <c r="J171" s="1">
        <f t="shared" ca="1" si="20"/>
        <v>5.2895833333333328E-3</v>
      </c>
      <c r="K171" s="1">
        <f t="shared" ca="1" si="21"/>
        <v>5.325231481481482E-3</v>
      </c>
    </row>
    <row r="172" spans="1:11" x14ac:dyDescent="0.3">
      <c r="A172">
        <v>176</v>
      </c>
      <c r="B172" s="11">
        <v>5.3261574074074071E-3</v>
      </c>
      <c r="C172" s="11">
        <v>5.3650462962962966E-3</v>
      </c>
      <c r="D172" t="str">
        <f ca="1">srt!C171</f>
        <v>因此，</v>
      </c>
      <c r="E172" t="str">
        <f t="shared" ca="1" si="15"/>
        <v>，</v>
      </c>
      <c r="F172" t="b">
        <f t="shared" ca="1" si="16"/>
        <v>0</v>
      </c>
      <c r="G172">
        <f t="shared" ca="1" si="17"/>
        <v>57</v>
      </c>
      <c r="H172" t="str">
        <f t="shared" ca="1" si="18"/>
        <v/>
      </c>
      <c r="I172" t="str">
        <f t="shared" ca="1" si="19"/>
        <v>因此，</v>
      </c>
      <c r="J172" s="1">
        <f t="shared" ca="1" si="20"/>
        <v>5.3261574074074071E-3</v>
      </c>
      <c r="K172" s="1" t="b">
        <f t="shared" ca="1" si="21"/>
        <v>0</v>
      </c>
    </row>
    <row r="173" spans="1:11" x14ac:dyDescent="0.3">
      <c r="A173">
        <v>177</v>
      </c>
      <c r="B173" s="11">
        <v>5.366435185185185E-3</v>
      </c>
      <c r="C173" s="11">
        <v>5.3891203703703705E-3</v>
      </c>
      <c r="D173" t="str">
        <f ca="1">srt!C172</f>
        <v>第二个矩阵也满足这个性质，</v>
      </c>
      <c r="E173" t="str">
        <f t="shared" ca="1" si="15"/>
        <v>，</v>
      </c>
      <c r="F173" t="b">
        <f t="shared" ca="1" si="16"/>
        <v>0</v>
      </c>
      <c r="G173">
        <f t="shared" ca="1" si="17"/>
        <v>57</v>
      </c>
      <c r="H173" t="str">
        <f t="shared" ca="1" si="18"/>
        <v/>
      </c>
      <c r="I173" t="str">
        <f t="shared" ca="1" si="19"/>
        <v>因此，第二个矩阵也满足这个性质，</v>
      </c>
      <c r="J173" s="1">
        <f t="shared" ca="1" si="20"/>
        <v>5.3261574074074071E-3</v>
      </c>
      <c r="K173" s="1" t="b">
        <f t="shared" ca="1" si="21"/>
        <v>0</v>
      </c>
    </row>
    <row r="174" spans="1:11" x14ac:dyDescent="0.3">
      <c r="A174">
        <v>178</v>
      </c>
      <c r="B174" s="11">
        <v>5.3891203703703705E-3</v>
      </c>
      <c r="C174" s="11">
        <v>5.406712962962963E-3</v>
      </c>
      <c r="D174" t="str">
        <f ca="1">srt!C173</f>
        <v>因为BN有了这个性质，</v>
      </c>
      <c r="E174" t="str">
        <f t="shared" ca="1" si="15"/>
        <v>，</v>
      </c>
      <c r="F174" t="b">
        <f t="shared" ca="1" si="16"/>
        <v>0</v>
      </c>
      <c r="G174">
        <f t="shared" ca="1" si="17"/>
        <v>57</v>
      </c>
      <c r="H174" t="str">
        <f t="shared" ca="1" si="18"/>
        <v/>
      </c>
      <c r="I174" t="str">
        <f t="shared" ca="1" si="19"/>
        <v>因此，第二个矩阵也满足这个性质，因为BN有了这个性质，</v>
      </c>
      <c r="J174" s="1">
        <f t="shared" ca="1" si="20"/>
        <v>5.3261574074074071E-3</v>
      </c>
      <c r="K174" s="1" t="b">
        <f t="shared" ca="1" si="21"/>
        <v>0</v>
      </c>
    </row>
    <row r="175" spans="1:11" x14ac:dyDescent="0.3">
      <c r="A175">
        <v>179</v>
      </c>
      <c r="B175" s="11">
        <v>5.4085648148148148E-3</v>
      </c>
      <c r="C175" s="11">
        <v>5.4391203703703702E-3</v>
      </c>
      <c r="D175" t="str">
        <f ca="1">srt!C174</f>
        <v>我们只需要知道BN的第一行，</v>
      </c>
      <c r="E175" t="str">
        <f t="shared" ca="1" si="15"/>
        <v>，</v>
      </c>
      <c r="F175" t="b">
        <f t="shared" ca="1" si="16"/>
        <v>0</v>
      </c>
      <c r="G175">
        <f t="shared" ca="1" si="17"/>
        <v>57</v>
      </c>
      <c r="H175" t="str">
        <f t="shared" ca="1" si="18"/>
        <v/>
      </c>
      <c r="I175" t="str">
        <f t="shared" ca="1" si="19"/>
        <v>因此，第二个矩阵也满足这个性质，因为BN有了这个性质，我们只需要知道BN的第一行，</v>
      </c>
      <c r="J175" s="1">
        <f t="shared" ca="1" si="20"/>
        <v>5.3261574074074071E-3</v>
      </c>
      <c r="K175" s="1" t="b">
        <f t="shared" ca="1" si="21"/>
        <v>0</v>
      </c>
    </row>
    <row r="176" spans="1:11" x14ac:dyDescent="0.3">
      <c r="A176">
        <v>180</v>
      </c>
      <c r="B176" s="11">
        <v>5.4409722222222229E-3</v>
      </c>
      <c r="C176" s="11">
        <v>5.4636574074074075E-3</v>
      </c>
      <c r="D176" t="str">
        <f ca="1">srt!C175</f>
        <v>就能通过公式推导出后续的行，</v>
      </c>
      <c r="E176" t="str">
        <f t="shared" ca="1" si="15"/>
        <v>，</v>
      </c>
      <c r="F176" t="b">
        <f t="shared" ca="1" si="16"/>
        <v>0</v>
      </c>
      <c r="G176">
        <f t="shared" ca="1" si="17"/>
        <v>57</v>
      </c>
      <c r="H176" t="str">
        <f t="shared" ca="1" si="18"/>
        <v/>
      </c>
      <c r="I176" t="str">
        <f t="shared" ca="1" si="19"/>
        <v>因此，第二个矩阵也满足这个性质，因为BN有了这个性质，我们只需要知道BN的第一行，就能通过公式推导出后续的行，</v>
      </c>
      <c r="J176" s="1">
        <f t="shared" ca="1" si="20"/>
        <v>5.3261574074074071E-3</v>
      </c>
      <c r="K176" s="1" t="b">
        <f t="shared" ca="1" si="21"/>
        <v>0</v>
      </c>
    </row>
    <row r="177" spans="1:11" x14ac:dyDescent="0.3">
      <c r="A177">
        <v>181</v>
      </c>
      <c r="B177" s="11">
        <v>5.4636574074074075E-3</v>
      </c>
      <c r="C177" s="11">
        <v>5.4877314814814815E-3</v>
      </c>
      <c r="D177" t="str">
        <f ca="1">srt!C176</f>
        <v>求得完整的矩阵BN。</v>
      </c>
      <c r="E177" t="str">
        <f t="shared" ca="1" si="15"/>
        <v>。</v>
      </c>
      <c r="F177" t="b">
        <f t="shared" ca="1" si="16"/>
        <v>1</v>
      </c>
      <c r="G177">
        <f t="shared" ca="1" si="17"/>
        <v>57</v>
      </c>
      <c r="H177">
        <f t="shared" ca="1" si="18"/>
        <v>57</v>
      </c>
      <c r="I177" t="str">
        <f t="shared" ca="1" si="19"/>
        <v>因此，第二个矩阵也满足这个性质，因为BN有了这个性质，我们只需要知道BN的第一行，就能通过公式推导出后续的行，求得完整的矩阵BN。</v>
      </c>
      <c r="J177" s="1">
        <f t="shared" ca="1" si="20"/>
        <v>5.3261574074074071E-3</v>
      </c>
      <c r="K177" s="1">
        <f t="shared" ca="1" si="21"/>
        <v>5.4877314814814815E-3</v>
      </c>
    </row>
    <row r="178" spans="1:11" x14ac:dyDescent="0.3">
      <c r="A178">
        <v>182</v>
      </c>
      <c r="B178" s="11">
        <v>5.4881944444444448E-3</v>
      </c>
      <c r="C178" s="11">
        <v>5.539583333333333E-3</v>
      </c>
      <c r="D178" t="str">
        <f ca="1">srt!C177</f>
        <v>为了实现ON的二次方次算法，</v>
      </c>
      <c r="E178" t="str">
        <f t="shared" ca="1" si="15"/>
        <v>，</v>
      </c>
      <c r="F178" t="b">
        <f t="shared" ca="1" si="16"/>
        <v>0</v>
      </c>
      <c r="G178">
        <f t="shared" ca="1" si="17"/>
        <v>58</v>
      </c>
      <c r="H178" t="str">
        <f t="shared" ca="1" si="18"/>
        <v/>
      </c>
      <c r="I178" t="str">
        <f t="shared" ca="1" si="19"/>
        <v>为了实现ON的二次方次算法，</v>
      </c>
      <c r="J178" s="1">
        <f t="shared" ca="1" si="20"/>
        <v>5.4881944444444448E-3</v>
      </c>
      <c r="K178" s="1" t="b">
        <f t="shared" ca="1" si="21"/>
        <v>0</v>
      </c>
    </row>
    <row r="179" spans="1:11" x14ac:dyDescent="0.3">
      <c r="A179">
        <v>183</v>
      </c>
      <c r="B179" s="11">
        <v>5.539583333333333E-3</v>
      </c>
      <c r="C179" s="11">
        <v>5.5793981481481484E-3</v>
      </c>
      <c r="D179" t="str">
        <f ca="1">srt!C178</f>
        <v>我们也需要用到类似的方法，</v>
      </c>
      <c r="E179" t="str">
        <f t="shared" ca="1" si="15"/>
        <v>，</v>
      </c>
      <c r="F179" t="b">
        <f t="shared" ca="1" si="16"/>
        <v>0</v>
      </c>
      <c r="G179">
        <f t="shared" ca="1" si="17"/>
        <v>58</v>
      </c>
      <c r="H179" t="str">
        <f t="shared" ca="1" si="18"/>
        <v/>
      </c>
      <c r="I179" t="str">
        <f t="shared" ca="1" si="19"/>
        <v>为了实现ON的二次方次算法，我们也需要用到类似的方法，</v>
      </c>
      <c r="J179" s="1">
        <f t="shared" ca="1" si="20"/>
        <v>5.4881944444444448E-3</v>
      </c>
      <c r="K179" s="1" t="b">
        <f t="shared" ca="1" si="21"/>
        <v>0</v>
      </c>
    </row>
    <row r="180" spans="1:11" x14ac:dyDescent="0.3">
      <c r="A180">
        <v>184</v>
      </c>
      <c r="B180" s="11">
        <v>5.5803240740740735E-3</v>
      </c>
      <c r="C180" s="11">
        <v>5.5877314814814808E-3</v>
      </c>
      <c r="D180" t="str">
        <f ca="1">srt!C179</f>
        <v>尽量不去对整个矩阵进行操作，</v>
      </c>
      <c r="E180" t="str">
        <f t="shared" ca="1" si="15"/>
        <v>，</v>
      </c>
      <c r="F180" t="b">
        <f t="shared" ca="1" si="16"/>
        <v>0</v>
      </c>
      <c r="G180">
        <f t="shared" ca="1" si="17"/>
        <v>58</v>
      </c>
      <c r="H180" t="str">
        <f t="shared" ca="1" si="18"/>
        <v/>
      </c>
      <c r="I180" t="str">
        <f t="shared" ca="1" si="19"/>
        <v>为了实现ON的二次方次算法，我们也需要用到类似的方法，尽量不去对整个矩阵进行操作，</v>
      </c>
      <c r="J180" s="1">
        <f t="shared" ca="1" si="20"/>
        <v>5.4881944444444448E-3</v>
      </c>
      <c r="K180" s="1" t="b">
        <f t="shared" ca="1" si="21"/>
        <v>0</v>
      </c>
    </row>
    <row r="181" spans="1:11" x14ac:dyDescent="0.3">
      <c r="A181">
        <v>185</v>
      </c>
      <c r="B181" s="11">
        <v>5.5877314814814808E-3</v>
      </c>
      <c r="C181" s="11">
        <v>5.613194444444445E-3</v>
      </c>
      <c r="D181" t="str">
        <f ca="1">srt!C180</f>
        <v>而是通过第一行来求逆或求解。</v>
      </c>
      <c r="E181" t="str">
        <f t="shared" ca="1" si="15"/>
        <v>。</v>
      </c>
      <c r="F181" t="b">
        <f t="shared" ca="1" si="16"/>
        <v>1</v>
      </c>
      <c r="G181">
        <f t="shared" ca="1" si="17"/>
        <v>58</v>
      </c>
      <c r="H181">
        <f t="shared" ca="1" si="18"/>
        <v>58</v>
      </c>
      <c r="I181" t="str">
        <f t="shared" ca="1" si="19"/>
        <v>为了实现ON的二次方次算法，我们也需要用到类似的方法，尽量不去对整个矩阵进行操作，而是通过第一行来求逆或求解。</v>
      </c>
      <c r="J181" s="1">
        <f t="shared" ca="1" si="20"/>
        <v>5.4881944444444448E-3</v>
      </c>
      <c r="K181" s="1">
        <f t="shared" ca="1" si="21"/>
        <v>5.613194444444445E-3</v>
      </c>
    </row>
    <row r="182" spans="1:11" x14ac:dyDescent="0.3">
      <c r="A182">
        <v>186</v>
      </c>
      <c r="B182" s="11">
        <v>5.613194444444445E-3</v>
      </c>
      <c r="C182" s="11">
        <v>5.6488425925925925E-3</v>
      </c>
      <c r="D182" t="str">
        <f ca="1">srt!C181</f>
        <v>我们以N等于7为例。</v>
      </c>
      <c r="E182" t="str">
        <f t="shared" ca="1" si="15"/>
        <v>。</v>
      </c>
      <c r="F182" t="b">
        <f t="shared" ca="1" si="16"/>
        <v>1</v>
      </c>
      <c r="G182">
        <f t="shared" ca="1" si="17"/>
        <v>59</v>
      </c>
      <c r="H182">
        <f t="shared" ca="1" si="18"/>
        <v>59</v>
      </c>
      <c r="I182" t="str">
        <f t="shared" ca="1" si="19"/>
        <v>我们以N等于7为例。</v>
      </c>
      <c r="J182" s="1">
        <f t="shared" ca="1" si="20"/>
        <v>5.613194444444445E-3</v>
      </c>
      <c r="K182" s="1">
        <f t="shared" ca="1" si="21"/>
        <v>5.6488425925925925E-3</v>
      </c>
    </row>
    <row r="183" spans="1:11" x14ac:dyDescent="0.3">
      <c r="A183">
        <v>187</v>
      </c>
      <c r="B183" s="11">
        <v>5.6488425925925925E-3</v>
      </c>
      <c r="C183" s="11">
        <v>5.6562499999999998E-3</v>
      </c>
      <c r="D183" t="str">
        <f ca="1">srt!C182</f>
        <v>这里的B就是前面提到的按钮矩阵BN，</v>
      </c>
      <c r="E183" t="str">
        <f t="shared" ca="1" si="15"/>
        <v>，</v>
      </c>
      <c r="F183" t="b">
        <f t="shared" ca="1" si="16"/>
        <v>0</v>
      </c>
      <c r="G183">
        <f t="shared" ca="1" si="17"/>
        <v>60</v>
      </c>
      <c r="H183" t="str">
        <f t="shared" ca="1" si="18"/>
        <v/>
      </c>
      <c r="I183" t="str">
        <f t="shared" ca="1" si="19"/>
        <v>这里的B就是前面提到的按钮矩阵BN，</v>
      </c>
      <c r="J183" s="1">
        <f t="shared" ca="1" si="20"/>
        <v>5.6488425925925925E-3</v>
      </c>
      <c r="K183" s="1" t="b">
        <f t="shared" ca="1" si="21"/>
        <v>0</v>
      </c>
    </row>
    <row r="184" spans="1:11" x14ac:dyDescent="0.3">
      <c r="A184">
        <v>188</v>
      </c>
      <c r="B184" s="11">
        <v>5.6562499999999998E-3</v>
      </c>
      <c r="C184" s="11">
        <v>5.6914351851851857E-3</v>
      </c>
      <c r="D184" t="str">
        <f ca="1">srt!C183</f>
        <v>而Y就是翻转向量的最后一行，</v>
      </c>
      <c r="E184" t="str">
        <f t="shared" ca="1" si="15"/>
        <v>，</v>
      </c>
      <c r="F184" t="b">
        <f t="shared" ca="1" si="16"/>
        <v>0</v>
      </c>
      <c r="G184">
        <f t="shared" ca="1" si="17"/>
        <v>60</v>
      </c>
      <c r="H184" t="str">
        <f t="shared" ca="1" si="18"/>
        <v/>
      </c>
      <c r="I184" t="str">
        <f t="shared" ca="1" si="19"/>
        <v>这里的B就是前面提到的按钮矩阵BN，而Y就是翻转向量的最后一行，</v>
      </c>
      <c r="J184" s="1">
        <f t="shared" ca="1" si="20"/>
        <v>5.6488425925925925E-3</v>
      </c>
      <c r="K184" s="1" t="b">
        <f t="shared" ca="1" si="21"/>
        <v>0</v>
      </c>
    </row>
    <row r="185" spans="1:11" x14ac:dyDescent="0.3">
      <c r="A185">
        <v>189</v>
      </c>
      <c r="B185" s="11">
        <v>5.6918981481481482E-3</v>
      </c>
      <c r="C185" s="11">
        <v>5.6969907407407412E-3</v>
      </c>
      <c r="D185" t="str">
        <f ca="1">srt!C184</f>
        <v>即BN的增广向量。</v>
      </c>
      <c r="E185" t="str">
        <f t="shared" ca="1" si="15"/>
        <v>。</v>
      </c>
      <c r="F185" t="b">
        <f t="shared" ca="1" si="16"/>
        <v>1</v>
      </c>
      <c r="G185">
        <f t="shared" ca="1" si="17"/>
        <v>60</v>
      </c>
      <c r="H185">
        <f t="shared" ca="1" si="18"/>
        <v>60</v>
      </c>
      <c r="I185" t="str">
        <f t="shared" ca="1" si="19"/>
        <v>这里的B就是前面提到的按钮矩阵BN，而Y就是翻转向量的最后一行，即BN的增广向量。</v>
      </c>
      <c r="J185" s="1">
        <f t="shared" ca="1" si="20"/>
        <v>5.6488425925925925E-3</v>
      </c>
      <c r="K185" s="1">
        <f t="shared" ca="1" si="21"/>
        <v>5.6969907407407412E-3</v>
      </c>
    </row>
    <row r="186" spans="1:11" x14ac:dyDescent="0.3">
      <c r="A186">
        <v>190</v>
      </c>
      <c r="B186" s="11">
        <v>5.6983796296296296E-3</v>
      </c>
      <c r="C186" s="11">
        <v>5.7233796296296295E-3</v>
      </c>
      <c r="D186" t="str">
        <f ca="1">srt!C185</f>
        <v>我们的目标是对于BX等于Y，</v>
      </c>
      <c r="E186" t="str">
        <f t="shared" ca="1" si="15"/>
        <v>，</v>
      </c>
      <c r="F186" t="b">
        <f t="shared" ca="1" si="16"/>
        <v>0</v>
      </c>
      <c r="G186">
        <f t="shared" ca="1" si="17"/>
        <v>61</v>
      </c>
      <c r="H186" t="str">
        <f t="shared" ca="1" si="18"/>
        <v/>
      </c>
      <c r="I186" t="str">
        <f t="shared" ca="1" si="19"/>
        <v>我们的目标是对于BX等于Y，</v>
      </c>
      <c r="J186" s="1">
        <f t="shared" ca="1" si="20"/>
        <v>5.6983796296296296E-3</v>
      </c>
      <c r="K186" s="1" t="b">
        <f t="shared" ca="1" si="21"/>
        <v>0</v>
      </c>
    </row>
    <row r="187" spans="1:11" x14ac:dyDescent="0.3">
      <c r="A187">
        <v>191</v>
      </c>
      <c r="B187" s="11">
        <v>5.7233796296296295E-3</v>
      </c>
      <c r="C187" s="11">
        <v>5.7483796296296302E-3</v>
      </c>
      <c r="D187" t="str">
        <f ca="1">srt!C186</f>
        <v>在已知B的第一行和Y的情况下求X。</v>
      </c>
      <c r="E187" t="str">
        <f t="shared" ca="1" si="15"/>
        <v>。</v>
      </c>
      <c r="F187" t="b">
        <f t="shared" ca="1" si="16"/>
        <v>1</v>
      </c>
      <c r="G187">
        <f t="shared" ca="1" si="17"/>
        <v>61</v>
      </c>
      <c r="H187">
        <f t="shared" ca="1" si="18"/>
        <v>61</v>
      </c>
      <c r="I187" t="str">
        <f t="shared" ca="1" si="19"/>
        <v>我们的目标是对于BX等于Y，在已知B的第一行和Y的情况下求X。</v>
      </c>
      <c r="J187" s="1">
        <f t="shared" ca="1" si="20"/>
        <v>5.6983796296296296E-3</v>
      </c>
      <c r="K187" s="1">
        <f t="shared" ca="1" si="21"/>
        <v>5.7483796296296302E-3</v>
      </c>
    </row>
    <row r="188" spans="1:11" x14ac:dyDescent="0.3">
      <c r="A188">
        <v>192</v>
      </c>
      <c r="B188" s="11">
        <v>5.7502314814814812E-3</v>
      </c>
      <c r="C188" s="11">
        <v>5.7562500000000001E-3</v>
      </c>
      <c r="D188" t="str">
        <f ca="1">srt!C187</f>
        <v>如果将N在不同情况下的B的第一行写在一起，</v>
      </c>
      <c r="E188" t="str">
        <f t="shared" ca="1" si="15"/>
        <v>，</v>
      </c>
      <c r="F188" t="b">
        <f t="shared" ca="1" si="16"/>
        <v>0</v>
      </c>
      <c r="G188">
        <f t="shared" ca="1" si="17"/>
        <v>62</v>
      </c>
      <c r="H188" t="str">
        <f t="shared" ca="1" si="18"/>
        <v/>
      </c>
      <c r="I188" t="str">
        <f t="shared" ca="1" si="19"/>
        <v>如果将N在不同情况下的B的第一行写在一起，</v>
      </c>
      <c r="J188" s="1">
        <f t="shared" ca="1" si="20"/>
        <v>5.7502314814814812E-3</v>
      </c>
      <c r="K188" s="1" t="b">
        <f t="shared" ca="1" si="21"/>
        <v>0</v>
      </c>
    </row>
    <row r="189" spans="1:11" x14ac:dyDescent="0.3">
      <c r="A189">
        <v>193</v>
      </c>
      <c r="B189" s="11">
        <v>5.7562500000000001E-3</v>
      </c>
      <c r="C189" s="11">
        <v>5.8002314814814817E-3</v>
      </c>
      <c r="D189" t="str">
        <f ca="1">srt!C188</f>
        <v>矩阵长这样即为B撇。</v>
      </c>
      <c r="E189" t="str">
        <f t="shared" ca="1" si="15"/>
        <v>。</v>
      </c>
      <c r="F189" t="b">
        <f t="shared" ca="1" si="16"/>
        <v>1</v>
      </c>
      <c r="G189">
        <f t="shared" ca="1" si="17"/>
        <v>62</v>
      </c>
      <c r="H189">
        <f t="shared" ca="1" si="18"/>
        <v>62</v>
      </c>
      <c r="I189" t="str">
        <f t="shared" ca="1" si="19"/>
        <v>如果将N在不同情况下的B的第一行写在一起，矩阵长这样即为B撇。</v>
      </c>
      <c r="J189" s="1">
        <f t="shared" ca="1" si="20"/>
        <v>5.7502314814814812E-3</v>
      </c>
      <c r="K189" s="1">
        <f t="shared" ca="1" si="21"/>
        <v>5.8002314814814817E-3</v>
      </c>
    </row>
    <row r="190" spans="1:11" x14ac:dyDescent="0.3">
      <c r="A190">
        <v>194</v>
      </c>
      <c r="B190" s="11">
        <v>5.8002314814814817E-3</v>
      </c>
      <c r="C190" s="11">
        <v>5.8474537037037037E-3</v>
      </c>
      <c r="D190" t="str">
        <f ca="1">srt!C189</f>
        <v>注意这里的B撇矩阵不是刚才说的当N确定时的完整的矩阵B。</v>
      </c>
      <c r="E190" t="str">
        <f t="shared" ca="1" si="15"/>
        <v>。</v>
      </c>
      <c r="F190" t="b">
        <f t="shared" ca="1" si="16"/>
        <v>1</v>
      </c>
      <c r="G190">
        <f t="shared" ca="1" si="17"/>
        <v>63</v>
      </c>
      <c r="H190">
        <f t="shared" ca="1" si="18"/>
        <v>63</v>
      </c>
      <c r="I190" t="str">
        <f t="shared" ca="1" si="19"/>
        <v>注意这里的B撇矩阵不是刚才说的当N确定时的完整的矩阵B。</v>
      </c>
      <c r="J190" s="1">
        <f t="shared" ca="1" si="20"/>
        <v>5.8002314814814817E-3</v>
      </c>
      <c r="K190" s="1">
        <f t="shared" ca="1" si="21"/>
        <v>5.8474537037037037E-3</v>
      </c>
    </row>
    <row r="191" spans="1:11" x14ac:dyDescent="0.3">
      <c r="A191">
        <v>195</v>
      </c>
      <c r="B191" s="11">
        <v>5.8474537037037037E-3</v>
      </c>
      <c r="C191" s="11">
        <v>5.8724537037037035E-3</v>
      </c>
      <c r="D191" t="str">
        <f ca="1">srt!C190</f>
        <v>而是BN的第一行拼接起来的结果，</v>
      </c>
      <c r="E191" t="str">
        <f t="shared" ca="1" si="15"/>
        <v>，</v>
      </c>
      <c r="F191" t="b">
        <f t="shared" ca="1" si="16"/>
        <v>0</v>
      </c>
      <c r="G191">
        <f t="shared" ca="1" si="17"/>
        <v>64</v>
      </c>
      <c r="H191" t="str">
        <f t="shared" ca="1" si="18"/>
        <v/>
      </c>
      <c r="I191" t="str">
        <f t="shared" ca="1" si="19"/>
        <v>而是BN的第一行拼接起来的结果，</v>
      </c>
      <c r="J191" s="1">
        <f t="shared" ca="1" si="20"/>
        <v>5.8474537037037037E-3</v>
      </c>
      <c r="K191" s="1" t="b">
        <f t="shared" ca="1" si="21"/>
        <v>0</v>
      </c>
    </row>
    <row r="192" spans="1:11" x14ac:dyDescent="0.3">
      <c r="A192">
        <v>196</v>
      </c>
      <c r="B192" s="11">
        <v>5.8729166666666669E-3</v>
      </c>
      <c r="C192" s="11">
        <v>5.9048611111111116E-3</v>
      </c>
      <c r="D192" t="str">
        <f ca="1">srt!C191</f>
        <v>另外这里从n等于零开始，</v>
      </c>
      <c r="E192" t="str">
        <f t="shared" ca="1" si="15"/>
        <v>，</v>
      </c>
      <c r="F192" t="b">
        <f t="shared" ca="1" si="16"/>
        <v>0</v>
      </c>
      <c r="G192">
        <f t="shared" ca="1" si="17"/>
        <v>64</v>
      </c>
      <c r="H192" t="str">
        <f t="shared" ca="1" si="18"/>
        <v/>
      </c>
      <c r="I192" t="str">
        <f t="shared" ca="1" si="19"/>
        <v>而是BN的第一行拼接起来的结果，另外这里从n等于零开始，</v>
      </c>
      <c r="J192" s="1">
        <f t="shared" ca="1" si="20"/>
        <v>5.8474537037037037E-3</v>
      </c>
      <c r="K192" s="1" t="b">
        <f t="shared" ca="1" si="21"/>
        <v>0</v>
      </c>
    </row>
    <row r="193" spans="1:11" x14ac:dyDescent="0.3">
      <c r="A193">
        <v>197</v>
      </c>
      <c r="B193" s="11">
        <v>5.9053240740740741E-3</v>
      </c>
      <c r="C193" s="11">
        <v>5.9715277777777787E-3</v>
      </c>
      <c r="D193" t="str">
        <f ca="1">srt!C192</f>
        <v>一共递推n次，</v>
      </c>
      <c r="E193" t="str">
        <f t="shared" ca="1" si="15"/>
        <v>，</v>
      </c>
      <c r="F193" t="b">
        <f t="shared" ca="1" si="16"/>
        <v>0</v>
      </c>
      <c r="G193">
        <f t="shared" ca="1" si="17"/>
        <v>64</v>
      </c>
      <c r="H193" t="str">
        <f t="shared" ca="1" si="18"/>
        <v/>
      </c>
      <c r="I193" t="str">
        <f t="shared" ca="1" si="19"/>
        <v>而是BN的第一行拼接起来的结果，另外这里从n等于零开始，一共递推n次，</v>
      </c>
      <c r="J193" s="1">
        <f t="shared" ca="1" si="20"/>
        <v>5.8474537037037037E-3</v>
      </c>
      <c r="K193" s="1" t="b">
        <f t="shared" ca="1" si="21"/>
        <v>0</v>
      </c>
    </row>
    <row r="194" spans="1:11" x14ac:dyDescent="0.3">
      <c r="A194">
        <v>198</v>
      </c>
      <c r="B194" s="11">
        <v>5.9715277777777787E-3</v>
      </c>
      <c r="C194" s="11">
        <v>5.9854166666666667E-3</v>
      </c>
      <c r="D194" t="str">
        <f ca="1">srt!C193</f>
        <v>最后一个一不包含在矩阵B的第一行内，</v>
      </c>
      <c r="E194" t="str">
        <f t="shared" ca="1" si="15"/>
        <v>，</v>
      </c>
      <c r="F194" t="b">
        <f t="shared" ca="1" si="16"/>
        <v>0</v>
      </c>
      <c r="G194">
        <f t="shared" ca="1" si="17"/>
        <v>64</v>
      </c>
      <c r="H194" t="str">
        <f t="shared" ca="1" si="18"/>
        <v/>
      </c>
      <c r="I194" t="str">
        <f t="shared" ca="1" si="19"/>
        <v>而是BN的第一行拼接起来的结果，另外这里从n等于零开始，一共递推n次，最后一个一不包含在矩阵B的第一行内，</v>
      </c>
      <c r="J194" s="1">
        <f t="shared" ca="1" si="20"/>
        <v>5.8474537037037037E-3</v>
      </c>
      <c r="K194" s="1" t="b">
        <f t="shared" ca="1" si="21"/>
        <v>0</v>
      </c>
    </row>
    <row r="195" spans="1:11" x14ac:dyDescent="0.3">
      <c r="A195">
        <v>199</v>
      </c>
      <c r="B195" s="11">
        <v>5.9868055555555551E-3</v>
      </c>
      <c r="C195" s="11">
        <v>6.0113425925925924E-3</v>
      </c>
      <c r="D195" t="str">
        <f ca="1">srt!C194</f>
        <v>例如n等于70，</v>
      </c>
      <c r="E195" t="str">
        <f t="shared" ca="1" si="15"/>
        <v>，</v>
      </c>
      <c r="F195" t="b">
        <f t="shared" ca="1" si="16"/>
        <v>0</v>
      </c>
      <c r="G195">
        <f t="shared" ca="1" si="17"/>
        <v>64</v>
      </c>
      <c r="H195" t="str">
        <f t="shared" ca="1" si="18"/>
        <v/>
      </c>
      <c r="I195" t="str">
        <f t="shared" ca="1" si="19"/>
        <v>而是BN的第一行拼接起来的结果，另外这里从n等于零开始，一共递推n次，最后一个一不包含在矩阵B的第一行内，例如n等于70，</v>
      </c>
      <c r="J195" s="1">
        <f t="shared" ca="1" si="20"/>
        <v>5.8474537037037037E-3</v>
      </c>
      <c r="K195" s="1" t="b">
        <f t="shared" ca="1" si="21"/>
        <v>0</v>
      </c>
    </row>
    <row r="196" spans="1:11" x14ac:dyDescent="0.3">
      <c r="A196">
        <v>200</v>
      </c>
      <c r="B196" s="11">
        <v>6.0127314814814817E-3</v>
      </c>
      <c r="C196" s="11">
        <v>6.0548611111111107E-3</v>
      </c>
      <c r="D196" t="str">
        <f ca="1">srt!C195</f>
        <v>第一行为1011011，</v>
      </c>
      <c r="E196" t="str">
        <f t="shared" ref="E196:E259" ca="1" si="22">RIGHT(D196,1)</f>
        <v>，</v>
      </c>
      <c r="F196" t="b">
        <f t="shared" ref="F196:F259" ca="1" si="23">OR(E196="。",E196="？", E196="！")</f>
        <v>0</v>
      </c>
      <c r="G196">
        <f t="shared" ref="G196:G259" ca="1" si="24">F195+G195</f>
        <v>64</v>
      </c>
      <c r="H196" t="str">
        <f t="shared" ref="H196:H259" ca="1" si="25">IF(F196,G196,"")</f>
        <v/>
      </c>
      <c r="I196" t="str">
        <f t="shared" ref="I196:I259" ca="1" si="26">IF(F195,D196,I195&amp;D196)</f>
        <v>而是BN的第一行拼接起来的结果，另外这里从n等于零开始，一共递推n次，最后一个一不包含在矩阵B的第一行内，例如n等于70，第一行为1011011，</v>
      </c>
      <c r="J196" s="1">
        <f t="shared" ref="J196:J259" ca="1" si="27">IF(F195,B196,J195)</f>
        <v>5.8474537037037037E-3</v>
      </c>
      <c r="K196" s="1" t="b">
        <f t="shared" ref="K196:K259" ca="1" si="28">IF(F196,C196)</f>
        <v>0</v>
      </c>
    </row>
    <row r="197" spans="1:11" x14ac:dyDescent="0.3">
      <c r="A197">
        <v>201</v>
      </c>
      <c r="B197" s="11">
        <v>6.0590277777777778E-3</v>
      </c>
      <c r="C197" s="11">
        <v>6.1043981481481479E-3</v>
      </c>
      <c r="D197" t="str">
        <f ca="1">srt!C196</f>
        <v>最后一个一省去，</v>
      </c>
      <c r="E197" t="str">
        <f t="shared" ca="1" si="22"/>
        <v>，</v>
      </c>
      <c r="F197" t="b">
        <f t="shared" ca="1" si="23"/>
        <v>0</v>
      </c>
      <c r="G197">
        <f t="shared" ca="1" si="24"/>
        <v>64</v>
      </c>
      <c r="H197" t="str">
        <f t="shared" ca="1" si="25"/>
        <v/>
      </c>
      <c r="I197" t="str">
        <f t="shared" ca="1" si="26"/>
        <v>而是BN的第一行拼接起来的结果，另外这里从n等于零开始，一共递推n次，最后一个一不包含在矩阵B的第一行内，例如n等于70，第一行为1011011，最后一个一省去，</v>
      </c>
      <c r="J197" s="1">
        <f t="shared" ca="1" si="27"/>
        <v>5.8474537037037037E-3</v>
      </c>
      <c r="K197" s="1" t="b">
        <f t="shared" ca="1" si="28"/>
        <v>0</v>
      </c>
    </row>
    <row r="198" spans="1:11" x14ac:dyDescent="0.3">
      <c r="A198">
        <v>202</v>
      </c>
      <c r="B198" s="11">
        <v>6.1053240740740738E-3</v>
      </c>
      <c r="C198" s="11">
        <v>6.1530092592592591E-3</v>
      </c>
      <c r="D198" t="str">
        <f ca="1">srt!C197</f>
        <v>改写后的矩阵记为B撇撇等于B撇加i，</v>
      </c>
      <c r="E198" t="str">
        <f t="shared" ca="1" si="22"/>
        <v>，</v>
      </c>
      <c r="F198" t="b">
        <f t="shared" ca="1" si="23"/>
        <v>0</v>
      </c>
      <c r="G198">
        <f t="shared" ca="1" si="24"/>
        <v>64</v>
      </c>
      <c r="H198" t="str">
        <f t="shared" ca="1" si="25"/>
        <v/>
      </c>
      <c r="I198" t="str">
        <f t="shared" ca="1" si="26"/>
        <v>而是BN的第一行拼接起来的结果，另外这里从n等于零开始，一共递推n次，最后一个一不包含在矩阵B的第一行内，例如n等于70，第一行为1011011，最后一个一省去，改写后的矩阵记为B撇撇等于B撇加i，</v>
      </c>
      <c r="J198" s="1">
        <f t="shared" ca="1" si="27"/>
        <v>5.8474537037037037E-3</v>
      </c>
      <c r="K198" s="1" t="b">
        <f t="shared" ca="1" si="28"/>
        <v>0</v>
      </c>
    </row>
    <row r="199" spans="1:11" x14ac:dyDescent="0.3">
      <c r="A199">
        <v>203</v>
      </c>
      <c r="B199" s="11">
        <v>6.1539351851851859E-3</v>
      </c>
      <c r="C199" s="11">
        <v>6.1932870370370371E-3</v>
      </c>
      <c r="D199" t="str">
        <f ca="1">srt!C198</f>
        <v>把y的第一行写在一起是这样的，</v>
      </c>
      <c r="E199" t="str">
        <f t="shared" ca="1" si="22"/>
        <v>，</v>
      </c>
      <c r="F199" t="b">
        <f t="shared" ca="1" si="23"/>
        <v>0</v>
      </c>
      <c r="G199">
        <f t="shared" ca="1" si="24"/>
        <v>64</v>
      </c>
      <c r="H199" t="str">
        <f t="shared" ca="1" si="25"/>
        <v/>
      </c>
      <c r="I199" t="str">
        <f t="shared" ca="1" si="26"/>
        <v>而是BN的第一行拼接起来的结果，另外这里从n等于零开始，一共递推n次，最后一个一不包含在矩阵B的第一行内，例如n等于70，第一行为1011011，最后一个一省去，改写后的矩阵记为B撇撇等于B撇加i，把y的第一行写在一起是这样的，</v>
      </c>
      <c r="J199" s="1">
        <f t="shared" ca="1" si="27"/>
        <v>5.8474537037037037E-3</v>
      </c>
      <c r="K199" s="1" t="b">
        <f t="shared" ca="1" si="28"/>
        <v>0</v>
      </c>
    </row>
    <row r="200" spans="1:11" x14ac:dyDescent="0.3">
      <c r="A200">
        <v>204</v>
      </c>
      <c r="B200" s="11">
        <v>6.1946759259259264E-3</v>
      </c>
      <c r="C200" s="11">
        <v>6.2261574074074077E-3</v>
      </c>
      <c r="D200" t="str">
        <f ca="1">srt!C199</f>
        <v>记为y撇。</v>
      </c>
      <c r="E200" t="str">
        <f t="shared" ca="1" si="22"/>
        <v>。</v>
      </c>
      <c r="F200" t="b">
        <f t="shared" ca="1" si="23"/>
        <v>1</v>
      </c>
      <c r="G200">
        <f t="shared" ca="1" si="24"/>
        <v>64</v>
      </c>
      <c r="H200">
        <f t="shared" ca="1" si="25"/>
        <v>64</v>
      </c>
      <c r="I200" t="str">
        <f t="shared" ca="1" si="26"/>
        <v>而是BN的第一行拼接起来的结果，另外这里从n等于零开始，一共递推n次，最后一个一不包含在矩阵B的第一行内，例如n等于70，第一行为1011011，最后一个一省去，改写后的矩阵记为B撇撇等于B撇加i，把y的第一行写在一起是这样的，记为y撇。</v>
      </c>
      <c r="J200" s="1">
        <f t="shared" ca="1" si="27"/>
        <v>5.8474537037037037E-3</v>
      </c>
      <c r="K200" s="1">
        <f t="shared" ca="1" si="28"/>
        <v>6.2261574074074077E-3</v>
      </c>
    </row>
    <row r="201" spans="1:11" x14ac:dyDescent="0.3">
      <c r="A201">
        <v>205</v>
      </c>
      <c r="B201" s="11">
        <v>6.2266203703703702E-3</v>
      </c>
      <c r="C201" s="11">
        <v>6.2668981481481482E-3</v>
      </c>
      <c r="D201" t="str">
        <f ca="1">srt!C200</f>
        <v>合并在一起后的Y，</v>
      </c>
      <c r="E201" t="str">
        <f t="shared" ca="1" si="22"/>
        <v>，</v>
      </c>
      <c r="F201" t="b">
        <f t="shared" ca="1" si="23"/>
        <v>0</v>
      </c>
      <c r="G201">
        <f t="shared" ca="1" si="24"/>
        <v>65</v>
      </c>
      <c r="H201" t="str">
        <f t="shared" ca="1" si="25"/>
        <v/>
      </c>
      <c r="I201" t="str">
        <f t="shared" ca="1" si="26"/>
        <v>合并在一起后的Y，</v>
      </c>
      <c r="J201" s="1">
        <f t="shared" ca="1" si="27"/>
        <v>6.2266203703703702E-3</v>
      </c>
      <c r="K201" s="1" t="b">
        <f t="shared" ca="1" si="28"/>
        <v>0</v>
      </c>
    </row>
    <row r="202" spans="1:11" x14ac:dyDescent="0.3">
      <c r="A202">
        <v>206</v>
      </c>
      <c r="B202" s="11">
        <v>6.2678240740740732E-3</v>
      </c>
      <c r="C202" s="11">
        <v>6.309027777777778E-3</v>
      </c>
      <c r="D202" t="str">
        <f ca="1">srt!C201</f>
        <v>撇有以上递推公式。</v>
      </c>
      <c r="E202" t="str">
        <f t="shared" ca="1" si="22"/>
        <v>。</v>
      </c>
      <c r="F202" t="b">
        <f t="shared" ca="1" si="23"/>
        <v>1</v>
      </c>
      <c r="G202">
        <f t="shared" ca="1" si="24"/>
        <v>65</v>
      </c>
      <c r="H202">
        <f t="shared" ca="1" si="25"/>
        <v>65</v>
      </c>
      <c r="I202" t="str">
        <f t="shared" ca="1" si="26"/>
        <v>合并在一起后的Y，撇有以上递推公式。</v>
      </c>
      <c r="J202" s="1">
        <f t="shared" ca="1" si="27"/>
        <v>6.2266203703703702E-3</v>
      </c>
      <c r="K202" s="1">
        <f t="shared" ca="1" si="28"/>
        <v>6.309027777777778E-3</v>
      </c>
    </row>
    <row r="203" spans="1:11" x14ac:dyDescent="0.3">
      <c r="A203">
        <v>207</v>
      </c>
      <c r="B203" s="11">
        <v>6.3113425925925924E-3</v>
      </c>
      <c r="C203" s="11">
        <v>6.3409722222222227E-3</v>
      </c>
      <c r="D203" t="str">
        <f ca="1">srt!C202</f>
        <v>为了不对整个矩阵进行操作，</v>
      </c>
      <c r="E203" t="str">
        <f t="shared" ca="1" si="22"/>
        <v>，</v>
      </c>
      <c r="F203" t="b">
        <f t="shared" ca="1" si="23"/>
        <v>0</v>
      </c>
      <c r="G203">
        <f t="shared" ca="1" si="24"/>
        <v>66</v>
      </c>
      <c r="H203" t="str">
        <f t="shared" ca="1" si="25"/>
        <v/>
      </c>
      <c r="I203" t="str">
        <f t="shared" ca="1" si="26"/>
        <v>为了不对整个矩阵进行操作，</v>
      </c>
      <c r="J203" s="1">
        <f t="shared" ca="1" si="27"/>
        <v>6.3113425925925924E-3</v>
      </c>
      <c r="K203" s="1" t="b">
        <f t="shared" ca="1" si="28"/>
        <v>0</v>
      </c>
    </row>
    <row r="204" spans="1:11" x14ac:dyDescent="0.3">
      <c r="A204">
        <v>208</v>
      </c>
      <c r="B204" s="11">
        <v>6.3418981481481486E-3</v>
      </c>
      <c r="C204" s="11">
        <v>6.3932870370370367E-3</v>
      </c>
      <c r="D204" t="str">
        <f ca="1">srt!C203</f>
        <v>我们需要将矩阵B进行分解。</v>
      </c>
      <c r="E204" t="str">
        <f t="shared" ca="1" si="22"/>
        <v>。</v>
      </c>
      <c r="F204" t="b">
        <f t="shared" ca="1" si="23"/>
        <v>1</v>
      </c>
      <c r="G204">
        <f t="shared" ca="1" si="24"/>
        <v>66</v>
      </c>
      <c r="H204">
        <f t="shared" ca="1" si="25"/>
        <v>66</v>
      </c>
      <c r="I204" t="str">
        <f t="shared" ca="1" si="26"/>
        <v>为了不对整个矩阵进行操作，我们需要将矩阵B进行分解。</v>
      </c>
      <c r="J204" s="1">
        <f t="shared" ca="1" si="27"/>
        <v>6.3113425925925924E-3</v>
      </c>
      <c r="K204" s="1">
        <f t="shared" ca="1" si="28"/>
        <v>6.3932870370370367E-3</v>
      </c>
    </row>
    <row r="205" spans="1:11" x14ac:dyDescent="0.3">
      <c r="A205">
        <v>209</v>
      </c>
      <c r="B205" s="11">
        <v>6.3969907407407413E-3</v>
      </c>
      <c r="C205" s="11">
        <v>6.4196759259259259E-3</v>
      </c>
      <c r="D205" t="str">
        <f ca="1">srt!C204</f>
        <v>这里介绍一个非常重要的矩阵H，</v>
      </c>
      <c r="E205" t="str">
        <f t="shared" ca="1" si="22"/>
        <v>，</v>
      </c>
      <c r="F205" t="b">
        <f t="shared" ca="1" si="23"/>
        <v>0</v>
      </c>
      <c r="G205">
        <f t="shared" ca="1" si="24"/>
        <v>67</v>
      </c>
      <c r="H205" t="str">
        <f t="shared" ca="1" si="25"/>
        <v/>
      </c>
      <c r="I205" t="str">
        <f t="shared" ca="1" si="26"/>
        <v>这里介绍一个非常重要的矩阵H，</v>
      </c>
      <c r="J205" s="1">
        <f t="shared" ca="1" si="27"/>
        <v>6.3969907407407413E-3</v>
      </c>
      <c r="K205" s="1" t="b">
        <f t="shared" ca="1" si="28"/>
        <v>0</v>
      </c>
    </row>
    <row r="206" spans="1:11" x14ac:dyDescent="0.3">
      <c r="A206">
        <v>210</v>
      </c>
      <c r="B206" s="11">
        <v>6.4201388888888893E-3</v>
      </c>
      <c r="C206" s="11">
        <v>6.4493055555555553E-3</v>
      </c>
      <c r="D206" t="str">
        <f ca="1">srt!C205</f>
        <v>称为邻接扩散矩阵。</v>
      </c>
      <c r="E206" t="str">
        <f t="shared" ca="1" si="22"/>
        <v>。</v>
      </c>
      <c r="F206" t="b">
        <f t="shared" ca="1" si="23"/>
        <v>1</v>
      </c>
      <c r="G206">
        <f t="shared" ca="1" si="24"/>
        <v>67</v>
      </c>
      <c r="H206">
        <f t="shared" ca="1" si="25"/>
        <v>67</v>
      </c>
      <c r="I206" t="str">
        <f t="shared" ca="1" si="26"/>
        <v>这里介绍一个非常重要的矩阵H，称为邻接扩散矩阵。</v>
      </c>
      <c r="J206" s="1">
        <f t="shared" ca="1" si="27"/>
        <v>6.3969907407407413E-3</v>
      </c>
      <c r="K206" s="1">
        <f t="shared" ca="1" si="28"/>
        <v>6.4493055555555553E-3</v>
      </c>
    </row>
    <row r="207" spans="1:11" x14ac:dyDescent="0.3">
      <c r="A207">
        <v>211</v>
      </c>
      <c r="B207" s="11">
        <v>6.4506944444444447E-3</v>
      </c>
      <c r="C207" s="11">
        <v>6.4798611111111116E-3</v>
      </c>
      <c r="D207" t="str">
        <f ca="1">srt!C206</f>
        <v>对于H的每一个元素，</v>
      </c>
      <c r="E207" t="str">
        <f t="shared" ca="1" si="22"/>
        <v>，</v>
      </c>
      <c r="F207" t="b">
        <f t="shared" ca="1" si="23"/>
        <v>0</v>
      </c>
      <c r="G207">
        <f t="shared" ca="1" si="24"/>
        <v>68</v>
      </c>
      <c r="H207" t="str">
        <f t="shared" ca="1" si="25"/>
        <v/>
      </c>
      <c r="I207" t="str">
        <f t="shared" ca="1" si="26"/>
        <v>对于H的每一个元素，</v>
      </c>
      <c r="J207" s="1">
        <f t="shared" ca="1" si="27"/>
        <v>6.4506944444444447E-3</v>
      </c>
      <c r="K207" s="1" t="b">
        <f t="shared" ca="1" si="28"/>
        <v>0</v>
      </c>
    </row>
    <row r="208" spans="1:11" x14ac:dyDescent="0.3">
      <c r="A208">
        <v>212</v>
      </c>
      <c r="B208" s="11">
        <v>6.4803240740740741E-3</v>
      </c>
      <c r="C208" s="11">
        <v>6.5150462962962957E-3</v>
      </c>
      <c r="D208" t="str">
        <f ca="1">srt!C207</f>
        <v>如果X和Y得差为一十取一，</v>
      </c>
      <c r="E208" t="str">
        <f t="shared" ca="1" si="22"/>
        <v>，</v>
      </c>
      <c r="F208" t="b">
        <f t="shared" ca="1" si="23"/>
        <v>0</v>
      </c>
      <c r="G208">
        <f t="shared" ca="1" si="24"/>
        <v>68</v>
      </c>
      <c r="H208" t="str">
        <f t="shared" ca="1" si="25"/>
        <v/>
      </c>
      <c r="I208" t="str">
        <f t="shared" ca="1" si="26"/>
        <v>对于H的每一个元素，如果X和Y得差为一十取一，</v>
      </c>
      <c r="J208" s="1">
        <f t="shared" ca="1" si="27"/>
        <v>6.4506944444444447E-3</v>
      </c>
      <c r="K208" s="1" t="b">
        <f t="shared" ca="1" si="28"/>
        <v>0</v>
      </c>
    </row>
    <row r="209" spans="1:11" x14ac:dyDescent="0.3">
      <c r="A209">
        <v>213</v>
      </c>
      <c r="B209" s="11">
        <v>6.5150462962962957E-3</v>
      </c>
      <c r="C209" s="11">
        <v>6.5238425925925924E-3</v>
      </c>
      <c r="D209" t="str">
        <f ca="1">srt!C208</f>
        <v>否则取零。</v>
      </c>
      <c r="E209" t="str">
        <f t="shared" ca="1" si="22"/>
        <v>。</v>
      </c>
      <c r="F209" t="b">
        <f t="shared" ca="1" si="23"/>
        <v>1</v>
      </c>
      <c r="G209">
        <f t="shared" ca="1" si="24"/>
        <v>68</v>
      </c>
      <c r="H209">
        <f t="shared" ca="1" si="25"/>
        <v>68</v>
      </c>
      <c r="I209" t="str">
        <f t="shared" ca="1" si="26"/>
        <v>对于H的每一个元素，如果X和Y得差为一十取一，否则取零。</v>
      </c>
      <c r="J209" s="1">
        <f t="shared" ca="1" si="27"/>
        <v>6.4506944444444447E-3</v>
      </c>
      <c r="K209" s="1">
        <f t="shared" ca="1" si="28"/>
        <v>6.5238425925925924E-3</v>
      </c>
    </row>
    <row r="210" spans="1:11" x14ac:dyDescent="0.3">
      <c r="A210">
        <v>214</v>
      </c>
      <c r="B210" s="11">
        <v>6.5238425925925924E-3</v>
      </c>
      <c r="C210" s="11">
        <v>6.5474537037037046E-3</v>
      </c>
      <c r="D210" t="str">
        <f ca="1">srt!C209</f>
        <v>如果将向量V乘以该矩阵，</v>
      </c>
      <c r="E210" t="str">
        <f t="shared" ca="1" si="22"/>
        <v>，</v>
      </c>
      <c r="F210" t="b">
        <f t="shared" ca="1" si="23"/>
        <v>0</v>
      </c>
      <c r="G210">
        <f t="shared" ca="1" si="24"/>
        <v>69</v>
      </c>
      <c r="H210" t="str">
        <f t="shared" ca="1" si="25"/>
        <v/>
      </c>
      <c r="I210" t="str">
        <f t="shared" ca="1" si="26"/>
        <v>如果将向量V乘以该矩阵，</v>
      </c>
      <c r="J210" s="1">
        <f t="shared" ca="1" si="27"/>
        <v>6.5238425925925924E-3</v>
      </c>
      <c r="K210" s="1" t="b">
        <f t="shared" ca="1" si="28"/>
        <v>0</v>
      </c>
    </row>
    <row r="211" spans="1:11" x14ac:dyDescent="0.3">
      <c r="A211">
        <v>215</v>
      </c>
      <c r="B211" s="11">
        <v>6.5474537037037046E-3</v>
      </c>
      <c r="C211" s="11">
        <v>6.5881944444444451E-3</v>
      </c>
      <c r="D211" t="str">
        <f ca="1">srt!C210</f>
        <v>等同于将向量V的每个元素向左右扩散后叠加。</v>
      </c>
      <c r="E211" t="str">
        <f t="shared" ca="1" si="22"/>
        <v>。</v>
      </c>
      <c r="F211" t="b">
        <f t="shared" ca="1" si="23"/>
        <v>1</v>
      </c>
      <c r="G211">
        <f t="shared" ca="1" si="24"/>
        <v>69</v>
      </c>
      <c r="H211">
        <f t="shared" ca="1" si="25"/>
        <v>69</v>
      </c>
      <c r="I211" t="str">
        <f t="shared" ca="1" si="26"/>
        <v>如果将向量V乘以该矩阵，等同于将向量V的每个元素向左右扩散后叠加。</v>
      </c>
      <c r="J211" s="1">
        <f t="shared" ca="1" si="27"/>
        <v>6.5238425925925924E-3</v>
      </c>
      <c r="K211" s="1">
        <f t="shared" ca="1" si="28"/>
        <v>6.5881944444444451E-3</v>
      </c>
    </row>
    <row r="212" spans="1:11" x14ac:dyDescent="0.3">
      <c r="A212">
        <v>216</v>
      </c>
      <c r="B212" s="11">
        <v>6.5895833333333336E-3</v>
      </c>
      <c r="C212" s="11">
        <v>6.5997685185185187E-3</v>
      </c>
      <c r="D212" t="str">
        <f ca="1">srt!C211</f>
        <v>这是因为矩阵的对应行就是向量每个元素左右扩散的结果，</v>
      </c>
      <c r="E212" t="str">
        <f t="shared" ca="1" si="22"/>
        <v>，</v>
      </c>
      <c r="F212" t="b">
        <f t="shared" ca="1" si="23"/>
        <v>0</v>
      </c>
      <c r="G212">
        <f t="shared" ca="1" si="24"/>
        <v>70</v>
      </c>
      <c r="H212" t="str">
        <f t="shared" ca="1" si="25"/>
        <v/>
      </c>
      <c r="I212" t="str">
        <f t="shared" ca="1" si="26"/>
        <v>这是因为矩阵的对应行就是向量每个元素左右扩散的结果，</v>
      </c>
      <c r="J212" s="1">
        <f t="shared" ca="1" si="27"/>
        <v>6.5895833333333336E-3</v>
      </c>
      <c r="K212" s="1" t="b">
        <f t="shared" ca="1" si="28"/>
        <v>0</v>
      </c>
    </row>
    <row r="213" spans="1:11" x14ac:dyDescent="0.3">
      <c r="A213">
        <v>217</v>
      </c>
      <c r="B213" s="11">
        <v>6.5997685185185187E-3</v>
      </c>
      <c r="C213" s="11">
        <v>6.6206018518518515E-3</v>
      </c>
      <c r="D213" t="str">
        <f ca="1">srt!C212</f>
        <v>不难发现首行叠加法中的各个矩阵B可以用H表示为以上公式，</v>
      </c>
      <c r="E213" t="str">
        <f t="shared" ca="1" si="22"/>
        <v>，</v>
      </c>
      <c r="F213" t="b">
        <f t="shared" ca="1" si="23"/>
        <v>0</v>
      </c>
      <c r="G213">
        <f t="shared" ca="1" si="24"/>
        <v>70</v>
      </c>
      <c r="H213" t="str">
        <f t="shared" ca="1" si="25"/>
        <v/>
      </c>
      <c r="I213" t="str">
        <f t="shared" ca="1" si="26"/>
        <v>这是因为矩阵的对应行就是向量每个元素左右扩散的结果，不难发现首行叠加法中的各个矩阵B可以用H表示为以上公式，</v>
      </c>
      <c r="J213" s="1">
        <f t="shared" ca="1" si="27"/>
        <v>6.5895833333333336E-3</v>
      </c>
      <c r="K213" s="1" t="b">
        <f t="shared" ca="1" si="28"/>
        <v>0</v>
      </c>
    </row>
    <row r="214" spans="1:11" x14ac:dyDescent="0.3">
      <c r="A214">
        <v>218</v>
      </c>
      <c r="B214" s="11">
        <v>6.6206018518518515E-3</v>
      </c>
      <c r="C214" s="11">
        <v>6.6562499999999998E-3</v>
      </c>
      <c r="D214" t="str">
        <f ca="1">srt!C213</f>
        <v>这里B0、</v>
      </c>
      <c r="E214" t="str">
        <f t="shared" ca="1" si="22"/>
        <v>、</v>
      </c>
      <c r="F214" t="b">
        <f t="shared" ca="1" si="23"/>
        <v>0</v>
      </c>
      <c r="G214">
        <f t="shared" ca="1" si="24"/>
        <v>70</v>
      </c>
      <c r="H214" t="str">
        <f t="shared" ca="1" si="25"/>
        <v/>
      </c>
      <c r="I214" t="str">
        <f t="shared" ca="1" si="26"/>
        <v>这是因为矩阵的对应行就是向量每个元素左右扩散的结果，不难发现首行叠加法中的各个矩阵B可以用H表示为以上公式，这里B0、</v>
      </c>
      <c r="J214" s="1">
        <f t="shared" ca="1" si="27"/>
        <v>6.5895833333333336E-3</v>
      </c>
      <c r="K214" s="1" t="b">
        <f t="shared" ca="1" si="28"/>
        <v>0</v>
      </c>
    </row>
    <row r="215" spans="1:11" x14ac:dyDescent="0.3">
      <c r="A215">
        <v>219</v>
      </c>
      <c r="B215" s="11">
        <v>6.6599537037037035E-3</v>
      </c>
      <c r="C215" s="11">
        <v>6.6965277777777787E-3</v>
      </c>
      <c r="D215" t="str">
        <f ca="1">srt!C214</f>
        <v>B1、</v>
      </c>
      <c r="E215" t="str">
        <f t="shared" ca="1" si="22"/>
        <v>、</v>
      </c>
      <c r="F215" t="b">
        <f t="shared" ca="1" si="23"/>
        <v>0</v>
      </c>
      <c r="G215">
        <f t="shared" ca="1" si="24"/>
        <v>70</v>
      </c>
      <c r="H215" t="str">
        <f t="shared" ca="1" si="25"/>
        <v/>
      </c>
      <c r="I215" t="str">
        <f t="shared" ca="1" si="26"/>
        <v>这是因为矩阵的对应行就是向量每个元素左右扩散的结果，不难发现首行叠加法中的各个矩阵B可以用H表示为以上公式，这里B0、B1、</v>
      </c>
      <c r="J215" s="1">
        <f t="shared" ca="1" si="27"/>
        <v>6.5895833333333336E-3</v>
      </c>
      <c r="K215" s="1" t="b">
        <f t="shared" ca="1" si="28"/>
        <v>0</v>
      </c>
    </row>
    <row r="216" spans="1:11" x14ac:dyDescent="0.3">
      <c r="A216">
        <v>220</v>
      </c>
      <c r="B216" s="11">
        <v>6.6983796296296296E-3</v>
      </c>
      <c r="C216" s="11">
        <v>6.7553240740740733E-3</v>
      </c>
      <c r="D216" t="str">
        <f ca="1">srt!C215</f>
        <v>B2分别表示为H的不同次数的叠加，</v>
      </c>
      <c r="E216" t="str">
        <f t="shared" ca="1" si="22"/>
        <v>，</v>
      </c>
      <c r="F216" t="b">
        <f t="shared" ca="1" si="23"/>
        <v>0</v>
      </c>
      <c r="G216">
        <f t="shared" ca="1" si="24"/>
        <v>70</v>
      </c>
      <c r="H216" t="str">
        <f t="shared" ca="1" si="25"/>
        <v/>
      </c>
      <c r="I216" t="str">
        <f t="shared" ca="1" si="26"/>
        <v>这是因为矩阵的对应行就是向量每个元素左右扩散的结果，不难发现首行叠加法中的各个矩阵B可以用H表示为以上公式，这里B0、B1、B2分别表示为H的不同次数的叠加，</v>
      </c>
      <c r="J216" s="1">
        <f t="shared" ca="1" si="27"/>
        <v>6.5895833333333336E-3</v>
      </c>
      <c r="K216" s="1" t="b">
        <f t="shared" ca="1" si="28"/>
        <v>0</v>
      </c>
    </row>
    <row r="217" spans="1:11" x14ac:dyDescent="0.3">
      <c r="A217">
        <v>222</v>
      </c>
      <c r="B217" s="11">
        <v>6.7553240740740733E-3</v>
      </c>
      <c r="C217" s="11">
        <v>6.7817129629629633E-3</v>
      </c>
      <c r="D217" t="str">
        <f ca="1">srt!C216</f>
        <v>将这些H的系数用多项式CNX表示，</v>
      </c>
      <c r="E217" t="str">
        <f t="shared" ca="1" si="22"/>
        <v>，</v>
      </c>
      <c r="F217" t="b">
        <f t="shared" ca="1" si="23"/>
        <v>0</v>
      </c>
      <c r="G217">
        <f t="shared" ca="1" si="24"/>
        <v>70</v>
      </c>
      <c r="H217" t="str">
        <f t="shared" ca="1" si="25"/>
        <v/>
      </c>
      <c r="I217" t="str">
        <f t="shared" ca="1" si="26"/>
        <v>这是因为矩阵的对应行就是向量每个元素左右扩散的结果，不难发现首行叠加法中的各个矩阵B可以用H表示为以上公式，这里B0、B1、B2分别表示为H的不同次数的叠加，将这些H的系数用多项式CNX表示，</v>
      </c>
      <c r="J217" s="1">
        <f t="shared" ca="1" si="27"/>
        <v>6.5895833333333336E-3</v>
      </c>
      <c r="K217" s="1" t="b">
        <f t="shared" ca="1" si="28"/>
        <v>0</v>
      </c>
    </row>
    <row r="218" spans="1:11" x14ac:dyDescent="0.3">
      <c r="A218">
        <v>223</v>
      </c>
      <c r="B218" s="11">
        <v>6.7817129629629633E-3</v>
      </c>
      <c r="C218" s="11">
        <v>6.8266203703703709E-3</v>
      </c>
      <c r="D218" t="str">
        <f ca="1">srt!C217</f>
        <v>则有和矩阵B类似的递推公式。</v>
      </c>
      <c r="E218" t="str">
        <f t="shared" ca="1" si="22"/>
        <v>。</v>
      </c>
      <c r="F218" t="b">
        <f t="shared" ca="1" si="23"/>
        <v>1</v>
      </c>
      <c r="G218">
        <f t="shared" ca="1" si="24"/>
        <v>70</v>
      </c>
      <c r="H218">
        <f t="shared" ca="1" si="25"/>
        <v>70</v>
      </c>
      <c r="I218" t="str">
        <f t="shared" ca="1" si="26"/>
        <v>这是因为矩阵的对应行就是向量每个元素左右扩散的结果，不难发现首行叠加法中的各个矩阵B可以用H表示为以上公式，这里B0、B1、B2分别表示为H的不同次数的叠加，将这些H的系数用多项式CNX表示，则有和矩阵B类似的递推公式。</v>
      </c>
      <c r="J218" s="1">
        <f t="shared" ca="1" si="27"/>
        <v>6.5895833333333336E-3</v>
      </c>
      <c r="K218" s="1">
        <f t="shared" ca="1" si="28"/>
        <v>6.8266203703703709E-3</v>
      </c>
    </row>
    <row r="219" spans="1:11" x14ac:dyDescent="0.3">
      <c r="A219">
        <v>224</v>
      </c>
      <c r="B219" s="11">
        <v>6.8270833333333334E-3</v>
      </c>
      <c r="C219" s="11">
        <v>6.8520833333333333E-3</v>
      </c>
      <c r="D219" t="str">
        <f ca="1">srt!C218</f>
        <v>同时将系数C写成矩阵的形式记为C，</v>
      </c>
      <c r="E219" t="str">
        <f t="shared" ca="1" si="22"/>
        <v>，</v>
      </c>
      <c r="F219" t="b">
        <f t="shared" ca="1" si="23"/>
        <v>0</v>
      </c>
      <c r="G219">
        <f t="shared" ca="1" si="24"/>
        <v>71</v>
      </c>
      <c r="H219" t="str">
        <f t="shared" ca="1" si="25"/>
        <v/>
      </c>
      <c r="I219" t="str">
        <f t="shared" ca="1" si="26"/>
        <v>同时将系数C写成矩阵的形式记为C，</v>
      </c>
      <c r="J219" s="1">
        <f t="shared" ca="1" si="27"/>
        <v>6.8270833333333334E-3</v>
      </c>
      <c r="K219" s="1" t="b">
        <f t="shared" ca="1" si="28"/>
        <v>0</v>
      </c>
    </row>
    <row r="220" spans="1:11" x14ac:dyDescent="0.3">
      <c r="A220">
        <v>225</v>
      </c>
      <c r="B220" s="11">
        <v>6.8548611111111111E-3</v>
      </c>
      <c r="C220" s="11">
        <v>6.8905092592592594E-3</v>
      </c>
      <c r="D220" t="str">
        <f ca="1">srt!C219</f>
        <v>注意这里的乘以H的操作在系数上代表右移而不是左右扩散，</v>
      </c>
      <c r="E220" t="str">
        <f t="shared" ca="1" si="22"/>
        <v>，</v>
      </c>
      <c r="F220" t="b">
        <f t="shared" ca="1" si="23"/>
        <v>0</v>
      </c>
      <c r="G220">
        <f t="shared" ca="1" si="24"/>
        <v>71</v>
      </c>
      <c r="H220" t="str">
        <f t="shared" ca="1" si="25"/>
        <v/>
      </c>
      <c r="I220" t="str">
        <f t="shared" ca="1" si="26"/>
        <v>同时将系数C写成矩阵的形式记为C，注意这里的乘以H的操作在系数上代表右移而不是左右扩散，</v>
      </c>
      <c r="J220" s="1">
        <f t="shared" ca="1" si="27"/>
        <v>6.8270833333333334E-3</v>
      </c>
      <c r="K220" s="1" t="b">
        <f t="shared" ca="1" si="28"/>
        <v>0</v>
      </c>
    </row>
    <row r="221" spans="1:11" x14ac:dyDescent="0.3">
      <c r="A221">
        <v>226</v>
      </c>
      <c r="B221" s="11">
        <v>6.8918981481481487E-3</v>
      </c>
      <c r="C221" s="11">
        <v>6.9488425925925924E-3</v>
      </c>
      <c r="D221" t="str">
        <f ca="1">srt!C220</f>
        <v>因此表达式中只有X减1而没有X加1，</v>
      </c>
      <c r="E221" t="str">
        <f t="shared" ca="1" si="22"/>
        <v>，</v>
      </c>
      <c r="F221" t="b">
        <f t="shared" ca="1" si="23"/>
        <v>0</v>
      </c>
      <c r="G221">
        <f t="shared" ca="1" si="24"/>
        <v>71</v>
      </c>
      <c r="H221" t="str">
        <f t="shared" ca="1" si="25"/>
        <v/>
      </c>
      <c r="I221" t="str">
        <f t="shared" ca="1" si="26"/>
        <v>同时将系数C写成矩阵的形式记为C，注意这里的乘以H的操作在系数上代表右移而不是左右扩散，因此表达式中只有X减1而没有X加1，</v>
      </c>
      <c r="J221" s="1">
        <f t="shared" ca="1" si="27"/>
        <v>6.8270833333333334E-3</v>
      </c>
      <c r="K221" s="1" t="b">
        <f t="shared" ca="1" si="28"/>
        <v>0</v>
      </c>
    </row>
    <row r="222" spans="1:11" x14ac:dyDescent="0.3">
      <c r="A222">
        <v>227</v>
      </c>
      <c r="B222" s="11">
        <v>6.9502314814814817E-3</v>
      </c>
      <c r="C222" s="11">
        <v>6.9752314814814807E-3</v>
      </c>
      <c r="D222" t="str">
        <f ca="1">srt!C221</f>
        <v>现在如果我们将多个H相乘，</v>
      </c>
      <c r="E222" t="str">
        <f t="shared" ca="1" si="22"/>
        <v>，</v>
      </c>
      <c r="F222" t="b">
        <f t="shared" ca="1" si="23"/>
        <v>0</v>
      </c>
      <c r="G222">
        <f t="shared" ca="1" si="24"/>
        <v>71</v>
      </c>
      <c r="H222" t="str">
        <f t="shared" ca="1" si="25"/>
        <v/>
      </c>
      <c r="I222" t="str">
        <f t="shared" ca="1" si="26"/>
        <v>同时将系数C写成矩阵的形式记为C，注意这里的乘以H的操作在系数上代表右移而不是左右扩散，因此表达式中只有X减1而没有X加1，现在如果我们将多个H相乘，</v>
      </c>
      <c r="J222" s="1">
        <f t="shared" ca="1" si="27"/>
        <v>6.8270833333333334E-3</v>
      </c>
      <c r="K222" s="1" t="b">
        <f t="shared" ca="1" si="28"/>
        <v>0</v>
      </c>
    </row>
    <row r="223" spans="1:11" x14ac:dyDescent="0.3">
      <c r="A223">
        <v>228</v>
      </c>
      <c r="B223" s="11">
        <v>6.9752314814814807E-3</v>
      </c>
      <c r="C223" s="11">
        <v>7.0303240740740734E-3</v>
      </c>
      <c r="D223" t="str">
        <f ca="1">srt!C222</f>
        <v>也就是H的N次方，</v>
      </c>
      <c r="E223" t="str">
        <f t="shared" ca="1" si="22"/>
        <v>，</v>
      </c>
      <c r="F223" t="b">
        <f t="shared" ca="1" si="23"/>
        <v>0</v>
      </c>
      <c r="G223">
        <f t="shared" ca="1" si="24"/>
        <v>71</v>
      </c>
      <c r="H223" t="str">
        <f t="shared" ca="1" si="25"/>
        <v/>
      </c>
      <c r="I223" t="str">
        <f t="shared" ca="1" si="26"/>
        <v>同时将系数C写成矩阵的形式记为C，注意这里的乘以H的操作在系数上代表右移而不是左右扩散，因此表达式中只有X减1而没有X加1，现在如果我们将多个H相乘，也就是H的N次方，</v>
      </c>
      <c r="J223" s="1">
        <f t="shared" ca="1" si="27"/>
        <v>6.8270833333333334E-3</v>
      </c>
      <c r="K223" s="1" t="b">
        <f t="shared" ca="1" si="28"/>
        <v>0</v>
      </c>
    </row>
    <row r="224" spans="1:11" x14ac:dyDescent="0.3">
      <c r="A224">
        <v>229</v>
      </c>
      <c r="B224" s="11">
        <v>7.0317129629629627E-3</v>
      </c>
      <c r="C224" s="11">
        <v>7.124768518518519E-3</v>
      </c>
      <c r="D224" t="str">
        <f ca="1">srt!C223</f>
        <v>将其首行H的N次方0拼接起来，</v>
      </c>
      <c r="E224" t="str">
        <f t="shared" ca="1" si="22"/>
        <v>，</v>
      </c>
      <c r="F224" t="b">
        <f t="shared" ca="1" si="23"/>
        <v>0</v>
      </c>
      <c r="G224">
        <f t="shared" ca="1" si="24"/>
        <v>71</v>
      </c>
      <c r="H224" t="str">
        <f t="shared" ca="1" si="25"/>
        <v/>
      </c>
      <c r="I224" t="str">
        <f t="shared" ca="1" si="26"/>
        <v>同时将系数C写成矩阵的形式记为C，注意这里的乘以H的操作在系数上代表右移而不是左右扩散，因此表达式中只有X减1而没有X加1，现在如果我们将多个H相乘，也就是H的N次方，将其首行H的N次方0拼接起来，</v>
      </c>
      <c r="J224" s="1">
        <f t="shared" ca="1" si="27"/>
        <v>6.8270833333333334E-3</v>
      </c>
      <c r="K224" s="1" t="b">
        <f t="shared" ca="1" si="28"/>
        <v>0</v>
      </c>
    </row>
    <row r="225" spans="1:11" x14ac:dyDescent="0.3">
      <c r="A225">
        <v>232</v>
      </c>
      <c r="B225" s="11">
        <v>7.1252314814814815E-3</v>
      </c>
      <c r="C225" s="11">
        <v>7.1321759259259264E-3</v>
      </c>
      <c r="D225" t="str">
        <f ca="1">srt!C224</f>
        <v>看起来像是这样的，</v>
      </c>
      <c r="E225" t="str">
        <f t="shared" ca="1" si="22"/>
        <v>，</v>
      </c>
      <c r="F225" t="b">
        <f t="shared" ca="1" si="23"/>
        <v>0</v>
      </c>
      <c r="G225">
        <f t="shared" ca="1" si="24"/>
        <v>71</v>
      </c>
      <c r="H225" t="str">
        <f t="shared" ca="1" si="25"/>
        <v/>
      </c>
      <c r="I225" t="str">
        <f t="shared" ca="1" si="26"/>
        <v>同时将系数C写成矩阵的形式记为C，注意这里的乘以H的操作在系数上代表右移而不是左右扩散，因此表达式中只有X减1而没有X加1，现在如果我们将多个H相乘，也就是H的N次方，将其首行H的N次方0拼接起来，看起来像是这样的，</v>
      </c>
      <c r="J225" s="1">
        <f t="shared" ca="1" si="27"/>
        <v>6.8270833333333334E-3</v>
      </c>
      <c r="K225" s="1" t="b">
        <f t="shared" ca="1" si="28"/>
        <v>0</v>
      </c>
    </row>
    <row r="226" spans="1:11" x14ac:dyDescent="0.3">
      <c r="A226">
        <v>233</v>
      </c>
      <c r="B226" s="11">
        <v>7.1321759259259264E-3</v>
      </c>
      <c r="C226" s="11">
        <v>7.1793981481481474E-3</v>
      </c>
      <c r="D226" t="str">
        <f ca="1">srt!C225</f>
        <v>我们把这个下三角矩阵记为K。</v>
      </c>
      <c r="E226" t="str">
        <f t="shared" ca="1" si="22"/>
        <v>。</v>
      </c>
      <c r="F226" t="b">
        <f t="shared" ca="1" si="23"/>
        <v>1</v>
      </c>
      <c r="G226">
        <f t="shared" ca="1" si="24"/>
        <v>71</v>
      </c>
      <c r="H226">
        <f t="shared" ca="1" si="25"/>
        <v>71</v>
      </c>
      <c r="I226" t="str">
        <f t="shared" ca="1" si="26"/>
        <v>同时将系数C写成矩阵的形式记为C，注意这里的乘以H的操作在系数上代表右移而不是左右扩散，因此表达式中只有X减1而没有X加1，现在如果我们将多个H相乘，也就是H的N次方，将其首行H的N次方0拼接起来，看起来像是这样的，我们把这个下三角矩阵记为K。</v>
      </c>
      <c r="J226" s="1">
        <f t="shared" ca="1" si="27"/>
        <v>6.8270833333333334E-3</v>
      </c>
      <c r="K226" s="1">
        <f t="shared" ca="1" si="28"/>
        <v>7.1793981481481474E-3</v>
      </c>
    </row>
    <row r="227" spans="1:11" x14ac:dyDescent="0.3">
      <c r="A227">
        <v>234</v>
      </c>
      <c r="B227" s="11">
        <v>7.1793981481481474E-3</v>
      </c>
      <c r="C227" s="11">
        <v>7.2016203703703704E-3</v>
      </c>
      <c r="D227" t="str">
        <f ca="1">srt!C226</f>
        <v>又称克雷洛夫矩阵或扩散机矩阵，</v>
      </c>
      <c r="E227" t="str">
        <f t="shared" ca="1" si="22"/>
        <v>，</v>
      </c>
      <c r="F227" t="b">
        <f t="shared" ca="1" si="23"/>
        <v>0</v>
      </c>
      <c r="G227">
        <f t="shared" ca="1" si="24"/>
        <v>72</v>
      </c>
      <c r="H227" t="str">
        <f t="shared" ca="1" si="25"/>
        <v/>
      </c>
      <c r="I227" t="str">
        <f t="shared" ca="1" si="26"/>
        <v>又称克雷洛夫矩阵或扩散机矩阵，</v>
      </c>
      <c r="J227" s="1">
        <f t="shared" ca="1" si="27"/>
        <v>7.1793981481481474E-3</v>
      </c>
      <c r="K227" s="1" t="b">
        <f t="shared" ca="1" si="28"/>
        <v>0</v>
      </c>
    </row>
    <row r="228" spans="1:11" x14ac:dyDescent="0.3">
      <c r="A228">
        <v>235</v>
      </c>
      <c r="B228" s="11">
        <v>7.2020833333333329E-3</v>
      </c>
      <c r="C228" s="11">
        <v>7.2127314814814806E-3</v>
      </c>
      <c r="D228" t="str">
        <f ca="1">srt!C227</f>
        <v>对于K的第n行有以上公式，</v>
      </c>
      <c r="E228" t="str">
        <f t="shared" ca="1" si="22"/>
        <v>，</v>
      </c>
      <c r="F228" t="b">
        <f t="shared" ca="1" si="23"/>
        <v>0</v>
      </c>
      <c r="G228">
        <f t="shared" ca="1" si="24"/>
        <v>72</v>
      </c>
      <c r="H228" t="str">
        <f t="shared" ca="1" si="25"/>
        <v/>
      </c>
      <c r="I228" t="str">
        <f t="shared" ca="1" si="26"/>
        <v>又称克雷洛夫矩阵或扩散机矩阵，对于K的第n行有以上公式，</v>
      </c>
      <c r="J228" s="1">
        <f t="shared" ca="1" si="27"/>
        <v>7.1793981481481474E-3</v>
      </c>
      <c r="K228" s="1" t="b">
        <f t="shared" ca="1" si="28"/>
        <v>0</v>
      </c>
    </row>
    <row r="229" spans="1:11" x14ac:dyDescent="0.3">
      <c r="A229">
        <v>236</v>
      </c>
      <c r="B229" s="11">
        <v>7.2141203703703699E-3</v>
      </c>
      <c r="C229" s="11">
        <v>7.2317129629629632E-3</v>
      </c>
      <c r="D229" t="str">
        <f ca="1">srt!C228</f>
        <v>这里后一行是前一行乘以H，</v>
      </c>
      <c r="E229" t="str">
        <f t="shared" ca="1" si="22"/>
        <v>，</v>
      </c>
      <c r="F229" t="b">
        <f t="shared" ca="1" si="23"/>
        <v>0</v>
      </c>
      <c r="G229">
        <f t="shared" ca="1" si="24"/>
        <v>72</v>
      </c>
      <c r="H229" t="str">
        <f t="shared" ca="1" si="25"/>
        <v/>
      </c>
      <c r="I229" t="str">
        <f t="shared" ca="1" si="26"/>
        <v>又称克雷洛夫矩阵或扩散机矩阵，对于K的第n行有以上公式，这里后一行是前一行乘以H，</v>
      </c>
      <c r="J229" s="1">
        <f t="shared" ca="1" si="27"/>
        <v>7.1793981481481474E-3</v>
      </c>
      <c r="K229" s="1" t="b">
        <f t="shared" ca="1" si="28"/>
        <v>0</v>
      </c>
    </row>
    <row r="230" spans="1:11" x14ac:dyDescent="0.3">
      <c r="A230">
        <v>237</v>
      </c>
      <c r="B230" s="11">
        <v>7.2317129629629632E-3</v>
      </c>
      <c r="C230" s="11">
        <v>7.291898148148148E-3</v>
      </c>
      <c r="D230" t="str">
        <f ca="1">srt!C229</f>
        <v>也就是前一行的左右扩散，</v>
      </c>
      <c r="E230" t="str">
        <f t="shared" ca="1" si="22"/>
        <v>，</v>
      </c>
      <c r="F230" t="b">
        <f t="shared" ca="1" si="23"/>
        <v>0</v>
      </c>
      <c r="G230">
        <f t="shared" ca="1" si="24"/>
        <v>72</v>
      </c>
      <c r="H230" t="str">
        <f t="shared" ca="1" si="25"/>
        <v/>
      </c>
      <c r="I230" t="str">
        <f t="shared" ca="1" si="26"/>
        <v>又称克雷洛夫矩阵或扩散机矩阵，对于K的第n行有以上公式，这里后一行是前一行乘以H，也就是前一行的左右扩散，</v>
      </c>
      <c r="J230" s="1">
        <f t="shared" ca="1" si="27"/>
        <v>7.1793981481481474E-3</v>
      </c>
      <c r="K230" s="1" t="b">
        <f t="shared" ca="1" si="28"/>
        <v>0</v>
      </c>
    </row>
    <row r="231" spans="1:11" x14ac:dyDescent="0.3">
      <c r="A231">
        <v>238</v>
      </c>
      <c r="B231" s="11">
        <v>7.291898148148148E-3</v>
      </c>
      <c r="C231" s="11">
        <v>7.3127314814814817E-3</v>
      </c>
      <c r="D231" t="str">
        <f ca="1">srt!C230</f>
        <v>因此对于K的每个元素有以上递推公式，</v>
      </c>
      <c r="E231" t="str">
        <f t="shared" ca="1" si="22"/>
        <v>，</v>
      </c>
      <c r="F231" t="b">
        <f t="shared" ca="1" si="23"/>
        <v>0</v>
      </c>
      <c r="G231">
        <f t="shared" ca="1" si="24"/>
        <v>72</v>
      </c>
      <c r="H231" t="str">
        <f t="shared" ca="1" si="25"/>
        <v/>
      </c>
      <c r="I231" t="str">
        <f t="shared" ca="1" si="26"/>
        <v>又称克雷洛夫矩阵或扩散机矩阵，对于K的第n行有以上公式，这里后一行是前一行乘以H，也就是前一行的左右扩散，因此对于K的每个元素有以上递推公式，</v>
      </c>
      <c r="J231" s="1">
        <f t="shared" ca="1" si="27"/>
        <v>7.1793981481481474E-3</v>
      </c>
      <c r="K231" s="1" t="b">
        <f t="shared" ca="1" si="28"/>
        <v>0</v>
      </c>
    </row>
    <row r="232" spans="1:11" x14ac:dyDescent="0.3">
      <c r="A232">
        <v>239</v>
      </c>
      <c r="B232" s="11">
        <v>7.3136574074074067E-3</v>
      </c>
      <c r="C232" s="11">
        <v>7.3317129629629635E-3</v>
      </c>
      <c r="D232" t="str">
        <f ca="1">srt!C231</f>
        <v>现在定义多项式PX，</v>
      </c>
      <c r="E232" t="str">
        <f t="shared" ca="1" si="22"/>
        <v>，</v>
      </c>
      <c r="F232" t="b">
        <f t="shared" ca="1" si="23"/>
        <v>0</v>
      </c>
      <c r="G232">
        <f t="shared" ca="1" si="24"/>
        <v>72</v>
      </c>
      <c r="H232" t="str">
        <f t="shared" ca="1" si="25"/>
        <v/>
      </c>
      <c r="I232" t="str">
        <f t="shared" ca="1" si="26"/>
        <v>又称克雷洛夫矩阵或扩散机矩阵，对于K的第n行有以上公式，这里后一行是前一行乘以H，也就是前一行的左右扩散，因此对于K的每个元素有以上递推公式，现在定义多项式PX，</v>
      </c>
      <c r="J232" s="1">
        <f t="shared" ca="1" si="27"/>
        <v>7.1793981481481474E-3</v>
      </c>
      <c r="K232" s="1" t="b">
        <f t="shared" ca="1" si="28"/>
        <v>0</v>
      </c>
    </row>
    <row r="233" spans="1:11" x14ac:dyDescent="0.3">
      <c r="A233">
        <v>240</v>
      </c>
      <c r="B233" s="11">
        <v>7.3317129629629635E-3</v>
      </c>
      <c r="C233" s="11">
        <v>7.3571759259259259E-3</v>
      </c>
      <c r="D233" t="str">
        <f ca="1">srt!C232</f>
        <v>我们的目标是把B拆分成H的n次方，</v>
      </c>
      <c r="E233" t="str">
        <f t="shared" ca="1" si="22"/>
        <v>，</v>
      </c>
      <c r="F233" t="b">
        <f t="shared" ca="1" si="23"/>
        <v>0</v>
      </c>
      <c r="G233">
        <f t="shared" ca="1" si="24"/>
        <v>72</v>
      </c>
      <c r="H233" t="str">
        <f t="shared" ca="1" si="25"/>
        <v/>
      </c>
      <c r="I233" t="str">
        <f t="shared" ca="1" si="26"/>
        <v>又称克雷洛夫矩阵或扩散机矩阵，对于K的第n行有以上公式，这里后一行是前一行乘以H，也就是前一行的左右扩散，因此对于K的每个元素有以上递推公式，现在定义多项式PX，我们的目标是把B拆分成H的n次方，</v>
      </c>
      <c r="J233" s="1">
        <f t="shared" ca="1" si="27"/>
        <v>7.1793981481481474E-3</v>
      </c>
      <c r="K233" s="1" t="b">
        <f t="shared" ca="1" si="28"/>
        <v>0</v>
      </c>
    </row>
    <row r="234" spans="1:11" x14ac:dyDescent="0.3">
      <c r="A234">
        <v>241</v>
      </c>
      <c r="B234" s="11">
        <v>7.3590277777777786E-3</v>
      </c>
      <c r="C234" s="11">
        <v>7.3636574074074073E-3</v>
      </c>
      <c r="D234" t="str">
        <f ca="1">srt!C233</f>
        <v>将矩阵H代入多项式PX得到PH。</v>
      </c>
      <c r="E234" t="str">
        <f t="shared" ca="1" si="22"/>
        <v>。</v>
      </c>
      <c r="F234" t="b">
        <f t="shared" ca="1" si="23"/>
        <v>1</v>
      </c>
      <c r="G234">
        <f t="shared" ca="1" si="24"/>
        <v>72</v>
      </c>
      <c r="H234">
        <f t="shared" ca="1" si="25"/>
        <v>72</v>
      </c>
      <c r="I234" t="str">
        <f t="shared" ca="1" si="26"/>
        <v>又称克雷洛夫矩阵或扩散机矩阵，对于K的第n行有以上公式，这里后一行是前一行乘以H，也就是前一行的左右扩散，因此对于K的每个元素有以上递推公式，现在定义多项式PX，我们的目标是把B拆分成H的n次方，将矩阵H代入多项式PX得到PH。</v>
      </c>
      <c r="J234" s="1">
        <f t="shared" ca="1" si="27"/>
        <v>7.1793981481481474E-3</v>
      </c>
      <c r="K234" s="1">
        <f t="shared" ca="1" si="28"/>
        <v>7.3636574074074073E-3</v>
      </c>
    </row>
    <row r="235" spans="1:11" x14ac:dyDescent="0.3">
      <c r="A235">
        <v>242</v>
      </c>
      <c r="B235" s="11">
        <v>7.3650462962962966E-3</v>
      </c>
      <c r="C235" s="11">
        <v>7.3863425925925919E-3</v>
      </c>
      <c r="D235" t="str">
        <f ca="1">srt!C234</f>
        <v>并用其表示矩阵b，</v>
      </c>
      <c r="E235" t="str">
        <f t="shared" ca="1" si="22"/>
        <v>，</v>
      </c>
      <c r="F235" t="b">
        <f t="shared" ca="1" si="23"/>
        <v>0</v>
      </c>
      <c r="G235">
        <f t="shared" ca="1" si="24"/>
        <v>73</v>
      </c>
      <c r="H235" t="str">
        <f t="shared" ca="1" si="25"/>
        <v/>
      </c>
      <c r="I235" t="str">
        <f t="shared" ca="1" si="26"/>
        <v>并用其表示矩阵b，</v>
      </c>
      <c r="J235" s="1">
        <f t="shared" ca="1" si="27"/>
        <v>7.3650462962962966E-3</v>
      </c>
      <c r="K235" s="1" t="b">
        <f t="shared" ca="1" si="28"/>
        <v>0</v>
      </c>
    </row>
    <row r="236" spans="1:11" x14ac:dyDescent="0.3">
      <c r="A236">
        <v>243</v>
      </c>
      <c r="B236" s="11">
        <v>7.3877314814814812E-3</v>
      </c>
      <c r="C236" s="11">
        <v>7.4233796296296296E-3</v>
      </c>
      <c r="D236" t="str">
        <f ca="1">srt!C235</f>
        <v>这样原始求x的问题就转化为了phx等于y。</v>
      </c>
      <c r="E236" t="str">
        <f t="shared" ca="1" si="22"/>
        <v>。</v>
      </c>
      <c r="F236" t="b">
        <f t="shared" ca="1" si="23"/>
        <v>1</v>
      </c>
      <c r="G236">
        <f t="shared" ca="1" si="24"/>
        <v>73</v>
      </c>
      <c r="H236">
        <f t="shared" ca="1" si="25"/>
        <v>73</v>
      </c>
      <c r="I236" t="str">
        <f t="shared" ca="1" si="26"/>
        <v>并用其表示矩阵b，这样原始求x的问题就转化为了phx等于y。</v>
      </c>
      <c r="J236" s="1">
        <f t="shared" ca="1" si="27"/>
        <v>7.3650462962962966E-3</v>
      </c>
      <c r="K236" s="1">
        <f t="shared" ca="1" si="28"/>
        <v>7.4233796296296296E-3</v>
      </c>
    </row>
    <row r="237" spans="1:11" x14ac:dyDescent="0.3">
      <c r="A237">
        <v>244</v>
      </c>
      <c r="B237" s="11">
        <v>7.4243055555555564E-3</v>
      </c>
      <c r="C237" s="11">
        <v>7.4516203703703706E-3</v>
      </c>
      <c r="D237" t="str">
        <f ca="1">srt!C236</f>
        <v>现在我们需要把多项式ph的系数计算出来，</v>
      </c>
      <c r="E237" t="str">
        <f t="shared" ca="1" si="22"/>
        <v>，</v>
      </c>
      <c r="F237" t="b">
        <f t="shared" ca="1" si="23"/>
        <v>0</v>
      </c>
      <c r="G237">
        <f t="shared" ca="1" si="24"/>
        <v>74</v>
      </c>
      <c r="H237" t="str">
        <f t="shared" ca="1" si="25"/>
        <v/>
      </c>
      <c r="I237" t="str">
        <f t="shared" ca="1" si="26"/>
        <v>现在我们需要把多项式ph的系数计算出来，</v>
      </c>
      <c r="J237" s="1">
        <f t="shared" ca="1" si="27"/>
        <v>7.4243055555555564E-3</v>
      </c>
      <c r="K237" s="1" t="b">
        <f t="shared" ca="1" si="28"/>
        <v>0</v>
      </c>
    </row>
    <row r="238" spans="1:11" x14ac:dyDescent="0.3">
      <c r="A238">
        <v>245</v>
      </c>
      <c r="B238" s="11">
        <v>7.4520833333333331E-3</v>
      </c>
      <c r="C238" s="11">
        <v>7.4775462962962955E-3</v>
      </c>
      <c r="D238" t="str">
        <f ca="1">srt!C237</f>
        <v>这个系数构成的向量我们记为p。</v>
      </c>
      <c r="E238" t="str">
        <f t="shared" ca="1" si="22"/>
        <v>。</v>
      </c>
      <c r="F238" t="b">
        <f t="shared" ca="1" si="23"/>
        <v>1</v>
      </c>
      <c r="G238">
        <f t="shared" ca="1" si="24"/>
        <v>74</v>
      </c>
      <c r="H238">
        <f t="shared" ca="1" si="25"/>
        <v>74</v>
      </c>
      <c r="I238" t="str">
        <f t="shared" ca="1" si="26"/>
        <v>现在我们需要把多项式ph的系数计算出来，这个系数构成的向量我们记为p。</v>
      </c>
      <c r="J238" s="1">
        <f t="shared" ca="1" si="27"/>
        <v>7.4243055555555564E-3</v>
      </c>
      <c r="K238" s="1">
        <f t="shared" ca="1" si="28"/>
        <v>7.4775462962962955E-3</v>
      </c>
    </row>
    <row r="239" spans="1:11" x14ac:dyDescent="0.3">
      <c r="A239">
        <v>246</v>
      </c>
      <c r="B239" s="11">
        <v>7.4784722222222223E-3</v>
      </c>
      <c r="C239" s="11">
        <v>7.5173611111111109E-3</v>
      </c>
      <c r="D239" t="str">
        <f ca="1">srt!C238</f>
        <v>为了简化运算，</v>
      </c>
      <c r="E239" t="str">
        <f t="shared" ca="1" si="22"/>
        <v>，</v>
      </c>
      <c r="F239" t="b">
        <f t="shared" ca="1" si="23"/>
        <v>0</v>
      </c>
      <c r="G239">
        <f t="shared" ca="1" si="24"/>
        <v>75</v>
      </c>
      <c r="H239" t="str">
        <f t="shared" ca="1" si="25"/>
        <v/>
      </c>
      <c r="I239" t="str">
        <f t="shared" ca="1" si="26"/>
        <v>为了简化运算，</v>
      </c>
      <c r="J239" s="1">
        <f t="shared" ca="1" si="27"/>
        <v>7.4784722222222223E-3</v>
      </c>
      <c r="K239" s="1" t="b">
        <f t="shared" ca="1" si="28"/>
        <v>0</v>
      </c>
    </row>
    <row r="240" spans="1:11" x14ac:dyDescent="0.3">
      <c r="A240">
        <v>248</v>
      </c>
      <c r="B240" s="11">
        <v>7.5173611111111109E-3</v>
      </c>
      <c r="C240" s="11">
        <v>7.5368055555555553E-3</v>
      </c>
      <c r="D240" t="str">
        <f ca="1">srt!C239</f>
        <v>我们只关心矩阵第一行b零，</v>
      </c>
      <c r="E240" t="str">
        <f t="shared" ca="1" si="22"/>
        <v>，</v>
      </c>
      <c r="F240" t="b">
        <f t="shared" ca="1" si="23"/>
        <v>0</v>
      </c>
      <c r="G240">
        <f t="shared" ca="1" si="24"/>
        <v>75</v>
      </c>
      <c r="H240" t="str">
        <f t="shared" ca="1" si="25"/>
        <v/>
      </c>
      <c r="I240" t="str">
        <f t="shared" ca="1" si="26"/>
        <v>为了简化运算，我们只关心矩阵第一行b零，</v>
      </c>
      <c r="J240" s="1">
        <f t="shared" ca="1" si="27"/>
        <v>7.4784722222222223E-3</v>
      </c>
      <c r="K240" s="1" t="b">
        <f t="shared" ca="1" si="28"/>
        <v>0</v>
      </c>
    </row>
    <row r="241" spans="1:11" x14ac:dyDescent="0.3">
      <c r="A241">
        <v>249</v>
      </c>
      <c r="B241" s="11">
        <v>7.5368055555555553E-3</v>
      </c>
      <c r="C241" s="11">
        <v>7.585879629629629E-3</v>
      </c>
      <c r="D241" t="str">
        <f ca="1">srt!C240</f>
        <v>记为b。</v>
      </c>
      <c r="E241" t="str">
        <f t="shared" ca="1" si="22"/>
        <v>。</v>
      </c>
      <c r="F241" t="b">
        <f t="shared" ca="1" si="23"/>
        <v>1</v>
      </c>
      <c r="G241">
        <f t="shared" ca="1" si="24"/>
        <v>75</v>
      </c>
      <c r="H241">
        <f t="shared" ca="1" si="25"/>
        <v>75</v>
      </c>
      <c r="I241" t="str">
        <f t="shared" ca="1" si="26"/>
        <v>为了简化运算，我们只关心矩阵第一行b零，记为b。</v>
      </c>
      <c r="J241" s="1">
        <f t="shared" ca="1" si="27"/>
        <v>7.4784722222222223E-3</v>
      </c>
      <c r="K241" s="1">
        <f t="shared" ca="1" si="28"/>
        <v>7.585879629629629E-3</v>
      </c>
    </row>
    <row r="242" spans="1:11" x14ac:dyDescent="0.3">
      <c r="A242">
        <v>250</v>
      </c>
      <c r="B242" s="11">
        <v>7.585879629629629E-3</v>
      </c>
      <c r="C242" s="11">
        <v>7.6085648148148145E-3</v>
      </c>
      <c r="D242" t="str">
        <f ca="1">srt!C241</f>
        <v>根据刚才k的定义，</v>
      </c>
      <c r="E242" t="str">
        <f t="shared" ca="1" si="22"/>
        <v>，</v>
      </c>
      <c r="F242" t="b">
        <f t="shared" ca="1" si="23"/>
        <v>0</v>
      </c>
      <c r="G242">
        <f t="shared" ca="1" si="24"/>
        <v>76</v>
      </c>
      <c r="H242" t="str">
        <f t="shared" ca="1" si="25"/>
        <v/>
      </c>
      <c r="I242" t="str">
        <f t="shared" ca="1" si="26"/>
        <v>根据刚才k的定义，</v>
      </c>
      <c r="J242" s="1">
        <f t="shared" ca="1" si="27"/>
        <v>7.585879629629629E-3</v>
      </c>
      <c r="K242" s="1" t="b">
        <f t="shared" ca="1" si="28"/>
        <v>0</v>
      </c>
    </row>
    <row r="243" spans="1:11" x14ac:dyDescent="0.3">
      <c r="A243">
        <v>251</v>
      </c>
      <c r="B243" s="11">
        <v>7.6099537037037038E-3</v>
      </c>
      <c r="C243" s="11">
        <v>7.6400462962962967E-3</v>
      </c>
      <c r="D243" t="str">
        <f ca="1">srt!C242</f>
        <v>我们可以得到b等于kp。</v>
      </c>
      <c r="E243" t="str">
        <f t="shared" ca="1" si="22"/>
        <v>。</v>
      </c>
      <c r="F243" t="b">
        <f t="shared" ca="1" si="23"/>
        <v>1</v>
      </c>
      <c r="G243">
        <f t="shared" ca="1" si="24"/>
        <v>76</v>
      </c>
      <c r="H243">
        <f t="shared" ca="1" si="25"/>
        <v>76</v>
      </c>
      <c r="I243" t="str">
        <f t="shared" ca="1" si="26"/>
        <v>根据刚才k的定义，我们可以得到b等于kp。</v>
      </c>
      <c r="J243" s="1">
        <f t="shared" ca="1" si="27"/>
        <v>7.585879629629629E-3</v>
      </c>
      <c r="K243" s="1">
        <f t="shared" ca="1" si="28"/>
        <v>7.6400462962962967E-3</v>
      </c>
    </row>
    <row r="244" spans="1:11" x14ac:dyDescent="0.3">
      <c r="A244">
        <v>252</v>
      </c>
      <c r="B244" s="11">
        <v>7.6400462962962967E-3</v>
      </c>
      <c r="C244" s="11">
        <v>7.6770833333333326E-3</v>
      </c>
      <c r="D244" t="str">
        <f ca="1">srt!C243</f>
        <v>为了求得P，</v>
      </c>
      <c r="E244" t="str">
        <f t="shared" ca="1" si="22"/>
        <v>，</v>
      </c>
      <c r="F244" t="b">
        <f t="shared" ca="1" si="23"/>
        <v>0</v>
      </c>
      <c r="G244">
        <f t="shared" ca="1" si="24"/>
        <v>77</v>
      </c>
      <c r="H244" t="str">
        <f t="shared" ca="1" si="25"/>
        <v/>
      </c>
      <c r="I244" t="str">
        <f t="shared" ca="1" si="26"/>
        <v>为了求得P，</v>
      </c>
      <c r="J244" s="1">
        <f t="shared" ca="1" si="27"/>
        <v>7.6400462962962967E-3</v>
      </c>
      <c r="K244" s="1" t="b">
        <f t="shared" ca="1" si="28"/>
        <v>0</v>
      </c>
    </row>
    <row r="245" spans="1:11" x14ac:dyDescent="0.3">
      <c r="A245">
        <v>253</v>
      </c>
      <c r="B245" s="11">
        <v>7.6780092592592594E-3</v>
      </c>
      <c r="C245" s="11">
        <v>7.7307870370370377E-3</v>
      </c>
      <c r="D245" t="str">
        <f ca="1">srt!C244</f>
        <v>我们可以将两边同时乘以K的逆矩阵，</v>
      </c>
      <c r="E245" t="str">
        <f t="shared" ca="1" si="22"/>
        <v>，</v>
      </c>
      <c r="F245" t="b">
        <f t="shared" ca="1" si="23"/>
        <v>0</v>
      </c>
      <c r="G245">
        <f t="shared" ca="1" si="24"/>
        <v>77</v>
      </c>
      <c r="H245" t="str">
        <f t="shared" ca="1" si="25"/>
        <v/>
      </c>
      <c r="I245" t="str">
        <f t="shared" ca="1" si="26"/>
        <v>为了求得P，我们可以将两边同时乘以K的逆矩阵，</v>
      </c>
      <c r="J245" s="1">
        <f t="shared" ca="1" si="27"/>
        <v>7.6400462962962967E-3</v>
      </c>
      <c r="K245" s="1" t="b">
        <f t="shared" ca="1" si="28"/>
        <v>0</v>
      </c>
    </row>
    <row r="246" spans="1:11" x14ac:dyDescent="0.3">
      <c r="A246">
        <v>254</v>
      </c>
      <c r="B246" s="11">
        <v>7.7368055555555558E-3</v>
      </c>
      <c r="C246" s="11">
        <v>7.7849537037037037E-3</v>
      </c>
      <c r="D246" t="str">
        <f ca="1">srt!C245</f>
        <v>即为F，</v>
      </c>
      <c r="E246" t="str">
        <f t="shared" ca="1" si="22"/>
        <v>，</v>
      </c>
      <c r="F246" t="b">
        <f t="shared" ca="1" si="23"/>
        <v>0</v>
      </c>
      <c r="G246">
        <f t="shared" ca="1" si="24"/>
        <v>77</v>
      </c>
      <c r="H246" t="str">
        <f t="shared" ca="1" si="25"/>
        <v/>
      </c>
      <c r="I246" t="str">
        <f t="shared" ca="1" si="26"/>
        <v>为了求得P，我们可以将两边同时乘以K的逆矩阵，即为F，</v>
      </c>
      <c r="J246" s="1">
        <f t="shared" ca="1" si="27"/>
        <v>7.6400462962962967E-3</v>
      </c>
      <c r="K246" s="1" t="b">
        <f t="shared" ca="1" si="28"/>
        <v>0</v>
      </c>
    </row>
    <row r="247" spans="1:11" x14ac:dyDescent="0.3">
      <c r="A247">
        <v>256</v>
      </c>
      <c r="B247" s="11">
        <v>7.7854166666666662E-3</v>
      </c>
      <c r="C247" s="11">
        <v>7.8511574074074074E-3</v>
      </c>
      <c r="D247" t="str">
        <f ca="1">srt!C246</f>
        <v>又称反克雷洛夫矩阵或结偶矩阵。</v>
      </c>
      <c r="E247" t="str">
        <f t="shared" ca="1" si="22"/>
        <v>。</v>
      </c>
      <c r="F247" t="b">
        <f t="shared" ca="1" si="23"/>
        <v>1</v>
      </c>
      <c r="G247">
        <f t="shared" ca="1" si="24"/>
        <v>77</v>
      </c>
      <c r="H247">
        <f t="shared" ca="1" si="25"/>
        <v>77</v>
      </c>
      <c r="I247" t="str">
        <f t="shared" ca="1" si="26"/>
        <v>为了求得P，我们可以将两边同时乘以K的逆矩阵，即为F，又称反克雷洛夫矩阵或结偶矩阵。</v>
      </c>
      <c r="J247" s="1">
        <f t="shared" ca="1" si="27"/>
        <v>7.6400462962962967E-3</v>
      </c>
      <c r="K247" s="1">
        <f t="shared" ca="1" si="28"/>
        <v>7.8511574074074074E-3</v>
      </c>
    </row>
    <row r="248" spans="1:11" x14ac:dyDescent="0.3">
      <c r="A248">
        <v>257</v>
      </c>
      <c r="B248" s="11">
        <v>7.8525462962962967E-3</v>
      </c>
      <c r="C248" s="11">
        <v>7.8988425925925927E-3</v>
      </c>
      <c r="D248" t="str">
        <f ca="1">srt!C247</f>
        <v>这个矩阵F也是下三角矩阵，</v>
      </c>
      <c r="E248" t="str">
        <f t="shared" ca="1" si="22"/>
        <v>，</v>
      </c>
      <c r="F248" t="b">
        <f t="shared" ca="1" si="23"/>
        <v>0</v>
      </c>
      <c r="G248">
        <f t="shared" ca="1" si="24"/>
        <v>78</v>
      </c>
      <c r="H248" t="str">
        <f t="shared" ca="1" si="25"/>
        <v/>
      </c>
      <c r="I248" t="str">
        <f t="shared" ca="1" si="26"/>
        <v>这个矩阵F也是下三角矩阵，</v>
      </c>
      <c r="J248" s="1">
        <f t="shared" ca="1" si="27"/>
        <v>7.8525462962962967E-3</v>
      </c>
      <c r="K248" s="1" t="b">
        <f t="shared" ca="1" si="28"/>
        <v>0</v>
      </c>
    </row>
    <row r="249" spans="1:11" x14ac:dyDescent="0.3">
      <c r="A249">
        <v>258</v>
      </c>
      <c r="B249" s="11">
        <v>7.8993055555555552E-3</v>
      </c>
      <c r="C249" s="11">
        <v>7.9493055555555567E-3</v>
      </c>
      <c r="D249" t="str">
        <f ca="1">srt!C248</f>
        <v>并且和矩阵K看上去差不多，</v>
      </c>
      <c r="E249" t="str">
        <f t="shared" ca="1" si="22"/>
        <v>，</v>
      </c>
      <c r="F249" t="b">
        <f t="shared" ca="1" si="23"/>
        <v>0</v>
      </c>
      <c r="G249">
        <f t="shared" ca="1" si="24"/>
        <v>78</v>
      </c>
      <c r="H249" t="str">
        <f t="shared" ca="1" si="25"/>
        <v/>
      </c>
      <c r="I249" t="str">
        <f t="shared" ca="1" si="26"/>
        <v>这个矩阵F也是下三角矩阵，并且和矩阵K看上去差不多，</v>
      </c>
      <c r="J249" s="1">
        <f t="shared" ca="1" si="27"/>
        <v>7.8525462962962967E-3</v>
      </c>
      <c r="K249" s="1" t="b">
        <f t="shared" ca="1" si="28"/>
        <v>0</v>
      </c>
    </row>
    <row r="250" spans="1:11" x14ac:dyDescent="0.3">
      <c r="A250">
        <v>259</v>
      </c>
      <c r="B250" s="11">
        <v>7.9502314814814817E-3</v>
      </c>
      <c r="C250" s="11">
        <v>7.9942129629629634E-3</v>
      </c>
      <c r="D250" t="str">
        <f ca="1">srt!C249</f>
        <v>不过并不相同。</v>
      </c>
      <c r="E250" t="str">
        <f t="shared" ca="1" si="22"/>
        <v>。</v>
      </c>
      <c r="F250" t="b">
        <f t="shared" ca="1" si="23"/>
        <v>1</v>
      </c>
      <c r="G250">
        <f t="shared" ca="1" si="24"/>
        <v>78</v>
      </c>
      <c r="H250">
        <f t="shared" ca="1" si="25"/>
        <v>78</v>
      </c>
      <c r="I250" t="str">
        <f t="shared" ca="1" si="26"/>
        <v>这个矩阵F也是下三角矩阵，并且和矩阵K看上去差不多，不过并不相同。</v>
      </c>
      <c r="J250" s="1">
        <f t="shared" ca="1" si="27"/>
        <v>7.8525462962962967E-3</v>
      </c>
      <c r="K250" s="1">
        <f t="shared" ca="1" si="28"/>
        <v>7.9942129629629634E-3</v>
      </c>
    </row>
    <row r="251" spans="1:11" x14ac:dyDescent="0.3">
      <c r="A251">
        <v>260</v>
      </c>
      <c r="B251" s="11">
        <v>7.9951388888888884E-3</v>
      </c>
      <c r="C251" s="11">
        <v>8.0451388888888899E-3</v>
      </c>
      <c r="D251" t="str">
        <f ca="1">srt!C250</f>
        <v>事实上，</v>
      </c>
      <c r="E251" t="str">
        <f t="shared" ca="1" si="22"/>
        <v>，</v>
      </c>
      <c r="F251" t="b">
        <f t="shared" ca="1" si="23"/>
        <v>0</v>
      </c>
      <c r="G251">
        <f t="shared" ca="1" si="24"/>
        <v>79</v>
      </c>
      <c r="H251" t="str">
        <f t="shared" ca="1" si="25"/>
        <v/>
      </c>
      <c r="I251" t="str">
        <f t="shared" ca="1" si="26"/>
        <v>事实上，</v>
      </c>
      <c r="J251" s="1">
        <f t="shared" ca="1" si="27"/>
        <v>7.9951388888888884E-3</v>
      </c>
      <c r="K251" s="1" t="b">
        <f t="shared" ca="1" si="28"/>
        <v>0</v>
      </c>
    </row>
    <row r="252" spans="1:11" x14ac:dyDescent="0.3">
      <c r="A252">
        <v>261</v>
      </c>
      <c r="B252" s="11">
        <v>8.0474537037037025E-3</v>
      </c>
      <c r="C252" s="11">
        <v>8.0932870370370377E-3</v>
      </c>
      <c r="D252" t="str">
        <f ca="1">srt!C251</f>
        <v>这个矩阵F也满足类似的性质。</v>
      </c>
      <c r="E252" t="str">
        <f t="shared" ca="1" si="22"/>
        <v>。</v>
      </c>
      <c r="F252" t="b">
        <f t="shared" ca="1" si="23"/>
        <v>1</v>
      </c>
      <c r="G252">
        <f t="shared" ca="1" si="24"/>
        <v>79</v>
      </c>
      <c r="H252">
        <f t="shared" ca="1" si="25"/>
        <v>79</v>
      </c>
      <c r="I252" t="str">
        <f t="shared" ca="1" si="26"/>
        <v>事实上，这个矩阵F也满足类似的性质。</v>
      </c>
      <c r="J252" s="1">
        <f t="shared" ca="1" si="27"/>
        <v>7.9951388888888884E-3</v>
      </c>
      <c r="K252" s="1">
        <f t="shared" ca="1" si="28"/>
        <v>8.0932870370370377E-3</v>
      </c>
    </row>
    <row r="253" spans="1:11" x14ac:dyDescent="0.3">
      <c r="A253">
        <v>262</v>
      </c>
      <c r="B253" s="11">
        <v>8.0932870370370377E-3</v>
      </c>
      <c r="C253" s="11">
        <v>8.1155092592592581E-3</v>
      </c>
      <c r="D253" t="str">
        <f ca="1">srt!C252</f>
        <v>使用这两个性质构造的矩阵K和F可以证明S等于KF为单位矩阵I</v>
      </c>
      <c r="E253" t="str">
        <f t="shared" ca="1" si="22"/>
        <v>I</v>
      </c>
      <c r="F253" t="b">
        <f t="shared" ca="1" si="23"/>
        <v>0</v>
      </c>
      <c r="G253">
        <f t="shared" ca="1" si="24"/>
        <v>80</v>
      </c>
      <c r="H253" t="str">
        <f t="shared" ca="1" si="25"/>
        <v/>
      </c>
      <c r="I253" t="str">
        <f t="shared" ca="1" si="26"/>
        <v>使用这两个性质构造的矩阵K和F可以证明S等于KF为单位矩阵I</v>
      </c>
      <c r="J253" s="1">
        <f t="shared" ca="1" si="27"/>
        <v>8.0932870370370377E-3</v>
      </c>
      <c r="K253" s="1" t="b">
        <f t="shared" ca="1" si="28"/>
        <v>0</v>
      </c>
    </row>
    <row r="254" spans="1:11" x14ac:dyDescent="0.3">
      <c r="A254">
        <v>263</v>
      </c>
      <c r="B254" s="11">
        <v>8.1168981481481474E-3</v>
      </c>
      <c r="C254" s="11">
        <v>8.1511574074074073E-3</v>
      </c>
      <c r="D254" t="str">
        <f ca="1">srt!C253</f>
        <v>，</v>
      </c>
      <c r="E254" t="str">
        <f t="shared" ca="1" si="22"/>
        <v>，</v>
      </c>
      <c r="F254" t="b">
        <f t="shared" ca="1" si="23"/>
        <v>0</v>
      </c>
      <c r="G254">
        <f t="shared" ca="1" si="24"/>
        <v>80</v>
      </c>
      <c r="H254" t="str">
        <f t="shared" ca="1" si="25"/>
        <v/>
      </c>
      <c r="I254" t="str">
        <f t="shared" ca="1" si="26"/>
        <v>使用这两个性质构造的矩阵K和F可以证明S等于KF为单位矩阵I，</v>
      </c>
      <c r="J254" s="1">
        <f t="shared" ca="1" si="27"/>
        <v>8.0932870370370377E-3</v>
      </c>
      <c r="K254" s="1" t="b">
        <f t="shared" ca="1" si="28"/>
        <v>0</v>
      </c>
    </row>
    <row r="255" spans="1:11" x14ac:dyDescent="0.3">
      <c r="A255">
        <v>264</v>
      </c>
      <c r="B255" s="11">
        <v>8.1511574074074073E-3</v>
      </c>
      <c r="C255" s="11">
        <v>8.1993055555555552E-3</v>
      </c>
      <c r="D255" t="str">
        <f ca="1">srt!C254</f>
        <v>有兴趣的小伙伴可以自己试着证明一下。</v>
      </c>
      <c r="E255" t="str">
        <f t="shared" ca="1" si="22"/>
        <v>。</v>
      </c>
      <c r="F255" t="b">
        <f t="shared" ca="1" si="23"/>
        <v>1</v>
      </c>
      <c r="G255">
        <f t="shared" ca="1" si="24"/>
        <v>80</v>
      </c>
      <c r="H255">
        <f t="shared" ca="1" si="25"/>
        <v>80</v>
      </c>
      <c r="I255" t="str">
        <f t="shared" ca="1" si="26"/>
        <v>使用这两个性质构造的矩阵K和F可以证明S等于KF为单位矩阵I，有兴趣的小伙伴可以自己试着证明一下。</v>
      </c>
      <c r="J255" s="1">
        <f t="shared" ca="1" si="27"/>
        <v>8.0932870370370377E-3</v>
      </c>
      <c r="K255" s="1">
        <f t="shared" ca="1" si="28"/>
        <v>8.1993055555555552E-3</v>
      </c>
    </row>
    <row r="256" spans="1:11" x14ac:dyDescent="0.3">
      <c r="A256">
        <v>265</v>
      </c>
      <c r="B256" s="11">
        <v>8.200231481481482E-3</v>
      </c>
      <c r="C256" s="11">
        <v>8.2090277777777769E-3</v>
      </c>
      <c r="D256" t="str">
        <f ca="1">srt!C255</f>
        <v>提示矩阵S等于KF满足14偶校验约束，</v>
      </c>
      <c r="E256" t="str">
        <f t="shared" ca="1" si="22"/>
        <v>，</v>
      </c>
      <c r="F256" t="b">
        <f t="shared" ca="1" si="23"/>
        <v>0</v>
      </c>
      <c r="G256">
        <f t="shared" ca="1" si="24"/>
        <v>81</v>
      </c>
      <c r="H256" t="str">
        <f t="shared" ca="1" si="25"/>
        <v/>
      </c>
      <c r="I256" t="str">
        <f t="shared" ca="1" si="26"/>
        <v>提示矩阵S等于KF满足14偶校验约束，</v>
      </c>
      <c r="J256" s="1">
        <f t="shared" ca="1" si="27"/>
        <v>8.200231481481482E-3</v>
      </c>
      <c r="K256" s="1" t="b">
        <f t="shared" ca="1" si="28"/>
        <v>0</v>
      </c>
    </row>
    <row r="257" spans="1:11" x14ac:dyDescent="0.3">
      <c r="A257">
        <v>266</v>
      </c>
      <c r="B257" s="11">
        <v>8.2090277777777769E-3</v>
      </c>
      <c r="C257" s="11">
        <v>8.2372685185185188E-3</v>
      </c>
      <c r="D257" t="str">
        <f ca="1">srt!C256</f>
        <v>也就是满足以上递推公式。</v>
      </c>
      <c r="E257" t="str">
        <f t="shared" ca="1" si="22"/>
        <v>。</v>
      </c>
      <c r="F257" t="b">
        <f t="shared" ca="1" si="23"/>
        <v>1</v>
      </c>
      <c r="G257">
        <f t="shared" ca="1" si="24"/>
        <v>81</v>
      </c>
      <c r="H257">
        <f t="shared" ca="1" si="25"/>
        <v>81</v>
      </c>
      <c r="I257" t="str">
        <f t="shared" ca="1" si="26"/>
        <v>提示矩阵S等于KF满足14偶校验约束，也就是满足以上递推公式。</v>
      </c>
      <c r="J257" s="1">
        <f t="shared" ca="1" si="27"/>
        <v>8.200231481481482E-3</v>
      </c>
      <c r="K257" s="1">
        <f t="shared" ca="1" si="28"/>
        <v>8.2372685185185188E-3</v>
      </c>
    </row>
    <row r="258" spans="1:11" x14ac:dyDescent="0.3">
      <c r="A258">
        <v>267</v>
      </c>
      <c r="B258" s="11">
        <v>8.2381944444444438E-3</v>
      </c>
      <c r="C258" s="11">
        <v>8.2590277777777783E-3</v>
      </c>
      <c r="D258" t="str">
        <f ca="1">srt!C257</f>
        <v>这里说明一下矩阵F的每行对应多项式FNX，</v>
      </c>
      <c r="E258" t="str">
        <f t="shared" ca="1" si="22"/>
        <v>，</v>
      </c>
      <c r="F258" t="b">
        <f t="shared" ca="1" si="23"/>
        <v>0</v>
      </c>
      <c r="G258">
        <f t="shared" ca="1" si="24"/>
        <v>82</v>
      </c>
      <c r="H258" t="str">
        <f t="shared" ca="1" si="25"/>
        <v/>
      </c>
      <c r="I258" t="str">
        <f t="shared" ca="1" si="26"/>
        <v>这里说明一下矩阵F的每行对应多项式FNX，</v>
      </c>
      <c r="J258" s="1">
        <f t="shared" ca="1" si="27"/>
        <v>8.2381944444444438E-3</v>
      </c>
      <c r="K258" s="1" t="b">
        <f t="shared" ca="1" si="28"/>
        <v>0</v>
      </c>
    </row>
    <row r="259" spans="1:11" x14ac:dyDescent="0.3">
      <c r="A259">
        <v>268</v>
      </c>
      <c r="B259" s="11">
        <v>8.2594907407407409E-3</v>
      </c>
      <c r="C259" s="11">
        <v>8.2905092592592579E-3</v>
      </c>
      <c r="D259" t="str">
        <f ca="1">srt!C258</f>
        <v>也就是上集视频解的数量章节中提到的OEIS中的斐波那契多项式</v>
      </c>
      <c r="E259" t="str">
        <f t="shared" ca="1" si="22"/>
        <v>式</v>
      </c>
      <c r="F259" t="b">
        <f t="shared" ca="1" si="23"/>
        <v>0</v>
      </c>
      <c r="G259">
        <f t="shared" ca="1" si="24"/>
        <v>82</v>
      </c>
      <c r="H259" t="str">
        <f t="shared" ca="1" si="25"/>
        <v/>
      </c>
      <c r="I259" t="str">
        <f t="shared" ca="1" si="26"/>
        <v>这里说明一下矩阵F的每行对应多项式FNX，也就是上集视频解的数量章节中提到的OEIS中的斐波那契多项式</v>
      </c>
      <c r="J259" s="1">
        <f t="shared" ca="1" si="27"/>
        <v>8.2381944444444438E-3</v>
      </c>
      <c r="K259" s="1" t="b">
        <f t="shared" ca="1" si="28"/>
        <v>0</v>
      </c>
    </row>
    <row r="260" spans="1:11" x14ac:dyDescent="0.3">
      <c r="A260">
        <v>269</v>
      </c>
      <c r="B260" s="11">
        <v>8.2914351851851847E-3</v>
      </c>
      <c r="C260" s="11">
        <v>8.3006944444444439E-3</v>
      </c>
      <c r="D260" t="str">
        <f ca="1">srt!C259</f>
        <v>。</v>
      </c>
      <c r="E260" t="str">
        <f t="shared" ref="E260:E323" ca="1" si="29">RIGHT(D260,1)</f>
        <v>。</v>
      </c>
      <c r="F260" t="b">
        <f t="shared" ref="F260:F323" ca="1" si="30">OR(E260="。",E260="？", E260="！")</f>
        <v>1</v>
      </c>
      <c r="G260">
        <f t="shared" ref="G260:G323" ca="1" si="31">F259+G259</f>
        <v>82</v>
      </c>
      <c r="H260">
        <f t="shared" ref="H260:H323" ca="1" si="32">IF(F260,G260,"")</f>
        <v>82</v>
      </c>
      <c r="I260" t="str">
        <f t="shared" ref="I260:I323" ca="1" si="33">IF(F259,D260,I259&amp;D260)</f>
        <v>这里说明一下矩阵F的每行对应多项式FNX，也就是上集视频解的数量章节中提到的OEIS中的斐波那契多项式。</v>
      </c>
      <c r="J260" s="1">
        <f t="shared" ref="J260:J323" ca="1" si="34">IF(F259,B260,J259)</f>
        <v>8.2381944444444438E-3</v>
      </c>
      <c r="K260" s="1">
        <f t="shared" ref="K260:K323" ca="1" si="35">IF(F260,C260)</f>
        <v>8.3006944444444439E-3</v>
      </c>
    </row>
    <row r="261" spans="1:11" x14ac:dyDescent="0.3">
      <c r="A261">
        <v>270</v>
      </c>
      <c r="B261" s="11">
        <v>8.3006944444444439E-3</v>
      </c>
      <c r="C261" s="11">
        <v>8.3474537037037042E-3</v>
      </c>
      <c r="D261" t="str">
        <f ca="1">srt!C260</f>
        <v>此外，</v>
      </c>
      <c r="E261" t="str">
        <f t="shared" ca="1" si="29"/>
        <v>，</v>
      </c>
      <c r="F261" t="b">
        <f t="shared" ca="1" si="30"/>
        <v>0</v>
      </c>
      <c r="G261">
        <f t="shared" ca="1" si="31"/>
        <v>83</v>
      </c>
      <c r="H261" t="str">
        <f t="shared" ca="1" si="32"/>
        <v/>
      </c>
      <c r="I261" t="str">
        <f t="shared" ca="1" si="33"/>
        <v>此外，</v>
      </c>
      <c r="J261" s="1">
        <f t="shared" ca="1" si="34"/>
        <v>8.3006944444444439E-3</v>
      </c>
      <c r="K261" s="1" t="b">
        <f t="shared" ca="1" si="35"/>
        <v>0</v>
      </c>
    </row>
    <row r="262" spans="1:11" x14ac:dyDescent="0.3">
      <c r="A262">
        <v>271</v>
      </c>
      <c r="B262" s="11">
        <v>8.349305555555556E-3</v>
      </c>
      <c r="C262" s="11">
        <v>8.3715277777777781E-3</v>
      </c>
      <c r="D262" t="str">
        <f ca="1">srt!C261</f>
        <v>刚才递推得到的矩阵C对应多项式CNX等价于解的数量章节中提到</v>
      </c>
      <c r="E262" t="str">
        <f t="shared" ca="1" si="29"/>
        <v>到</v>
      </c>
      <c r="F262" t="b">
        <f t="shared" ca="1" si="30"/>
        <v>0</v>
      </c>
      <c r="G262">
        <f t="shared" ca="1" si="31"/>
        <v>83</v>
      </c>
      <c r="H262" t="str">
        <f t="shared" ca="1" si="32"/>
        <v/>
      </c>
      <c r="I262" t="str">
        <f t="shared" ca="1" si="33"/>
        <v>此外，刚才递推得到的矩阵C对应多项式CNX等价于解的数量章节中提到</v>
      </c>
      <c r="J262" s="1">
        <f t="shared" ca="1" si="34"/>
        <v>8.3006944444444439E-3</v>
      </c>
      <c r="K262" s="1" t="b">
        <f t="shared" ca="1" si="35"/>
        <v>0</v>
      </c>
    </row>
    <row r="263" spans="1:11" x14ac:dyDescent="0.3">
      <c r="A263">
        <v>272</v>
      </c>
      <c r="B263" s="11">
        <v>8.3715277777777781E-3</v>
      </c>
      <c r="C263" s="11">
        <v>8.4025462962962968E-3</v>
      </c>
      <c r="D263" t="str">
        <f ca="1">srt!C262</f>
        <v>的FNX加1。</v>
      </c>
      <c r="E263" t="str">
        <f t="shared" ca="1" si="29"/>
        <v>。</v>
      </c>
      <c r="F263" t="b">
        <f t="shared" ca="1" si="30"/>
        <v>1</v>
      </c>
      <c r="G263">
        <f t="shared" ca="1" si="31"/>
        <v>83</v>
      </c>
      <c r="H263">
        <f t="shared" ca="1" si="32"/>
        <v>83</v>
      </c>
      <c r="I263" t="str">
        <f t="shared" ca="1" si="33"/>
        <v>此外，刚才递推得到的矩阵C对应多项式CNX等价于解的数量章节中提到的FNX加1。</v>
      </c>
      <c r="J263" s="1">
        <f t="shared" ca="1" si="34"/>
        <v>8.3006944444444439E-3</v>
      </c>
      <c r="K263" s="1">
        <f t="shared" ca="1" si="35"/>
        <v>8.4025462962962968E-3</v>
      </c>
    </row>
    <row r="264" spans="1:11" x14ac:dyDescent="0.3">
      <c r="A264">
        <v>273</v>
      </c>
      <c r="B264" s="11">
        <v>8.4039351851851862E-3</v>
      </c>
      <c r="C264" s="11">
        <v>8.4442129629629641E-3</v>
      </c>
      <c r="D264" t="str">
        <f ca="1">srt!C263</f>
        <v>这个证明也不难，</v>
      </c>
      <c r="E264" t="str">
        <f t="shared" ca="1" si="29"/>
        <v>，</v>
      </c>
      <c r="F264" t="b">
        <f t="shared" ca="1" si="30"/>
        <v>0</v>
      </c>
      <c r="G264">
        <f t="shared" ca="1" si="31"/>
        <v>84</v>
      </c>
      <c r="H264" t="str">
        <f t="shared" ca="1" si="32"/>
        <v/>
      </c>
      <c r="I264" t="str">
        <f t="shared" ca="1" si="33"/>
        <v>这个证明也不难，</v>
      </c>
      <c r="J264" s="1">
        <f t="shared" ca="1" si="34"/>
        <v>8.4039351851851862E-3</v>
      </c>
      <c r="K264" s="1" t="b">
        <f t="shared" ca="1" si="35"/>
        <v>0</v>
      </c>
    </row>
    <row r="265" spans="1:11" x14ac:dyDescent="0.3">
      <c r="A265">
        <v>274</v>
      </c>
      <c r="B265" s="11">
        <v>8.4456018518518517E-3</v>
      </c>
      <c r="C265" s="11">
        <v>8.5131944444444448E-3</v>
      </c>
      <c r="D265" t="str">
        <f ca="1">srt!C264</f>
        <v>可以由F和C的关系求出F和C的递推公式或者由递推公式反推，</v>
      </c>
      <c r="E265" t="str">
        <f t="shared" ca="1" si="29"/>
        <v>，</v>
      </c>
      <c r="F265" t="b">
        <f t="shared" ca="1" si="30"/>
        <v>0</v>
      </c>
      <c r="G265">
        <f t="shared" ca="1" si="31"/>
        <v>84</v>
      </c>
      <c r="H265" t="str">
        <f t="shared" ca="1" si="32"/>
        <v/>
      </c>
      <c r="I265" t="str">
        <f t="shared" ca="1" si="33"/>
        <v>这个证明也不难，可以由F和C的关系求出F和C的递推公式或者由递推公式反推，</v>
      </c>
      <c r="J265" s="1">
        <f t="shared" ca="1" si="34"/>
        <v>8.4039351851851862E-3</v>
      </c>
      <c r="K265" s="1" t="b">
        <f t="shared" ca="1" si="35"/>
        <v>0</v>
      </c>
    </row>
    <row r="266" spans="1:11" x14ac:dyDescent="0.3">
      <c r="A266">
        <v>275</v>
      </c>
      <c r="B266" s="11">
        <v>8.5131944444444448E-3</v>
      </c>
      <c r="C266" s="11">
        <v>8.523379629629629E-3</v>
      </c>
      <c r="D266" t="str">
        <f ca="1">srt!C265</f>
        <v>同时BN矩阵也可以表示为以上形式，</v>
      </c>
      <c r="E266" t="str">
        <f t="shared" ca="1" si="29"/>
        <v>，</v>
      </c>
      <c r="F266" t="b">
        <f t="shared" ca="1" si="30"/>
        <v>0</v>
      </c>
      <c r="G266">
        <f t="shared" ca="1" si="31"/>
        <v>84</v>
      </c>
      <c r="H266" t="str">
        <f t="shared" ca="1" si="32"/>
        <v/>
      </c>
      <c r="I266" t="str">
        <f t="shared" ca="1" si="33"/>
        <v>这个证明也不难，可以由F和C的关系求出F和C的递推公式或者由递推公式反推，同时BN矩阵也可以表示为以上形式，</v>
      </c>
      <c r="J266" s="1">
        <f t="shared" ca="1" si="34"/>
        <v>8.4039351851851862E-3</v>
      </c>
      <c r="K266" s="1" t="b">
        <f t="shared" ca="1" si="35"/>
        <v>0</v>
      </c>
    </row>
    <row r="267" spans="1:11" x14ac:dyDescent="0.3">
      <c r="A267">
        <v>276</v>
      </c>
      <c r="B267" s="11">
        <v>8.523379629629629E-3</v>
      </c>
      <c r="C267" s="11">
        <v>8.574768518518518E-3</v>
      </c>
      <c r="D267" t="str">
        <f ca="1">srt!C266</f>
        <v>这里的H加I等价于X加1，</v>
      </c>
      <c r="E267" t="str">
        <f t="shared" ca="1" si="29"/>
        <v>，</v>
      </c>
      <c r="F267" t="b">
        <f t="shared" ca="1" si="30"/>
        <v>0</v>
      </c>
      <c r="G267">
        <f t="shared" ca="1" si="31"/>
        <v>84</v>
      </c>
      <c r="H267" t="str">
        <f t="shared" ca="1" si="32"/>
        <v/>
      </c>
      <c r="I267" t="str">
        <f t="shared" ca="1" si="33"/>
        <v>这个证明也不难，可以由F和C的关系求出F和C的递推公式或者由递推公式反推，同时BN矩阵也可以表示为以上形式，这里的H加I等价于X加1，</v>
      </c>
      <c r="J267" s="1">
        <f t="shared" ca="1" si="34"/>
        <v>8.4039351851851862E-3</v>
      </c>
      <c r="K267" s="1" t="b">
        <f t="shared" ca="1" si="35"/>
        <v>0</v>
      </c>
    </row>
    <row r="268" spans="1:11" x14ac:dyDescent="0.3">
      <c r="A268">
        <v>277</v>
      </c>
      <c r="B268" s="11">
        <v>8.5761574074074073E-3</v>
      </c>
      <c r="C268" s="11">
        <v>8.603935185185185E-3</v>
      </c>
      <c r="D268" t="str">
        <f ca="1">srt!C267</f>
        <v>让我们继续求P，</v>
      </c>
      <c r="E268" t="str">
        <f t="shared" ca="1" si="29"/>
        <v>，</v>
      </c>
      <c r="F268" t="b">
        <f t="shared" ca="1" si="30"/>
        <v>0</v>
      </c>
      <c r="G268">
        <f t="shared" ca="1" si="31"/>
        <v>84</v>
      </c>
      <c r="H268" t="str">
        <f t="shared" ca="1" si="32"/>
        <v/>
      </c>
      <c r="I268" t="str">
        <f t="shared" ca="1" si="33"/>
        <v>这个证明也不难，可以由F和C的关系求出F和C的递推公式或者由递推公式反推，同时BN矩阵也可以表示为以上形式，这里的H加I等价于X加1，让我们继续求P，</v>
      </c>
      <c r="J268" s="1">
        <f t="shared" ca="1" si="34"/>
        <v>8.4039351851851862E-3</v>
      </c>
      <c r="K268" s="1" t="b">
        <f t="shared" ca="1" si="35"/>
        <v>0</v>
      </c>
    </row>
    <row r="269" spans="1:11" x14ac:dyDescent="0.3">
      <c r="A269">
        <v>278</v>
      </c>
      <c r="B269" s="11">
        <v>8.603935185185185E-3</v>
      </c>
      <c r="C269" s="11">
        <v>8.6344907407407412E-3</v>
      </c>
      <c r="D269" t="str">
        <f ca="1">srt!C268</f>
        <v>由于F和K互逆，</v>
      </c>
      <c r="E269" t="str">
        <f t="shared" ca="1" si="29"/>
        <v>，</v>
      </c>
      <c r="F269" t="b">
        <f t="shared" ca="1" si="30"/>
        <v>0</v>
      </c>
      <c r="G269">
        <f t="shared" ca="1" si="31"/>
        <v>84</v>
      </c>
      <c r="H269" t="str">
        <f t="shared" ca="1" si="32"/>
        <v/>
      </c>
      <c r="I269" t="str">
        <f t="shared" ca="1" si="33"/>
        <v>这个证明也不难，可以由F和C的关系求出F和C的递推公式或者由递推公式反推，同时BN矩阵也可以表示为以上形式，这里的H加I等价于X加1，让我们继续求P，由于F和K互逆，</v>
      </c>
      <c r="J269" s="1">
        <f t="shared" ca="1" si="34"/>
        <v>8.4039351851851862E-3</v>
      </c>
      <c r="K269" s="1" t="b">
        <f t="shared" ca="1" si="35"/>
        <v>0</v>
      </c>
    </row>
    <row r="270" spans="1:11" x14ac:dyDescent="0.3">
      <c r="A270">
        <v>279</v>
      </c>
      <c r="B270" s="11">
        <v>8.6358796296296288E-3</v>
      </c>
      <c r="C270" s="11">
        <v>8.6780092592592586E-3</v>
      </c>
      <c r="D270" t="str">
        <f ca="1">srt!C269</f>
        <v>于是我们有FB等于FKP等于P，</v>
      </c>
      <c r="E270" t="str">
        <f t="shared" ca="1" si="29"/>
        <v>，</v>
      </c>
      <c r="F270" t="b">
        <f t="shared" ca="1" si="30"/>
        <v>0</v>
      </c>
      <c r="G270">
        <f t="shared" ca="1" si="31"/>
        <v>84</v>
      </c>
      <c r="H270" t="str">
        <f t="shared" ca="1" si="32"/>
        <v/>
      </c>
      <c r="I270" t="str">
        <f t="shared" ca="1" si="33"/>
        <v>这个证明也不难，可以由F和C的关系求出F和C的递推公式或者由递推公式反推，同时BN矩阵也可以表示为以上形式，这里的H加I等价于X加1，让我们继续求P，由于F和K互逆，于是我们有FB等于FKP等于P，</v>
      </c>
      <c r="J270" s="1">
        <f t="shared" ca="1" si="34"/>
        <v>8.4039351851851862E-3</v>
      </c>
      <c r="K270" s="1" t="b">
        <f t="shared" ca="1" si="35"/>
        <v>0</v>
      </c>
    </row>
    <row r="271" spans="1:11" x14ac:dyDescent="0.3">
      <c r="A271">
        <v>280</v>
      </c>
      <c r="B271" s="11">
        <v>8.681712962962964E-3</v>
      </c>
      <c r="C271" s="11">
        <v>8.7094907407407416E-3</v>
      </c>
      <c r="D271" t="str">
        <f ca="1">srt!C270</f>
        <v>将向量B和矩阵F相乘，</v>
      </c>
      <c r="E271" t="str">
        <f t="shared" ca="1" si="29"/>
        <v>，</v>
      </c>
      <c r="F271" t="b">
        <f t="shared" ca="1" si="30"/>
        <v>0</v>
      </c>
      <c r="G271">
        <f t="shared" ca="1" si="31"/>
        <v>84</v>
      </c>
      <c r="H271" t="str">
        <f t="shared" ca="1" si="32"/>
        <v/>
      </c>
      <c r="I271" t="str">
        <f t="shared" ca="1" si="33"/>
        <v>这个证明也不难，可以由F和C的关系求出F和C的递推公式或者由递推公式反推，同时BN矩阵也可以表示为以上形式，这里的H加I等价于X加1，让我们继续求P，由于F和K互逆，于是我们有FB等于FKP等于P，将向量B和矩阵F相乘，</v>
      </c>
      <c r="J271" s="1">
        <f t="shared" ca="1" si="34"/>
        <v>8.4039351851851862E-3</v>
      </c>
      <c r="K271" s="1" t="b">
        <f t="shared" ca="1" si="35"/>
        <v>0</v>
      </c>
    </row>
    <row r="272" spans="1:11" x14ac:dyDescent="0.3">
      <c r="A272">
        <v>281</v>
      </c>
      <c r="B272" s="11">
        <v>8.7104166666666667E-3</v>
      </c>
      <c r="C272" s="11">
        <v>8.736805555555555E-3</v>
      </c>
      <c r="D272" t="str">
        <f ca="1">srt!C271</f>
        <v>我们便求出了P。</v>
      </c>
      <c r="E272" t="str">
        <f t="shared" ca="1" si="29"/>
        <v>。</v>
      </c>
      <c r="F272" t="b">
        <f t="shared" ca="1" si="30"/>
        <v>1</v>
      </c>
      <c r="G272">
        <f t="shared" ca="1" si="31"/>
        <v>84</v>
      </c>
      <c r="H272">
        <f t="shared" ca="1" si="32"/>
        <v>84</v>
      </c>
      <c r="I272" t="str">
        <f t="shared" ca="1" si="33"/>
        <v>这个证明也不难，可以由F和C的关系求出F和C的递推公式或者由递推公式反推，同时BN矩阵也可以表示为以上形式，这里的H加I等价于X加1，让我们继续求P，由于F和K互逆，于是我们有FB等于FKP等于P，将向量B和矩阵F相乘，我们便求出了P。</v>
      </c>
      <c r="J272" s="1">
        <f t="shared" ca="1" si="34"/>
        <v>8.4039351851851862E-3</v>
      </c>
      <c r="K272" s="1">
        <f t="shared" ca="1" si="35"/>
        <v>8.736805555555555E-3</v>
      </c>
    </row>
    <row r="273" spans="1:11" x14ac:dyDescent="0.3">
      <c r="A273">
        <v>282</v>
      </c>
      <c r="B273" s="11">
        <v>8.736805555555555E-3</v>
      </c>
      <c r="C273" s="11">
        <v>8.7668981481481487E-3</v>
      </c>
      <c r="D273" t="str">
        <f ca="1">srt!C272</f>
        <v>为了和视频中演示的一致，</v>
      </c>
      <c r="E273" t="str">
        <f t="shared" ca="1" si="29"/>
        <v>，</v>
      </c>
      <c r="F273" t="b">
        <f t="shared" ca="1" si="30"/>
        <v>0</v>
      </c>
      <c r="G273">
        <f t="shared" ca="1" si="31"/>
        <v>85</v>
      </c>
      <c r="H273" t="str">
        <f t="shared" ca="1" si="32"/>
        <v/>
      </c>
      <c r="I273" t="str">
        <f t="shared" ca="1" si="33"/>
        <v>为了和视频中演示的一致，</v>
      </c>
      <c r="J273" s="1">
        <f t="shared" ca="1" si="34"/>
        <v>8.736805555555555E-3</v>
      </c>
      <c r="K273" s="1" t="b">
        <f t="shared" ca="1" si="35"/>
        <v>0</v>
      </c>
    </row>
    <row r="274" spans="1:11" x14ac:dyDescent="0.3">
      <c r="A274">
        <v>283</v>
      </c>
      <c r="B274" s="11">
        <v>8.7668981481481487E-3</v>
      </c>
      <c r="C274" s="11">
        <v>8.8081018518518517E-3</v>
      </c>
      <c r="D274" t="str">
        <f ca="1">srt!C273</f>
        <v>由于B是竖着的，</v>
      </c>
      <c r="E274" t="str">
        <f t="shared" ca="1" si="29"/>
        <v>，</v>
      </c>
      <c r="F274" t="b">
        <f t="shared" ca="1" si="30"/>
        <v>0</v>
      </c>
      <c r="G274">
        <f t="shared" ca="1" si="31"/>
        <v>85</v>
      </c>
      <c r="H274" t="str">
        <f t="shared" ca="1" si="32"/>
        <v/>
      </c>
      <c r="I274" t="str">
        <f t="shared" ca="1" si="33"/>
        <v>为了和视频中演示的一致，由于B是竖着的，</v>
      </c>
      <c r="J274" s="1">
        <f t="shared" ca="1" si="34"/>
        <v>8.736805555555555E-3</v>
      </c>
      <c r="K274" s="1" t="b">
        <f t="shared" ca="1" si="35"/>
        <v>0</v>
      </c>
    </row>
    <row r="275" spans="1:11" x14ac:dyDescent="0.3">
      <c r="A275">
        <v>284</v>
      </c>
      <c r="B275" s="11">
        <v>8.8085648148148142E-3</v>
      </c>
      <c r="C275" s="11">
        <v>8.8284722222222219E-3</v>
      </c>
      <c r="D275" t="str">
        <f ca="1">srt!C274</f>
        <v>因此写为P等于FB。</v>
      </c>
      <c r="E275" t="str">
        <f t="shared" ca="1" si="29"/>
        <v>。</v>
      </c>
      <c r="F275" t="b">
        <f t="shared" ca="1" si="30"/>
        <v>1</v>
      </c>
      <c r="G275">
        <f t="shared" ca="1" si="31"/>
        <v>85</v>
      </c>
      <c r="H275">
        <f t="shared" ca="1" si="32"/>
        <v>85</v>
      </c>
      <c r="I275" t="str">
        <f t="shared" ca="1" si="33"/>
        <v>为了和视频中演示的一致，由于B是竖着的，因此写为P等于FB。</v>
      </c>
      <c r="J275" s="1">
        <f t="shared" ca="1" si="34"/>
        <v>8.736805555555555E-3</v>
      </c>
      <c r="K275" s="1">
        <f t="shared" ca="1" si="35"/>
        <v>8.8284722222222219E-3</v>
      </c>
    </row>
    <row r="276" spans="1:11" x14ac:dyDescent="0.3">
      <c r="A276">
        <v>285</v>
      </c>
      <c r="B276" s="11">
        <v>8.8303240740740755E-3</v>
      </c>
      <c r="C276" s="11">
        <v>8.8696759259259267E-3</v>
      </c>
      <c r="D276" t="str">
        <f ca="1">srt!C275</f>
        <v>对于矩阵乘法运算来说，</v>
      </c>
      <c r="E276" t="str">
        <f t="shared" ca="1" si="29"/>
        <v>，</v>
      </c>
      <c r="F276" t="b">
        <f t="shared" ca="1" si="30"/>
        <v>0</v>
      </c>
      <c r="G276">
        <f t="shared" ca="1" si="31"/>
        <v>86</v>
      </c>
      <c r="H276" t="str">
        <f t="shared" ca="1" si="32"/>
        <v/>
      </c>
      <c r="I276" t="str">
        <f t="shared" ca="1" si="33"/>
        <v>对于矩阵乘法运算来说，</v>
      </c>
      <c r="J276" s="1">
        <f t="shared" ca="1" si="34"/>
        <v>8.8303240740740755E-3</v>
      </c>
      <c r="K276" s="1" t="b">
        <f t="shared" ca="1" si="35"/>
        <v>0</v>
      </c>
    </row>
    <row r="277" spans="1:11" x14ac:dyDescent="0.3">
      <c r="A277">
        <v>286</v>
      </c>
      <c r="B277" s="11">
        <v>8.871064814814816E-3</v>
      </c>
      <c r="C277" s="11">
        <v>8.8803240740740735E-3</v>
      </c>
      <c r="D277" t="str">
        <f ca="1">srt!C276</f>
        <v>则有P等于B撇撇F。</v>
      </c>
      <c r="E277" t="str">
        <f t="shared" ca="1" si="29"/>
        <v>。</v>
      </c>
      <c r="F277" t="b">
        <f t="shared" ca="1" si="30"/>
        <v>1</v>
      </c>
      <c r="G277">
        <f t="shared" ca="1" si="31"/>
        <v>86</v>
      </c>
      <c r="H277">
        <f t="shared" ca="1" si="32"/>
        <v>86</v>
      </c>
      <c r="I277" t="str">
        <f t="shared" ca="1" si="33"/>
        <v>对于矩阵乘法运算来说，则有P等于B撇撇F。</v>
      </c>
      <c r="J277" s="1">
        <f t="shared" ca="1" si="34"/>
        <v>8.8303240740740755E-3</v>
      </c>
      <c r="K277" s="1">
        <f t="shared" ca="1" si="35"/>
        <v>8.8803240740740735E-3</v>
      </c>
    </row>
    <row r="278" spans="1:11" x14ac:dyDescent="0.3">
      <c r="A278">
        <v>287</v>
      </c>
      <c r="B278" s="11">
        <v>8.8803240740740735E-3</v>
      </c>
      <c r="C278" s="11">
        <v>8.9182870370370371E-3</v>
      </c>
      <c r="D278" t="str">
        <f ca="1">srt!C277</f>
        <v>这里省去了转置符号，</v>
      </c>
      <c r="E278" t="str">
        <f t="shared" ca="1" si="29"/>
        <v>，</v>
      </c>
      <c r="F278" t="b">
        <f t="shared" ca="1" si="30"/>
        <v>0</v>
      </c>
      <c r="G278">
        <f t="shared" ca="1" si="31"/>
        <v>87</v>
      </c>
      <c r="H278" t="str">
        <f t="shared" ca="1" si="32"/>
        <v/>
      </c>
      <c r="I278" t="str">
        <f t="shared" ca="1" si="33"/>
        <v>这里省去了转置符号，</v>
      </c>
      <c r="J278" s="1">
        <f t="shared" ca="1" si="34"/>
        <v>8.8803240740740735E-3</v>
      </c>
      <c r="K278" s="1" t="b">
        <f t="shared" ca="1" si="35"/>
        <v>0</v>
      </c>
    </row>
    <row r="279" spans="1:11" x14ac:dyDescent="0.3">
      <c r="A279">
        <v>288</v>
      </c>
      <c r="B279" s="11">
        <v>8.9182870370370371E-3</v>
      </c>
      <c r="C279" s="11">
        <v>8.9571759259259257E-3</v>
      </c>
      <c r="D279" t="str">
        <f ca="1">srt!C278</f>
        <v>将多项式PX写成矩阵的形式记为P。</v>
      </c>
      <c r="E279" t="str">
        <f t="shared" ca="1" si="29"/>
        <v>。</v>
      </c>
      <c r="F279" t="b">
        <f t="shared" ca="1" si="30"/>
        <v>1</v>
      </c>
      <c r="G279">
        <f t="shared" ca="1" si="31"/>
        <v>87</v>
      </c>
      <c r="H279">
        <f t="shared" ca="1" si="32"/>
        <v>87</v>
      </c>
      <c r="I279" t="str">
        <f t="shared" ca="1" si="33"/>
        <v>这里省去了转置符号，将多项式PX写成矩阵的形式记为P。</v>
      </c>
      <c r="J279" s="1">
        <f t="shared" ca="1" si="34"/>
        <v>8.8803240740740735E-3</v>
      </c>
      <c r="K279" s="1">
        <f t="shared" ca="1" si="35"/>
        <v>8.9571759259259257E-3</v>
      </c>
    </row>
    <row r="280" spans="1:11" x14ac:dyDescent="0.3">
      <c r="A280">
        <v>289</v>
      </c>
      <c r="B280" s="11">
        <v>8.9581018518518525E-3</v>
      </c>
      <c r="C280" s="11">
        <v>9.0025462962962967E-3</v>
      </c>
      <c r="D280" t="str">
        <f ca="1">srt!C279</f>
        <v>有了P等于FB之后，</v>
      </c>
      <c r="E280" t="str">
        <f t="shared" ca="1" si="29"/>
        <v>，</v>
      </c>
      <c r="F280" t="b">
        <f t="shared" ca="1" si="30"/>
        <v>0</v>
      </c>
      <c r="G280">
        <f t="shared" ca="1" si="31"/>
        <v>88</v>
      </c>
      <c r="H280" t="str">
        <f t="shared" ca="1" si="32"/>
        <v/>
      </c>
      <c r="I280" t="str">
        <f t="shared" ca="1" si="33"/>
        <v>有了P等于FB之后，</v>
      </c>
      <c r="J280" s="1">
        <f t="shared" ca="1" si="34"/>
        <v>8.9581018518518525E-3</v>
      </c>
      <c r="K280" s="1" t="b">
        <f t="shared" ca="1" si="35"/>
        <v>0</v>
      </c>
    </row>
    <row r="281" spans="1:11" x14ac:dyDescent="0.3">
      <c r="A281">
        <v>290</v>
      </c>
      <c r="B281" s="11">
        <v>9.0034722222222217E-3</v>
      </c>
      <c r="C281" s="11">
        <v>9.0118055555555559E-3</v>
      </c>
      <c r="D281" t="str">
        <f ca="1">srt!C280</f>
        <v>后续的计算我们都不需要用到完整的B，</v>
      </c>
      <c r="E281" t="str">
        <f t="shared" ca="1" si="29"/>
        <v>，</v>
      </c>
      <c r="F281" t="b">
        <f t="shared" ca="1" si="30"/>
        <v>0</v>
      </c>
      <c r="G281">
        <f t="shared" ca="1" si="31"/>
        <v>88</v>
      </c>
      <c r="H281" t="str">
        <f t="shared" ca="1" si="32"/>
        <v/>
      </c>
      <c r="I281" t="str">
        <f t="shared" ca="1" si="33"/>
        <v>有了P等于FB之后，后续的计算我们都不需要用到完整的B，</v>
      </c>
      <c r="J281" s="1">
        <f t="shared" ca="1" si="34"/>
        <v>8.9581018518518525E-3</v>
      </c>
      <c r="K281" s="1" t="b">
        <f t="shared" ca="1" si="35"/>
        <v>0</v>
      </c>
    </row>
    <row r="282" spans="1:11" x14ac:dyDescent="0.3">
      <c r="A282">
        <v>291</v>
      </c>
      <c r="B282" s="11">
        <v>9.0122685185185184E-3</v>
      </c>
      <c r="C282" s="11">
        <v>9.0409722222222228E-3</v>
      </c>
      <c r="D282" t="str">
        <f ca="1">srt!C281</f>
        <v>而只需要B的第一行及向量B。</v>
      </c>
      <c r="E282" t="str">
        <f t="shared" ca="1" si="29"/>
        <v>。</v>
      </c>
      <c r="F282" t="b">
        <f t="shared" ca="1" si="30"/>
        <v>1</v>
      </c>
      <c r="G282">
        <f t="shared" ca="1" si="31"/>
        <v>88</v>
      </c>
      <c r="H282">
        <f t="shared" ca="1" si="32"/>
        <v>88</v>
      </c>
      <c r="I282" t="str">
        <f t="shared" ca="1" si="33"/>
        <v>有了P等于FB之后，后续的计算我们都不需要用到完整的B，而只需要B的第一行及向量B。</v>
      </c>
      <c r="J282" s="1">
        <f t="shared" ca="1" si="34"/>
        <v>8.9581018518518525E-3</v>
      </c>
      <c r="K282" s="1">
        <f t="shared" ca="1" si="35"/>
        <v>9.0409722222222228E-3</v>
      </c>
    </row>
    <row r="283" spans="1:11" x14ac:dyDescent="0.3">
      <c r="A283">
        <v>292</v>
      </c>
      <c r="B283" s="11">
        <v>9.0414351851851853E-3</v>
      </c>
      <c r="C283" s="11">
        <v>9.0789351851851847E-3</v>
      </c>
      <c r="D283" t="str">
        <f ca="1">srt!C282</f>
        <v>这是因为问题已经从BX等于Y转化为了PHX等于Y，</v>
      </c>
      <c r="E283" t="str">
        <f t="shared" ca="1" si="29"/>
        <v>，</v>
      </c>
      <c r="F283" t="b">
        <f t="shared" ca="1" si="30"/>
        <v>0</v>
      </c>
      <c r="G283">
        <f t="shared" ca="1" si="31"/>
        <v>89</v>
      </c>
      <c r="H283" t="str">
        <f t="shared" ca="1" si="32"/>
        <v/>
      </c>
      <c r="I283" t="str">
        <f t="shared" ca="1" si="33"/>
        <v>这是因为问题已经从BX等于Y转化为了PHX等于Y，</v>
      </c>
      <c r="J283" s="1">
        <f t="shared" ca="1" si="34"/>
        <v>9.0414351851851853E-3</v>
      </c>
      <c r="K283" s="1" t="b">
        <f t="shared" ca="1" si="35"/>
        <v>0</v>
      </c>
    </row>
    <row r="284" spans="1:11" x14ac:dyDescent="0.3">
      <c r="A284">
        <v>293</v>
      </c>
      <c r="B284" s="11">
        <v>9.0798611111111115E-3</v>
      </c>
      <c r="C284" s="11">
        <v>9.116435185185184E-3</v>
      </c>
      <c r="D284" t="str">
        <f ca="1">srt!C283</f>
        <v>因此在前面说到的生成矩阵也只需要计算向量B，</v>
      </c>
      <c r="E284" t="str">
        <f t="shared" ca="1" si="29"/>
        <v>，</v>
      </c>
      <c r="F284" t="b">
        <f t="shared" ca="1" si="30"/>
        <v>0</v>
      </c>
      <c r="G284">
        <f t="shared" ca="1" si="31"/>
        <v>89</v>
      </c>
      <c r="H284" t="str">
        <f t="shared" ca="1" si="32"/>
        <v/>
      </c>
      <c r="I284" t="str">
        <f t="shared" ca="1" si="33"/>
        <v>这是因为问题已经从BX等于Y转化为了PHX等于Y，因此在前面说到的生成矩阵也只需要计算向量B，</v>
      </c>
      <c r="J284" s="1">
        <f t="shared" ca="1" si="34"/>
        <v>9.0414351851851853E-3</v>
      </c>
      <c r="K284" s="1" t="b">
        <f t="shared" ca="1" si="35"/>
        <v>0</v>
      </c>
    </row>
    <row r="285" spans="1:11" x14ac:dyDescent="0.3">
      <c r="A285">
        <v>294</v>
      </c>
      <c r="B285" s="11">
        <v>9.1173611111111108E-3</v>
      </c>
      <c r="C285" s="11">
        <v>9.1391203703703704E-3</v>
      </c>
      <c r="D285" t="str">
        <f ca="1">srt!C284</f>
        <v>也就是矩阵B撇。</v>
      </c>
      <c r="E285" t="str">
        <f t="shared" ca="1" si="29"/>
        <v>。</v>
      </c>
      <c r="F285" t="b">
        <f t="shared" ca="1" si="30"/>
        <v>1</v>
      </c>
      <c r="G285">
        <f t="shared" ca="1" si="31"/>
        <v>89</v>
      </c>
      <c r="H285">
        <f t="shared" ca="1" si="32"/>
        <v>89</v>
      </c>
      <c r="I285" t="str">
        <f t="shared" ca="1" si="33"/>
        <v>这是因为问题已经从BX等于Y转化为了PHX等于Y，因此在前面说到的生成矩阵也只需要计算向量B，也就是矩阵B撇。</v>
      </c>
      <c r="J285" s="1">
        <f t="shared" ca="1" si="34"/>
        <v>9.0414351851851853E-3</v>
      </c>
      <c r="K285" s="1">
        <f t="shared" ca="1" si="35"/>
        <v>9.1391203703703704E-3</v>
      </c>
    </row>
    <row r="286" spans="1:11" x14ac:dyDescent="0.3">
      <c r="A286">
        <v>295</v>
      </c>
      <c r="B286" s="11">
        <v>9.1395833333333329E-3</v>
      </c>
      <c r="C286" s="11">
        <v>9.1659722222222229E-3</v>
      </c>
      <c r="D286" t="str">
        <f ca="1">srt!C285</f>
        <v>由于在不同N的情况下计算B的公式是一样的，</v>
      </c>
      <c r="E286" t="str">
        <f t="shared" ca="1" si="29"/>
        <v>，</v>
      </c>
      <c r="F286" t="b">
        <f t="shared" ca="1" si="30"/>
        <v>0</v>
      </c>
      <c r="G286">
        <f t="shared" ca="1" si="31"/>
        <v>90</v>
      </c>
      <c r="H286" t="str">
        <f t="shared" ca="1" si="32"/>
        <v/>
      </c>
      <c r="I286" t="str">
        <f t="shared" ca="1" si="33"/>
        <v>由于在不同N的情况下计算B的公式是一样的，</v>
      </c>
      <c r="J286" s="1">
        <f t="shared" ca="1" si="34"/>
        <v>9.1395833333333329E-3</v>
      </c>
      <c r="K286" s="1" t="b">
        <f t="shared" ca="1" si="35"/>
        <v>0</v>
      </c>
    </row>
    <row r="287" spans="1:11" x14ac:dyDescent="0.3">
      <c r="A287">
        <v>296</v>
      </c>
      <c r="B287" s="11">
        <v>9.166898148148148E-3</v>
      </c>
      <c r="C287" s="11">
        <v>9.1951388888888898E-3</v>
      </c>
      <c r="D287" t="str">
        <f ca="1">srt!C286</f>
        <v>我们可以把N减一情况下算出的B直接用于计算N的情况。</v>
      </c>
      <c r="E287" t="str">
        <f t="shared" ca="1" si="29"/>
        <v>。</v>
      </c>
      <c r="F287" t="b">
        <f t="shared" ca="1" si="30"/>
        <v>1</v>
      </c>
      <c r="G287">
        <f t="shared" ca="1" si="31"/>
        <v>90</v>
      </c>
      <c r="H287">
        <f t="shared" ca="1" si="32"/>
        <v>90</v>
      </c>
      <c r="I287" t="str">
        <f t="shared" ca="1" si="33"/>
        <v>由于在不同N的情况下计算B的公式是一样的，我们可以把N减一情况下算出的B直接用于计算N的情况。</v>
      </c>
      <c r="J287" s="1">
        <f t="shared" ca="1" si="34"/>
        <v>9.1395833333333329E-3</v>
      </c>
      <c r="K287" s="1">
        <f t="shared" ca="1" si="35"/>
        <v>9.1951388888888898E-3</v>
      </c>
    </row>
    <row r="288" spans="1:11" x14ac:dyDescent="0.3">
      <c r="A288">
        <v>297</v>
      </c>
      <c r="B288" s="11">
        <v>9.1951388888888898E-3</v>
      </c>
      <c r="C288" s="11">
        <v>9.2381944444444447E-3</v>
      </c>
      <c r="D288" t="str">
        <f ca="1">srt!C287</f>
        <v>这样如果我们是从N等于0开始计算的，</v>
      </c>
      <c r="E288" t="str">
        <f t="shared" ca="1" si="29"/>
        <v>，</v>
      </c>
      <c r="F288" t="b">
        <f t="shared" ca="1" si="30"/>
        <v>0</v>
      </c>
      <c r="G288">
        <f t="shared" ca="1" si="31"/>
        <v>91</v>
      </c>
      <c r="H288" t="str">
        <f t="shared" ca="1" si="32"/>
        <v/>
      </c>
      <c r="I288" t="str">
        <f t="shared" ca="1" si="33"/>
        <v>这样如果我们是从N等于0开始计算的，</v>
      </c>
      <c r="J288" s="1">
        <f t="shared" ca="1" si="34"/>
        <v>9.1951388888888898E-3</v>
      </c>
      <c r="K288" s="1" t="b">
        <f t="shared" ca="1" si="35"/>
        <v>0</v>
      </c>
    </row>
    <row r="289" spans="1:11" x14ac:dyDescent="0.3">
      <c r="A289">
        <v>298</v>
      </c>
      <c r="B289" s="11">
        <v>9.2391203703703698E-3</v>
      </c>
      <c r="C289" s="11">
        <v>9.2571759259259256E-3</v>
      </c>
      <c r="D289" t="str">
        <f ca="1">srt!C288</f>
        <v>我们只需要open的时间复杂度便可求出B。</v>
      </c>
      <c r="E289" t="str">
        <f t="shared" ca="1" si="29"/>
        <v>。</v>
      </c>
      <c r="F289" t="b">
        <f t="shared" ca="1" si="30"/>
        <v>1</v>
      </c>
      <c r="G289">
        <f t="shared" ca="1" si="31"/>
        <v>91</v>
      </c>
      <c r="H289">
        <f t="shared" ca="1" si="32"/>
        <v>91</v>
      </c>
      <c r="I289" t="str">
        <f t="shared" ca="1" si="33"/>
        <v>这样如果我们是从N等于0开始计算的，我们只需要open的时间复杂度便可求出B。</v>
      </c>
      <c r="J289" s="1">
        <f t="shared" ca="1" si="34"/>
        <v>9.1951388888888898E-3</v>
      </c>
      <c r="K289" s="1">
        <f t="shared" ca="1" si="35"/>
        <v>9.2571759259259256E-3</v>
      </c>
    </row>
    <row r="290" spans="1:11" x14ac:dyDescent="0.3">
      <c r="A290">
        <v>299</v>
      </c>
      <c r="B290" s="11">
        <v>9.258564814814815E-3</v>
      </c>
      <c r="C290" s="11">
        <v>9.2775462962962976E-3</v>
      </c>
      <c r="D290" t="str">
        <f ca="1">srt!C289</f>
        <v>同样计算K和F也是如此，</v>
      </c>
      <c r="E290" t="str">
        <f t="shared" ca="1" si="29"/>
        <v>，</v>
      </c>
      <c r="F290" t="b">
        <f t="shared" ca="1" si="30"/>
        <v>0</v>
      </c>
      <c r="G290">
        <f t="shared" ca="1" si="31"/>
        <v>92</v>
      </c>
      <c r="H290" t="str">
        <f t="shared" ca="1" si="32"/>
        <v/>
      </c>
      <c r="I290" t="str">
        <f t="shared" ca="1" si="33"/>
        <v>同样计算K和F也是如此，</v>
      </c>
      <c r="J290" s="1">
        <f t="shared" ca="1" si="34"/>
        <v>9.258564814814815E-3</v>
      </c>
      <c r="K290" s="1" t="b">
        <f t="shared" ca="1" si="35"/>
        <v>0</v>
      </c>
    </row>
    <row r="291" spans="1:11" x14ac:dyDescent="0.3">
      <c r="A291">
        <v>300</v>
      </c>
      <c r="B291" s="11">
        <v>9.2784722222222227E-3</v>
      </c>
      <c r="C291" s="11">
        <v>9.3011574074074073E-3</v>
      </c>
      <c r="D291" t="str">
        <f ca="1">srt!C290</f>
        <v>因为每行之间有递推公式，</v>
      </c>
      <c r="E291" t="str">
        <f t="shared" ca="1" si="29"/>
        <v>，</v>
      </c>
      <c r="F291" t="b">
        <f t="shared" ca="1" si="30"/>
        <v>0</v>
      </c>
      <c r="G291">
        <f t="shared" ca="1" si="31"/>
        <v>92</v>
      </c>
      <c r="H291" t="str">
        <f t="shared" ca="1" si="32"/>
        <v/>
      </c>
      <c r="I291" t="str">
        <f t="shared" ca="1" si="33"/>
        <v>同样计算K和F也是如此，因为每行之间有递推公式，</v>
      </c>
      <c r="J291" s="1">
        <f t="shared" ca="1" si="34"/>
        <v>9.258564814814815E-3</v>
      </c>
      <c r="K291" s="1" t="b">
        <f t="shared" ca="1" si="35"/>
        <v>0</v>
      </c>
    </row>
    <row r="292" spans="1:11" x14ac:dyDescent="0.3">
      <c r="A292">
        <v>301</v>
      </c>
      <c r="B292" s="11">
        <v>9.3016203703703698E-3</v>
      </c>
      <c r="C292" s="11">
        <v>9.3386574074074066E-3</v>
      </c>
      <c r="D292" t="str">
        <f ca="1">srt!C291</f>
        <v>如果从N等于0开始计算，</v>
      </c>
      <c r="E292" t="str">
        <f t="shared" ca="1" si="29"/>
        <v>，</v>
      </c>
      <c r="F292" t="b">
        <f t="shared" ca="1" si="30"/>
        <v>0</v>
      </c>
      <c r="G292">
        <f t="shared" ca="1" si="31"/>
        <v>92</v>
      </c>
      <c r="H292" t="str">
        <f t="shared" ca="1" si="32"/>
        <v/>
      </c>
      <c r="I292" t="str">
        <f t="shared" ca="1" si="33"/>
        <v>同样计算K和F也是如此，因为每行之间有递推公式，如果从N等于0开始计算，</v>
      </c>
      <c r="J292" s="1">
        <f t="shared" ca="1" si="34"/>
        <v>9.258564814814815E-3</v>
      </c>
      <c r="K292" s="1" t="b">
        <f t="shared" ca="1" si="35"/>
        <v>0</v>
      </c>
    </row>
    <row r="293" spans="1:11" x14ac:dyDescent="0.3">
      <c r="B293" s="11">
        <v>9.346064814814814E-3</v>
      </c>
      <c r="C293" s="11">
        <v>9.3581018518518501E-3</v>
      </c>
      <c r="D293" t="str">
        <f ca="1">srt!C292</f>
        <v>也可以在ON时间内求出。</v>
      </c>
      <c r="E293" t="str">
        <f t="shared" ca="1" si="29"/>
        <v>。</v>
      </c>
      <c r="F293" t="b">
        <f t="shared" ca="1" si="30"/>
        <v>1</v>
      </c>
      <c r="G293">
        <f t="shared" ca="1" si="31"/>
        <v>92</v>
      </c>
      <c r="H293">
        <f t="shared" ca="1" si="32"/>
        <v>92</v>
      </c>
      <c r="I293" t="str">
        <f t="shared" ca="1" si="33"/>
        <v>同样计算K和F也是如此，因为每行之间有递推公式，如果从N等于0开始计算，也可以在ON时间内求出。</v>
      </c>
      <c r="J293" s="1">
        <f t="shared" ca="1" si="34"/>
        <v>9.258564814814815E-3</v>
      </c>
      <c r="K293" s="1">
        <f t="shared" ca="1" si="35"/>
        <v>9.3581018518518501E-3</v>
      </c>
    </row>
    <row r="294" spans="1:11" x14ac:dyDescent="0.3">
      <c r="A294">
        <v>302</v>
      </c>
      <c r="B294" s="11">
        <v>9.3576388888888893E-3</v>
      </c>
      <c r="C294" s="11">
        <v>9.3826388888888883E-3</v>
      </c>
      <c r="D294" t="str">
        <f ca="1">srt!C293</f>
        <v>如果需要直接计算特定N，</v>
      </c>
      <c r="E294" t="str">
        <f t="shared" ca="1" si="29"/>
        <v>，</v>
      </c>
      <c r="F294" t="b">
        <f t="shared" ca="1" si="30"/>
        <v>0</v>
      </c>
      <c r="G294">
        <f t="shared" ca="1" si="31"/>
        <v>93</v>
      </c>
      <c r="H294" t="str">
        <f t="shared" ca="1" si="32"/>
        <v/>
      </c>
      <c r="I294" t="str">
        <f t="shared" ca="1" si="33"/>
        <v>如果需要直接计算特定N，</v>
      </c>
      <c r="J294" s="1">
        <f t="shared" ca="1" si="34"/>
        <v>9.3576388888888893E-3</v>
      </c>
      <c r="K294" s="1" t="b">
        <f t="shared" ca="1" si="35"/>
        <v>0</v>
      </c>
    </row>
    <row r="295" spans="1:11" x14ac:dyDescent="0.3">
      <c r="A295">
        <v>303</v>
      </c>
      <c r="B295" s="11">
        <v>9.3826388888888883E-3</v>
      </c>
      <c r="C295" s="11">
        <v>9.3969907407407405E-3</v>
      </c>
      <c r="D295" t="str">
        <f ca="1">srt!C294</f>
        <v>可以用其他方法优化到ON乘logN，</v>
      </c>
      <c r="E295" t="str">
        <f t="shared" ca="1" si="29"/>
        <v>，</v>
      </c>
      <c r="F295" t="b">
        <f t="shared" ca="1" si="30"/>
        <v>0</v>
      </c>
      <c r="G295">
        <f t="shared" ca="1" si="31"/>
        <v>93</v>
      </c>
      <c r="H295" t="str">
        <f t="shared" ca="1" si="32"/>
        <v/>
      </c>
      <c r="I295" t="str">
        <f t="shared" ca="1" si="33"/>
        <v>如果需要直接计算特定N，可以用其他方法优化到ON乘logN，</v>
      </c>
      <c r="J295" s="1">
        <f t="shared" ca="1" si="34"/>
        <v>9.3576388888888893E-3</v>
      </c>
      <c r="K295" s="1" t="b">
        <f t="shared" ca="1" si="35"/>
        <v>0</v>
      </c>
    </row>
    <row r="296" spans="1:11" x14ac:dyDescent="0.3">
      <c r="A296">
        <v>304</v>
      </c>
      <c r="B296" s="11">
        <v>9.3983796296296298E-3</v>
      </c>
      <c r="C296" s="11">
        <v>9.4437500000000008E-3</v>
      </c>
      <c r="D296" t="str">
        <f ca="1">srt!C295</f>
        <v>因为这里的算法不涉及这个优化，</v>
      </c>
      <c r="E296" t="str">
        <f t="shared" ca="1" si="29"/>
        <v>，</v>
      </c>
      <c r="F296" t="b">
        <f t="shared" ca="1" si="30"/>
        <v>0</v>
      </c>
      <c r="G296">
        <f t="shared" ca="1" si="31"/>
        <v>93</v>
      </c>
      <c r="H296" t="str">
        <f t="shared" ca="1" si="32"/>
        <v/>
      </c>
      <c r="I296" t="str">
        <f t="shared" ca="1" si="33"/>
        <v>如果需要直接计算特定N，可以用其他方法优化到ON乘logN，因为这里的算法不涉及这个优化，</v>
      </c>
      <c r="J296" s="1">
        <f t="shared" ca="1" si="34"/>
        <v>9.3576388888888893E-3</v>
      </c>
      <c r="K296" s="1" t="b">
        <f t="shared" ca="1" si="35"/>
        <v>0</v>
      </c>
    </row>
    <row r="297" spans="1:11" x14ac:dyDescent="0.3">
      <c r="A297">
        <v>305</v>
      </c>
      <c r="B297" s="11">
        <v>9.4446759259259258E-3</v>
      </c>
      <c r="C297" s="11">
        <v>9.4673611111111122E-3</v>
      </c>
      <c r="D297" t="str">
        <f ca="1">srt!C296</f>
        <v>因此就不展开了。</v>
      </c>
      <c r="E297" t="str">
        <f t="shared" ca="1" si="29"/>
        <v>。</v>
      </c>
      <c r="F297" t="b">
        <f t="shared" ca="1" si="30"/>
        <v>1</v>
      </c>
      <c r="G297">
        <f t="shared" ca="1" si="31"/>
        <v>93</v>
      </c>
      <c r="H297">
        <f t="shared" ca="1" si="32"/>
        <v>93</v>
      </c>
      <c r="I297" t="str">
        <f t="shared" ca="1" si="33"/>
        <v>如果需要直接计算特定N，可以用其他方法优化到ON乘logN，因为这里的算法不涉及这个优化，因此就不展开了。</v>
      </c>
      <c r="J297" s="1">
        <f t="shared" ca="1" si="34"/>
        <v>9.3576388888888893E-3</v>
      </c>
      <c r="K297" s="1">
        <f t="shared" ca="1" si="35"/>
        <v>9.4673611111111122E-3</v>
      </c>
    </row>
    <row r="298" spans="1:11" x14ac:dyDescent="0.3">
      <c r="A298">
        <v>306</v>
      </c>
      <c r="B298" s="11">
        <v>9.4687499999999997E-3</v>
      </c>
      <c r="C298" s="11">
        <v>9.4914351851851844E-3</v>
      </c>
      <c r="D298" t="str">
        <f ca="1">srt!C297</f>
        <v>为了求出P等于FB，</v>
      </c>
      <c r="E298" t="str">
        <f t="shared" ca="1" si="29"/>
        <v>，</v>
      </c>
      <c r="F298" t="b">
        <f t="shared" ca="1" si="30"/>
        <v>0</v>
      </c>
      <c r="G298">
        <f t="shared" ca="1" si="31"/>
        <v>94</v>
      </c>
      <c r="H298" t="str">
        <f t="shared" ca="1" si="32"/>
        <v/>
      </c>
      <c r="I298" t="str">
        <f t="shared" ca="1" si="33"/>
        <v>为了求出P等于FB，</v>
      </c>
      <c r="J298" s="1">
        <f t="shared" ca="1" si="34"/>
        <v>9.4687499999999997E-3</v>
      </c>
      <c r="K298" s="1" t="b">
        <f t="shared" ca="1" si="35"/>
        <v>0</v>
      </c>
    </row>
    <row r="299" spans="1:11" x14ac:dyDescent="0.3">
      <c r="A299">
        <v>307</v>
      </c>
      <c r="B299" s="11">
        <v>9.4914351851851844E-3</v>
      </c>
      <c r="C299" s="11">
        <v>9.5196759259259262E-3</v>
      </c>
      <c r="D299" t="str">
        <f ca="1">srt!C298</f>
        <v>我们需要将向量和矩阵相乘。</v>
      </c>
      <c r="E299" t="str">
        <f t="shared" ca="1" si="29"/>
        <v>。</v>
      </c>
      <c r="F299" t="b">
        <f t="shared" ca="1" si="30"/>
        <v>1</v>
      </c>
      <c r="G299">
        <f t="shared" ca="1" si="31"/>
        <v>94</v>
      </c>
      <c r="H299">
        <f t="shared" ca="1" si="32"/>
        <v>94</v>
      </c>
      <c r="I299" t="str">
        <f t="shared" ca="1" si="33"/>
        <v>为了求出P等于FB，我们需要将向量和矩阵相乘。</v>
      </c>
      <c r="J299" s="1">
        <f t="shared" ca="1" si="34"/>
        <v>9.4687499999999997E-3</v>
      </c>
      <c r="K299" s="1">
        <f t="shared" ca="1" si="35"/>
        <v>9.5196759259259262E-3</v>
      </c>
    </row>
    <row r="300" spans="1:11" x14ac:dyDescent="0.3">
      <c r="A300">
        <v>308</v>
      </c>
      <c r="B300" s="11">
        <v>9.5196759259259262E-3</v>
      </c>
      <c r="C300" s="11">
        <v>9.5349537037037035E-3</v>
      </c>
      <c r="D300" t="str">
        <f ca="1">srt!C299</f>
        <v>一般情况下，</v>
      </c>
      <c r="E300" t="str">
        <f t="shared" ca="1" si="29"/>
        <v>，</v>
      </c>
      <c r="F300" t="b">
        <f t="shared" ca="1" si="30"/>
        <v>0</v>
      </c>
      <c r="G300">
        <f t="shared" ca="1" si="31"/>
        <v>95</v>
      </c>
      <c r="H300" t="str">
        <f t="shared" ca="1" si="32"/>
        <v/>
      </c>
      <c r="I300" t="str">
        <f t="shared" ca="1" si="33"/>
        <v>一般情况下，</v>
      </c>
      <c r="J300" s="1">
        <f t="shared" ca="1" si="34"/>
        <v>9.5196759259259262E-3</v>
      </c>
      <c r="K300" s="1" t="b">
        <f t="shared" ca="1" si="35"/>
        <v>0</v>
      </c>
    </row>
    <row r="301" spans="1:11" x14ac:dyDescent="0.3">
      <c r="A301">
        <v>309</v>
      </c>
      <c r="B301" s="11">
        <v>9.535416666666666E-3</v>
      </c>
      <c r="C301" s="11">
        <v>9.5585648148148149E-3</v>
      </c>
      <c r="D301" t="str">
        <f ca="1">srt!C300</f>
        <v>其时间复杂度是ON的二次方，</v>
      </c>
      <c r="E301" t="str">
        <f t="shared" ca="1" si="29"/>
        <v>，</v>
      </c>
      <c r="F301" t="b">
        <f t="shared" ca="1" si="30"/>
        <v>0</v>
      </c>
      <c r="G301">
        <f t="shared" ca="1" si="31"/>
        <v>95</v>
      </c>
      <c r="H301" t="str">
        <f t="shared" ca="1" si="32"/>
        <v/>
      </c>
      <c r="I301" t="str">
        <f t="shared" ca="1" si="33"/>
        <v>一般情况下，其时间复杂度是ON的二次方，</v>
      </c>
      <c r="J301" s="1">
        <f t="shared" ca="1" si="34"/>
        <v>9.5196759259259262E-3</v>
      </c>
      <c r="K301" s="1" t="b">
        <f t="shared" ca="1" si="35"/>
        <v>0</v>
      </c>
    </row>
    <row r="302" spans="1:11" x14ac:dyDescent="0.3">
      <c r="A302">
        <v>310</v>
      </c>
      <c r="B302" s="11">
        <v>9.5585648148148149E-3</v>
      </c>
      <c r="C302" s="11">
        <v>9.5766203703703708E-3</v>
      </c>
      <c r="D302" t="str">
        <f ca="1">srt!C301</f>
        <v>因为矩阵F是有递推规律的，</v>
      </c>
      <c r="E302" t="str">
        <f t="shared" ca="1" si="29"/>
        <v>，</v>
      </c>
      <c r="F302" t="b">
        <f t="shared" ca="1" si="30"/>
        <v>0</v>
      </c>
      <c r="G302">
        <f t="shared" ca="1" si="31"/>
        <v>95</v>
      </c>
      <c r="H302" t="str">
        <f t="shared" ca="1" si="32"/>
        <v/>
      </c>
      <c r="I302" t="str">
        <f t="shared" ca="1" si="33"/>
        <v>一般情况下，其时间复杂度是ON的二次方，因为矩阵F是有递推规律的，</v>
      </c>
      <c r="J302" s="1">
        <f t="shared" ca="1" si="34"/>
        <v>9.5196759259259262E-3</v>
      </c>
      <c r="K302" s="1" t="b">
        <f t="shared" ca="1" si="35"/>
        <v>0</v>
      </c>
    </row>
    <row r="303" spans="1:11" x14ac:dyDescent="0.3">
      <c r="A303">
        <v>311</v>
      </c>
      <c r="B303" s="11">
        <v>9.5775462962962958E-3</v>
      </c>
      <c r="C303" s="11">
        <v>9.6141203703703701E-3</v>
      </c>
      <c r="D303" t="str">
        <f ca="1">srt!C302</f>
        <v>理论上使用FFT等算法可以把乘法优化到ON乘logN。</v>
      </c>
      <c r="E303" t="str">
        <f t="shared" ca="1" si="29"/>
        <v>。</v>
      </c>
      <c r="F303" t="b">
        <f t="shared" ca="1" si="30"/>
        <v>1</v>
      </c>
      <c r="G303">
        <f t="shared" ca="1" si="31"/>
        <v>95</v>
      </c>
      <c r="H303">
        <f t="shared" ca="1" si="32"/>
        <v>95</v>
      </c>
      <c r="I303" t="str">
        <f t="shared" ca="1" si="33"/>
        <v>一般情况下，其时间复杂度是ON的二次方，因为矩阵F是有递推规律的，理论上使用FFT等算法可以把乘法优化到ON乘logN。</v>
      </c>
      <c r="J303" s="1">
        <f t="shared" ca="1" si="34"/>
        <v>9.5196759259259262E-3</v>
      </c>
      <c r="K303" s="1">
        <f t="shared" ca="1" si="35"/>
        <v>9.6141203703703701E-3</v>
      </c>
    </row>
    <row r="304" spans="1:11" x14ac:dyDescent="0.3">
      <c r="A304">
        <v>312</v>
      </c>
      <c r="B304" s="11">
        <v>9.6155092592592594E-3</v>
      </c>
      <c r="C304" s="11">
        <v>9.6442129629629621E-3</v>
      </c>
      <c r="D304" t="str">
        <f ca="1">srt!C303</f>
        <v>另一方面，</v>
      </c>
      <c r="E304" t="str">
        <f t="shared" ca="1" si="29"/>
        <v>，</v>
      </c>
      <c r="F304" t="b">
        <f t="shared" ca="1" si="30"/>
        <v>0</v>
      </c>
      <c r="G304">
        <f t="shared" ca="1" si="31"/>
        <v>96</v>
      </c>
      <c r="H304" t="str">
        <f t="shared" ca="1" si="32"/>
        <v/>
      </c>
      <c r="I304" t="str">
        <f t="shared" ca="1" si="33"/>
        <v>另一方面，</v>
      </c>
      <c r="J304" s="1">
        <f t="shared" ca="1" si="34"/>
        <v>9.6155092592592594E-3</v>
      </c>
      <c r="K304" s="1" t="b">
        <f t="shared" ca="1" si="35"/>
        <v>0</v>
      </c>
    </row>
    <row r="305" spans="1:11" x14ac:dyDescent="0.3">
      <c r="A305">
        <v>313</v>
      </c>
      <c r="B305" s="11">
        <v>9.6460648148148139E-3</v>
      </c>
      <c r="C305" s="11">
        <v>9.7108796296296301E-3</v>
      </c>
      <c r="D305" t="str">
        <f ca="1">srt!C304</f>
        <v>这里在计算P的时候，</v>
      </c>
      <c r="E305" t="str">
        <f t="shared" ca="1" si="29"/>
        <v>，</v>
      </c>
      <c r="F305" t="b">
        <f t="shared" ca="1" si="30"/>
        <v>0</v>
      </c>
      <c r="G305">
        <f t="shared" ca="1" si="31"/>
        <v>96</v>
      </c>
      <c r="H305" t="str">
        <f t="shared" ca="1" si="32"/>
        <v/>
      </c>
      <c r="I305" t="str">
        <f t="shared" ca="1" si="33"/>
        <v>另一方面，这里在计算P的时候，</v>
      </c>
      <c r="J305" s="1">
        <f t="shared" ca="1" si="34"/>
        <v>9.6155092592592594E-3</v>
      </c>
      <c r="K305" s="1" t="b">
        <f t="shared" ca="1" si="35"/>
        <v>0</v>
      </c>
    </row>
    <row r="306" spans="1:11" x14ac:dyDescent="0.3">
      <c r="A306">
        <v>314</v>
      </c>
      <c r="B306" s="11">
        <v>9.7113425925925926E-3</v>
      </c>
      <c r="C306" s="11">
        <v>9.7280092592592592E-3</v>
      </c>
      <c r="D306" t="str">
        <f ca="1">srt!C305</f>
        <v>我们将B撇撇的对角线去除了，</v>
      </c>
      <c r="E306" t="str">
        <f t="shared" ca="1" si="29"/>
        <v>，</v>
      </c>
      <c r="F306" t="b">
        <f t="shared" ca="1" si="30"/>
        <v>0</v>
      </c>
      <c r="G306">
        <f t="shared" ca="1" si="31"/>
        <v>96</v>
      </c>
      <c r="H306" t="str">
        <f t="shared" ca="1" si="32"/>
        <v/>
      </c>
      <c r="I306" t="str">
        <f t="shared" ca="1" si="33"/>
        <v>另一方面，这里在计算P的时候，我们将B撇撇的对角线去除了，</v>
      </c>
      <c r="J306" s="1">
        <f t="shared" ca="1" si="34"/>
        <v>9.6155092592592594E-3</v>
      </c>
      <c r="K306" s="1" t="b">
        <f t="shared" ca="1" si="35"/>
        <v>0</v>
      </c>
    </row>
    <row r="307" spans="1:11" x14ac:dyDescent="0.3">
      <c r="A307">
        <v>315</v>
      </c>
      <c r="B307" s="11">
        <v>9.7280092592592592E-3</v>
      </c>
      <c r="C307" s="11">
        <v>9.7622685185185191E-3</v>
      </c>
      <c r="D307" t="str">
        <f ca="1">srt!C306</f>
        <v>即P等于B撇撇F。</v>
      </c>
      <c r="E307" t="str">
        <f t="shared" ca="1" si="29"/>
        <v>。</v>
      </c>
      <c r="F307" t="b">
        <f t="shared" ca="1" si="30"/>
        <v>1</v>
      </c>
      <c r="G307">
        <f t="shared" ca="1" si="31"/>
        <v>96</v>
      </c>
      <c r="H307">
        <f t="shared" ca="1" si="32"/>
        <v>96</v>
      </c>
      <c r="I307" t="str">
        <f t="shared" ca="1" si="33"/>
        <v>另一方面，这里在计算P的时候，我们将B撇撇的对角线去除了，即P等于B撇撇F。</v>
      </c>
      <c r="J307" s="1">
        <f t="shared" ca="1" si="34"/>
        <v>9.6155092592592594E-3</v>
      </c>
      <c r="K307" s="1">
        <f t="shared" ca="1" si="35"/>
        <v>9.7622685185185191E-3</v>
      </c>
    </row>
    <row r="308" spans="1:11" x14ac:dyDescent="0.3">
      <c r="A308">
        <v>316</v>
      </c>
      <c r="B308" s="11">
        <v>9.7631944444444441E-3</v>
      </c>
      <c r="C308" s="11">
        <v>9.7729166666666659E-3</v>
      </c>
      <c r="D308" t="str">
        <f ca="1">srt!C307</f>
        <v>假如我们保留B撇撇的对角线，</v>
      </c>
      <c r="E308" t="str">
        <f t="shared" ca="1" si="29"/>
        <v>，</v>
      </c>
      <c r="F308" t="b">
        <f t="shared" ca="1" si="30"/>
        <v>0</v>
      </c>
      <c r="G308">
        <f t="shared" ca="1" si="31"/>
        <v>97</v>
      </c>
      <c r="H308" t="str">
        <f t="shared" ca="1" si="32"/>
        <v/>
      </c>
      <c r="I308" t="str">
        <f t="shared" ca="1" si="33"/>
        <v>假如我们保留B撇撇的对角线，</v>
      </c>
      <c r="J308" s="1">
        <f t="shared" ca="1" si="34"/>
        <v>9.7631944444444441E-3</v>
      </c>
      <c r="K308" s="1" t="b">
        <f t="shared" ca="1" si="35"/>
        <v>0</v>
      </c>
    </row>
    <row r="309" spans="1:11" x14ac:dyDescent="0.3">
      <c r="A309">
        <v>317</v>
      </c>
      <c r="B309" s="11">
        <v>9.7729166666666659E-3</v>
      </c>
      <c r="C309" s="11">
        <v>9.8062500000000007E-3</v>
      </c>
      <c r="D309" t="str">
        <f ca="1">srt!C308</f>
        <v>则有C等于B撇F。</v>
      </c>
      <c r="E309" t="str">
        <f t="shared" ca="1" si="29"/>
        <v>。</v>
      </c>
      <c r="F309" t="b">
        <f t="shared" ca="1" si="30"/>
        <v>1</v>
      </c>
      <c r="G309">
        <f t="shared" ca="1" si="31"/>
        <v>97</v>
      </c>
      <c r="H309">
        <f t="shared" ca="1" si="32"/>
        <v>97</v>
      </c>
      <c r="I309" t="str">
        <f t="shared" ca="1" si="33"/>
        <v>假如我们保留B撇撇的对角线，则有C等于B撇F。</v>
      </c>
      <c r="J309" s="1">
        <f t="shared" ca="1" si="34"/>
        <v>9.7631944444444441E-3</v>
      </c>
      <c r="K309" s="1">
        <f t="shared" ca="1" si="35"/>
        <v>9.8062500000000007E-3</v>
      </c>
    </row>
    <row r="310" spans="1:11" x14ac:dyDescent="0.3">
      <c r="A310">
        <v>318</v>
      </c>
      <c r="B310" s="11">
        <v>9.8062500000000007E-3</v>
      </c>
      <c r="C310" s="11">
        <v>9.8293981481481479E-3</v>
      </c>
      <c r="D310" t="str">
        <f ca="1">srt!C309</f>
        <v>为了证明这一点，</v>
      </c>
      <c r="E310" t="str">
        <f t="shared" ca="1" si="29"/>
        <v>，</v>
      </c>
      <c r="F310" t="b">
        <f t="shared" ca="1" si="30"/>
        <v>0</v>
      </c>
      <c r="G310">
        <f t="shared" ca="1" si="31"/>
        <v>98</v>
      </c>
      <c r="H310" t="str">
        <f t="shared" ca="1" si="32"/>
        <v/>
      </c>
      <c r="I310" t="str">
        <f t="shared" ca="1" si="33"/>
        <v>为了证明这一点，</v>
      </c>
      <c r="J310" s="1">
        <f t="shared" ca="1" si="34"/>
        <v>9.8062500000000007E-3</v>
      </c>
      <c r="K310" s="1" t="b">
        <f t="shared" ca="1" si="35"/>
        <v>0</v>
      </c>
    </row>
    <row r="311" spans="1:11" x14ac:dyDescent="0.3">
      <c r="A311">
        <v>319</v>
      </c>
      <c r="B311" s="11">
        <v>9.8303240740740747E-3</v>
      </c>
      <c r="C311" s="11">
        <v>9.841435185185184E-3</v>
      </c>
      <c r="D311" t="str">
        <f ca="1">srt!C310</f>
        <v>我们假定B撇F等于C撇得出以上递推公式。</v>
      </c>
      <c r="E311" t="str">
        <f t="shared" ca="1" si="29"/>
        <v>。</v>
      </c>
      <c r="F311" t="b">
        <f t="shared" ca="1" si="30"/>
        <v>1</v>
      </c>
      <c r="G311">
        <f t="shared" ca="1" si="31"/>
        <v>98</v>
      </c>
      <c r="H311">
        <f t="shared" ca="1" si="32"/>
        <v>98</v>
      </c>
      <c r="I311" t="str">
        <f t="shared" ca="1" si="33"/>
        <v>为了证明这一点，我们假定B撇F等于C撇得出以上递推公式。</v>
      </c>
      <c r="J311" s="1">
        <f t="shared" ca="1" si="34"/>
        <v>9.8062500000000007E-3</v>
      </c>
      <c r="K311" s="1">
        <f t="shared" ca="1" si="35"/>
        <v>9.841435185185184E-3</v>
      </c>
    </row>
    <row r="312" spans="1:11" x14ac:dyDescent="0.3">
      <c r="A312">
        <v>320</v>
      </c>
      <c r="B312" s="11">
        <v>9.841435185185184E-3</v>
      </c>
      <c r="C312" s="11">
        <v>9.8868055555555567E-3</v>
      </c>
      <c r="D312" t="str">
        <f ca="1">srt!C311</f>
        <v>由于C撇的递推公式和C是相同的，</v>
      </c>
      <c r="E312" t="str">
        <f t="shared" ca="1" si="29"/>
        <v>，</v>
      </c>
      <c r="F312" t="b">
        <f t="shared" ca="1" si="30"/>
        <v>0</v>
      </c>
      <c r="G312">
        <f t="shared" ca="1" si="31"/>
        <v>99</v>
      </c>
      <c r="H312" t="str">
        <f t="shared" ca="1" si="32"/>
        <v/>
      </c>
      <c r="I312" t="str">
        <f t="shared" ca="1" si="33"/>
        <v>由于C撇的递推公式和C是相同的，</v>
      </c>
      <c r="J312" s="1">
        <f t="shared" ca="1" si="34"/>
        <v>9.841435185185184E-3</v>
      </c>
      <c r="K312" s="1" t="b">
        <f t="shared" ca="1" si="35"/>
        <v>0</v>
      </c>
    </row>
    <row r="313" spans="1:11" x14ac:dyDescent="0.3">
      <c r="A313">
        <v>321</v>
      </c>
      <c r="B313" s="11">
        <v>9.8895833333333336E-3</v>
      </c>
      <c r="C313" s="11">
        <v>9.9451388888888888E-3</v>
      </c>
      <c r="D313" t="str">
        <f ca="1">srt!C312</f>
        <v>因此这里的C撇就是C，</v>
      </c>
      <c r="E313" t="str">
        <f t="shared" ca="1" si="29"/>
        <v>，</v>
      </c>
      <c r="F313" t="b">
        <f t="shared" ca="1" si="30"/>
        <v>0</v>
      </c>
      <c r="G313">
        <f t="shared" ca="1" si="31"/>
        <v>99</v>
      </c>
      <c r="H313" t="str">
        <f t="shared" ca="1" si="32"/>
        <v/>
      </c>
      <c r="I313" t="str">
        <f t="shared" ca="1" si="33"/>
        <v>由于C撇的递推公式和C是相同的，因此这里的C撇就是C，</v>
      </c>
      <c r="J313" s="1">
        <f t="shared" ca="1" si="34"/>
        <v>9.841435185185184E-3</v>
      </c>
      <c r="K313" s="1" t="b">
        <f t="shared" ca="1" si="35"/>
        <v>0</v>
      </c>
    </row>
    <row r="314" spans="1:11" x14ac:dyDescent="0.3">
      <c r="A314">
        <v>322</v>
      </c>
      <c r="B314" s="11">
        <v>9.9469907407407406E-3</v>
      </c>
      <c r="C314" s="11">
        <v>9.954398148148148E-3</v>
      </c>
      <c r="D314" t="str">
        <f ca="1">srt!C313</f>
        <v>即C撇等于C等于B撇F。</v>
      </c>
      <c r="E314" t="str">
        <f t="shared" ca="1" si="29"/>
        <v>。</v>
      </c>
      <c r="F314" t="b">
        <f t="shared" ca="1" si="30"/>
        <v>1</v>
      </c>
      <c r="G314">
        <f t="shared" ca="1" si="31"/>
        <v>99</v>
      </c>
      <c r="H314">
        <f t="shared" ca="1" si="32"/>
        <v>99</v>
      </c>
      <c r="I314" t="str">
        <f t="shared" ca="1" si="33"/>
        <v>由于C撇的递推公式和C是相同的，因此这里的C撇就是C，即C撇等于C等于B撇F。</v>
      </c>
      <c r="J314" s="1">
        <f t="shared" ca="1" si="34"/>
        <v>9.841435185185184E-3</v>
      </c>
      <c r="K314" s="1">
        <f t="shared" ca="1" si="35"/>
        <v>9.954398148148148E-3</v>
      </c>
    </row>
    <row r="315" spans="1:11" x14ac:dyDescent="0.3">
      <c r="A315">
        <v>323</v>
      </c>
      <c r="B315" s="11">
        <v>9.954398148148148E-3</v>
      </c>
      <c r="C315" s="11">
        <v>9.9673611111111109E-3</v>
      </c>
      <c r="D315" t="str">
        <f ca="1">srt!C314</f>
        <v>由于C等于B撇F，</v>
      </c>
      <c r="E315" t="str">
        <f t="shared" ca="1" si="29"/>
        <v>，</v>
      </c>
      <c r="F315" t="b">
        <f t="shared" ca="1" si="30"/>
        <v>0</v>
      </c>
      <c r="G315">
        <f t="shared" ca="1" si="31"/>
        <v>100</v>
      </c>
      <c r="H315" t="str">
        <f t="shared" ca="1" si="32"/>
        <v/>
      </c>
      <c r="I315" t="str">
        <f t="shared" ca="1" si="33"/>
        <v>由于C等于B撇F，</v>
      </c>
      <c r="J315" s="1">
        <f t="shared" ca="1" si="34"/>
        <v>9.954398148148148E-3</v>
      </c>
      <c r="K315" s="1" t="b">
        <f t="shared" ca="1" si="35"/>
        <v>0</v>
      </c>
    </row>
    <row r="316" spans="1:11" x14ac:dyDescent="0.3">
      <c r="A316">
        <v>324</v>
      </c>
      <c r="B316" s="11">
        <v>9.9682870370370377E-3</v>
      </c>
      <c r="C316" s="11">
        <v>9.9942129629629634E-3</v>
      </c>
      <c r="D316" t="str">
        <f ca="1">srt!C315</f>
        <v>我们可以推得P等于C加F。</v>
      </c>
      <c r="E316" t="str">
        <f t="shared" ca="1" si="29"/>
        <v>。</v>
      </c>
      <c r="F316" t="b">
        <f t="shared" ca="1" si="30"/>
        <v>1</v>
      </c>
      <c r="G316">
        <f t="shared" ca="1" si="31"/>
        <v>100</v>
      </c>
      <c r="H316">
        <f t="shared" ca="1" si="32"/>
        <v>100</v>
      </c>
      <c r="I316" t="str">
        <f t="shared" ca="1" si="33"/>
        <v>由于C等于B撇F，我们可以推得P等于C加F。</v>
      </c>
      <c r="J316" s="1">
        <f t="shared" ca="1" si="34"/>
        <v>9.954398148148148E-3</v>
      </c>
      <c r="K316" s="1">
        <f t="shared" ca="1" si="35"/>
        <v>9.9942129629629634E-3</v>
      </c>
    </row>
    <row r="317" spans="1:11" x14ac:dyDescent="0.3">
      <c r="A317">
        <v>325</v>
      </c>
      <c r="B317" s="11">
        <v>9.9946759259259259E-3</v>
      </c>
      <c r="C317" s="11">
        <v>1.0015972222222223E-2</v>
      </c>
      <c r="D317" t="str">
        <f ca="1">srt!C316</f>
        <v>因此，</v>
      </c>
      <c r="E317" t="str">
        <f t="shared" ca="1" si="29"/>
        <v>，</v>
      </c>
      <c r="F317" t="b">
        <f t="shared" ca="1" si="30"/>
        <v>0</v>
      </c>
      <c r="G317">
        <f t="shared" ca="1" si="31"/>
        <v>101</v>
      </c>
      <c r="H317" t="str">
        <f t="shared" ca="1" si="32"/>
        <v/>
      </c>
      <c r="I317" t="str">
        <f t="shared" ca="1" si="33"/>
        <v>因此，</v>
      </c>
      <c r="J317" s="1">
        <f t="shared" ca="1" si="34"/>
        <v>9.9946759259259259E-3</v>
      </c>
      <c r="K317" s="1" t="b">
        <f t="shared" ca="1" si="35"/>
        <v>0</v>
      </c>
    </row>
    <row r="318" spans="1:11" x14ac:dyDescent="0.3">
      <c r="A318">
        <v>326</v>
      </c>
      <c r="B318" s="11">
        <v>1.0016898148148148E-2</v>
      </c>
      <c r="C318" s="11">
        <v>1.0024768518518518E-2</v>
      </c>
      <c r="D318" t="str">
        <f ca="1">srt!C317</f>
        <v>我们可以计算出C和F叠加后直接求得P，</v>
      </c>
      <c r="E318" t="str">
        <f t="shared" ca="1" si="29"/>
        <v>，</v>
      </c>
      <c r="F318" t="b">
        <f t="shared" ca="1" si="30"/>
        <v>0</v>
      </c>
      <c r="G318">
        <f t="shared" ca="1" si="31"/>
        <v>101</v>
      </c>
      <c r="H318" t="str">
        <f t="shared" ca="1" si="32"/>
        <v/>
      </c>
      <c r="I318" t="str">
        <f t="shared" ca="1" si="33"/>
        <v>因此，我们可以计算出C和F叠加后直接求得P，</v>
      </c>
      <c r="J318" s="1">
        <f t="shared" ca="1" si="34"/>
        <v>9.9946759259259259E-3</v>
      </c>
      <c r="K318" s="1" t="b">
        <f t="shared" ca="1" si="35"/>
        <v>0</v>
      </c>
    </row>
    <row r="319" spans="1:11" x14ac:dyDescent="0.3">
      <c r="A319">
        <v>327</v>
      </c>
      <c r="B319" s="11">
        <v>1.0024768518518518E-2</v>
      </c>
      <c r="C319" s="11">
        <v>1.0055324074074074E-2</v>
      </c>
      <c r="D319" t="str">
        <f ca="1">srt!C318</f>
        <v>无需使用矩阵乘法。</v>
      </c>
      <c r="E319" t="str">
        <f t="shared" ca="1" si="29"/>
        <v>。</v>
      </c>
      <c r="F319" t="b">
        <f t="shared" ca="1" si="30"/>
        <v>1</v>
      </c>
      <c r="G319">
        <f t="shared" ca="1" si="31"/>
        <v>101</v>
      </c>
      <c r="H319">
        <f t="shared" ca="1" si="32"/>
        <v>101</v>
      </c>
      <c r="I319" t="str">
        <f t="shared" ca="1" si="33"/>
        <v>因此，我们可以计算出C和F叠加后直接求得P，无需使用矩阵乘法。</v>
      </c>
      <c r="J319" s="1">
        <f t="shared" ca="1" si="34"/>
        <v>9.9946759259259259E-3</v>
      </c>
      <c r="K319" s="1">
        <f t="shared" ca="1" si="35"/>
        <v>1.0055324074074074E-2</v>
      </c>
    </row>
    <row r="320" spans="1:11" x14ac:dyDescent="0.3">
      <c r="A320">
        <v>328</v>
      </c>
      <c r="B320" s="11">
        <v>1.0056712962962963E-2</v>
      </c>
      <c r="C320" s="11">
        <v>1.0064120370370369E-2</v>
      </c>
      <c r="D320" t="str">
        <f ca="1">srt!C319</f>
        <v>同时，</v>
      </c>
      <c r="E320" t="str">
        <f t="shared" ca="1" si="29"/>
        <v>，</v>
      </c>
      <c r="F320" t="b">
        <f t="shared" ca="1" si="30"/>
        <v>0</v>
      </c>
      <c r="G320">
        <f t="shared" ca="1" si="31"/>
        <v>102</v>
      </c>
      <c r="H320" t="str">
        <f t="shared" ca="1" si="32"/>
        <v/>
      </c>
      <c r="I320" t="str">
        <f t="shared" ca="1" si="33"/>
        <v>同时，</v>
      </c>
      <c r="J320" s="1">
        <f t="shared" ca="1" si="34"/>
        <v>1.0056712962962963E-2</v>
      </c>
      <c r="K320" s="1" t="b">
        <f t="shared" ca="1" si="35"/>
        <v>0</v>
      </c>
    </row>
    <row r="321" spans="1:11" x14ac:dyDescent="0.3">
      <c r="A321">
        <v>329</v>
      </c>
      <c r="B321" s="11">
        <v>1.0064120370370369E-2</v>
      </c>
      <c r="C321" s="11">
        <v>1.0093287037037036E-2</v>
      </c>
      <c r="D321" t="str">
        <f ca="1">srt!C320</f>
        <v>由于P等于C加F。</v>
      </c>
      <c r="E321" t="str">
        <f t="shared" ca="1" si="29"/>
        <v>。</v>
      </c>
      <c r="F321" t="b">
        <f t="shared" ca="1" si="30"/>
        <v>1</v>
      </c>
      <c r="G321">
        <f t="shared" ca="1" si="31"/>
        <v>102</v>
      </c>
      <c r="H321">
        <f t="shared" ca="1" si="32"/>
        <v>102</v>
      </c>
      <c r="I321" t="str">
        <f t="shared" ca="1" si="33"/>
        <v>同时，由于P等于C加F。</v>
      </c>
      <c r="J321" s="1">
        <f t="shared" ca="1" si="34"/>
        <v>1.0056712962962963E-2</v>
      </c>
      <c r="K321" s="1">
        <f t="shared" ca="1" si="35"/>
        <v>1.0093287037037036E-2</v>
      </c>
    </row>
    <row r="322" spans="1:11" x14ac:dyDescent="0.3">
      <c r="A322">
        <v>330</v>
      </c>
      <c r="B322" s="11">
        <v>1.0094675925925925E-2</v>
      </c>
      <c r="C322" s="11">
        <v>1.0114120370370371E-2</v>
      </c>
      <c r="D322" t="str">
        <f ca="1">srt!C321</f>
        <v>P也可以写成这个递推公式，</v>
      </c>
      <c r="E322" t="str">
        <f t="shared" ca="1" si="29"/>
        <v>，</v>
      </c>
      <c r="F322" t="b">
        <f t="shared" ca="1" si="30"/>
        <v>0</v>
      </c>
      <c r="G322">
        <f t="shared" ca="1" si="31"/>
        <v>103</v>
      </c>
      <c r="H322" t="str">
        <f t="shared" ca="1" si="32"/>
        <v/>
      </c>
      <c r="I322" t="str">
        <f t="shared" ca="1" si="33"/>
        <v>P也可以写成这个递推公式，</v>
      </c>
      <c r="J322" s="1">
        <f t="shared" ca="1" si="34"/>
        <v>1.0094675925925925E-2</v>
      </c>
      <c r="K322" s="1" t="b">
        <f t="shared" ca="1" si="35"/>
        <v>0</v>
      </c>
    </row>
    <row r="323" spans="1:11" x14ac:dyDescent="0.3">
      <c r="A323">
        <v>331</v>
      </c>
      <c r="B323" s="11">
        <v>1.0114583333333333E-2</v>
      </c>
      <c r="C323" s="11">
        <v>1.0150231481481482E-2</v>
      </c>
      <c r="D323" t="str">
        <f ca="1">srt!C322</f>
        <v>从而无需BC或F直接在ON的时间内由P的递推公式推得。</v>
      </c>
      <c r="E323" t="str">
        <f t="shared" ca="1" si="29"/>
        <v>。</v>
      </c>
      <c r="F323" t="b">
        <f t="shared" ca="1" si="30"/>
        <v>1</v>
      </c>
      <c r="G323">
        <f t="shared" ca="1" si="31"/>
        <v>103</v>
      </c>
      <c r="H323">
        <f t="shared" ca="1" si="32"/>
        <v>103</v>
      </c>
      <c r="I323" t="str">
        <f t="shared" ca="1" si="33"/>
        <v>P也可以写成这个递推公式，从而无需BC或F直接在ON的时间内由P的递推公式推得。</v>
      </c>
      <c r="J323" s="1">
        <f t="shared" ca="1" si="34"/>
        <v>1.0094675925925925E-2</v>
      </c>
      <c r="K323" s="1">
        <f t="shared" ca="1" si="35"/>
        <v>1.0150231481481482E-2</v>
      </c>
    </row>
    <row r="324" spans="1:11" x14ac:dyDescent="0.3">
      <c r="A324">
        <v>332</v>
      </c>
      <c r="B324" s="11">
        <v>1.0151157407407407E-2</v>
      </c>
      <c r="C324" s="11">
        <v>1.017199074074074E-2</v>
      </c>
      <c r="D324" t="str">
        <f ca="1">srt!C323</f>
        <v>由于这个证明较长，</v>
      </c>
      <c r="E324" t="str">
        <f ca="1">RIGHT(D324,1)</f>
        <v>，</v>
      </c>
      <c r="F324" t="b">
        <f ca="1">OR(E324="。",E324="？", E324="！")</f>
        <v>0</v>
      </c>
      <c r="G324">
        <f ca="1">F323+G323</f>
        <v>104</v>
      </c>
      <c r="H324" t="str">
        <f ca="1">IF(F324,G324,"")</f>
        <v/>
      </c>
      <c r="I324" t="str">
        <f ca="1">IF(F323,D324,I323&amp;D324)</f>
        <v>由于这个证明较长，</v>
      </c>
      <c r="J324" s="1">
        <f ca="1">IF(F323,B324,J323)</f>
        <v>1.0151157407407407E-2</v>
      </c>
      <c r="K324" s="1" t="b">
        <f ca="1">IF(F324,C324)</f>
        <v>0</v>
      </c>
    </row>
    <row r="325" spans="1:11" x14ac:dyDescent="0.3">
      <c r="A325">
        <v>333</v>
      </c>
      <c r="B325" s="11">
        <v>1.0172453703703703E-2</v>
      </c>
      <c r="C325" s="11">
        <v>1.022800925925926E-2</v>
      </c>
      <c r="D325" t="str">
        <f ca="1">srt!C324</f>
        <v>因此这里就不展示出来了。</v>
      </c>
      <c r="E325" t="str">
        <f ca="1">RIGHT(D325,1)</f>
        <v>。</v>
      </c>
      <c r="F325" t="b">
        <f ca="1">OR(E325="。",E325="？", E325="！")</f>
        <v>1</v>
      </c>
      <c r="G325">
        <f ca="1">F324+G324</f>
        <v>104</v>
      </c>
      <c r="H325">
        <f ca="1">IF(F325,G325,"")</f>
        <v>104</v>
      </c>
      <c r="I325" t="str">
        <f ca="1">IF(F324,D325,I324&amp;D325)</f>
        <v>由于这个证明较长，因此这里就不展示出来了。</v>
      </c>
      <c r="J325" s="1">
        <f ca="1">IF(F324,B325,J324)</f>
        <v>1.0151157407407407E-2</v>
      </c>
      <c r="K325" s="1">
        <f ca="1">IF(F325,C325)</f>
        <v>1.022800925925926E-2</v>
      </c>
    </row>
    <row r="326" spans="1:11" x14ac:dyDescent="0.3">
      <c r="D326" t="str">
        <f ca="1">srt!C325</f>
        <v>有兴趣的小伙伴可以从C和F的递推公式自行证明。</v>
      </c>
    </row>
    <row r="327" spans="1:11" x14ac:dyDescent="0.3">
      <c r="D327" t="str">
        <f ca="1">srt!C326</f>
        <v>现在我们已用多种方法求得了P，</v>
      </c>
    </row>
    <row r="328" spans="1:11" x14ac:dyDescent="0.3">
      <c r="D328" t="str">
        <f ca="1">srt!C327</f>
        <v>并将原始问题转化为了PHX等于Y，</v>
      </c>
    </row>
    <row r="329" spans="1:11" x14ac:dyDescent="0.3">
      <c r="D329" t="str">
        <f ca="1">srt!C328</f>
        <v>可这又有什么用呢？</v>
      </c>
    </row>
    <row r="330" spans="1:11" x14ac:dyDescent="0.3">
      <c r="D330" t="str">
        <f ca="1">srt!C329</f>
        <v>试想一下，</v>
      </c>
    </row>
    <row r="331" spans="1:11" x14ac:dyDescent="0.3">
      <c r="D331" t="str">
        <f ca="1">srt!C330</f>
        <v>如果有一个多项式QX满足QXPX等于1modFX，</v>
      </c>
    </row>
    <row r="332" spans="1:11" x14ac:dyDescent="0.3">
      <c r="D332" t="str">
        <f ca="1">srt!C331</f>
        <v>这里的FX就是前面提到的多项式FNX，</v>
      </c>
    </row>
    <row r="333" spans="1:11" x14ac:dyDescent="0.3">
      <c r="D333" t="str">
        <f ca="1">srt!C332</f>
        <v>那么将式子两边同时乘以QH便有X等于QHY，</v>
      </c>
    </row>
    <row r="334" spans="1:11" x14ac:dyDescent="0.3">
      <c r="D334" t="str">
        <f ca="1">srt!C333</f>
        <v>这样我们就能立即求出X。</v>
      </c>
    </row>
    <row r="335" spans="1:11" x14ac:dyDescent="0.3">
      <c r="D335" t="str">
        <f ca="1">srt!C334</f>
        <v>我们把这样的多项式QX称之为PX的逆多项式，</v>
      </c>
    </row>
    <row r="336" spans="1:11" x14ac:dyDescent="0.3">
      <c r="D336" t="str">
        <f ca="1">srt!C335</f>
        <v>那么如何求出逆多项式QX呢？</v>
      </c>
    </row>
    <row r="337" spans="4:4" x14ac:dyDescent="0.3">
      <c r="D337" t="str">
        <f ca="1">srt!C336</f>
        <v>我们可以使用扩展欧几里德算法，</v>
      </c>
    </row>
    <row r="338" spans="4:4" x14ac:dyDescent="0.3">
      <c r="D338" t="str">
        <f ca="1">srt!C337</f>
        <v>通过FX和PX来求取QX。</v>
      </c>
    </row>
    <row r="339" spans="4:4" x14ac:dyDescent="0.3">
      <c r="D339" t="str">
        <f ca="1">srt!C338</f>
        <v>这里我们同时定义一个零多项式OX和单位多项式EX，</v>
      </c>
    </row>
    <row r="340" spans="4:4" x14ac:dyDescent="0.3">
      <c r="D340" t="str">
        <f ca="1">srt!C339</f>
        <v>在对FX和PX操作的同时，</v>
      </c>
    </row>
    <row r="341" spans="4:4" x14ac:dyDescent="0.3">
      <c r="D341" t="str">
        <f ca="1">srt!C340</f>
        <v>对OX和EX做相同的操作。</v>
      </c>
    </row>
    <row r="342" spans="4:4" x14ac:dyDescent="0.3">
      <c r="D342" t="str">
        <f ca="1">srt!C341</f>
        <v>类似矩阵求逆，</v>
      </c>
    </row>
    <row r="343" spans="4:4" x14ac:dyDescent="0.3">
      <c r="D343" t="str">
        <f ca="1">srt!C342</f>
        <v>我们的目标是将FX变为零多项式PX变为单位多项式。</v>
      </c>
    </row>
    <row r="344" spans="4:4" x14ac:dyDescent="0.3">
      <c r="D344" t="str">
        <f ca="1">srt!C343</f>
        <v>我们使用辗转相减法，</v>
      </c>
    </row>
    <row r="345" spans="4:4" x14ac:dyDescent="0.3">
      <c r="D345" t="str">
        <f ca="1">srt!C344</f>
        <v>将PX右移使其最高次项和FX对齐，</v>
      </c>
    </row>
    <row r="346" spans="4:4" x14ac:dyDescent="0.3">
      <c r="D346" t="str">
        <f ca="1">srt!C345</f>
        <v>然后叠加到FX上，</v>
      </c>
    </row>
    <row r="347" spans="4:4" x14ac:dyDescent="0.3">
      <c r="D347" t="str">
        <f ca="1">srt!C346</f>
        <v>从而消去FX的最高次项。</v>
      </c>
    </row>
    <row r="348" spans="4:4" x14ac:dyDescent="0.3">
      <c r="D348" t="str">
        <f ca="1">srt!C347</f>
        <v>叠加后，</v>
      </c>
    </row>
    <row r="349" spans="4:4" x14ac:dyDescent="0.3">
      <c r="D349" t="str">
        <f ca="1">srt!C348</f>
        <v>如果FX的最高次数仍旧大于等于PX，</v>
      </c>
    </row>
    <row r="350" spans="4:4" x14ac:dyDescent="0.3">
      <c r="D350" t="str">
        <f ca="1">srt!C349</f>
        <v>则继续右移PX并叠加到FX上。</v>
      </c>
    </row>
    <row r="351" spans="4:4" x14ac:dyDescent="0.3">
      <c r="D351" t="str">
        <f ca="1">srt!C350</f>
        <v>否则，</v>
      </c>
    </row>
    <row r="352" spans="4:4" x14ac:dyDescent="0.3">
      <c r="D352" t="str">
        <f ca="1">srt!C351</f>
        <v>当FX的最高次数小于PX时，</v>
      </c>
    </row>
    <row r="353" spans="4:4" x14ac:dyDescent="0.3">
      <c r="D353" t="str">
        <f ca="1">srt!C352</f>
        <v>将PX和FX互换。</v>
      </c>
    </row>
    <row r="354" spans="4:4" x14ac:dyDescent="0.3">
      <c r="D354" t="str">
        <f ca="1">srt!C353</f>
        <v>使得FX的最高次数始终大于或等于PX，</v>
      </c>
    </row>
    <row r="355" spans="4:4" x14ac:dyDescent="0.3">
      <c r="D355" t="str">
        <f ca="1">srt!C354</f>
        <v>让叠加操作可以继续下去。</v>
      </c>
    </row>
    <row r="356" spans="4:4" x14ac:dyDescent="0.3">
      <c r="D356" t="str">
        <f ca="1">srt!C355</f>
        <v>重复这样的操作，</v>
      </c>
    </row>
    <row r="357" spans="4:4" x14ac:dyDescent="0.3">
      <c r="D357" t="str">
        <f ca="1">srt!C356</f>
        <v>直到FX最终被叠加为零。</v>
      </c>
    </row>
    <row r="358" spans="4:4" x14ac:dyDescent="0.3">
      <c r="D358" t="str">
        <f ca="1">srt!C357</f>
        <v>最后剩下的PX为两个多项式的最大公因子，</v>
      </c>
    </row>
    <row r="359" spans="4:4" x14ac:dyDescent="0.3">
      <c r="D359" t="str">
        <f ca="1">srt!C358</f>
        <v>即为GX。</v>
      </c>
    </row>
    <row r="360" spans="4:4" x14ac:dyDescent="0.3">
      <c r="D360" t="str">
        <f ca="1">srt!C359</f>
        <v>同时剩下的EX为PX的逆，</v>
      </c>
    </row>
    <row r="361" spans="4:4" x14ac:dyDescent="0.3">
      <c r="D361" t="str">
        <f ca="1">srt!C360</f>
        <v>也就是QX。</v>
      </c>
    </row>
    <row r="362" spans="4:4" x14ac:dyDescent="0.3">
      <c r="D362" t="str">
        <f ca="1">srt!C361</f>
        <v>我们将QX写成矩阵Q。</v>
      </c>
    </row>
    <row r="363" spans="4:4" x14ac:dyDescent="0.3">
      <c r="D363" t="str">
        <f ca="1">srt!C362</f>
        <v>注意这里的矩阵Q不是前面的完整逆矩阵Q撇，</v>
      </c>
    </row>
    <row r="364" spans="4:4" x14ac:dyDescent="0.3">
      <c r="D364" t="str">
        <f ca="1">srt!C363</f>
        <v>而是把把多个QX拼接起来的结果。</v>
      </c>
    </row>
    <row r="365" spans="4:4" x14ac:dyDescent="0.3">
      <c r="D365" t="str">
        <f ca="1">srt!C364</f>
        <v>现在我们已求得QX，</v>
      </c>
    </row>
    <row r="366" spans="4:4" x14ac:dyDescent="0.3">
      <c r="D366" t="str">
        <f ca="1">srt!C365</f>
        <v>接着我们可以根据QHY的定义，</v>
      </c>
    </row>
    <row r="367" spans="4:4" x14ac:dyDescent="0.3">
      <c r="D367" t="str">
        <f ca="1">srt!C366</f>
        <v>用这个式子来求X。</v>
      </c>
    </row>
    <row r="368" spans="4:4" x14ac:dyDescent="0.3">
      <c r="D368" t="str">
        <f ca="1">srt!C367</f>
        <v>这里我们将Y不断乘以矩阵H进行左右扩散，</v>
      </c>
    </row>
    <row r="369" spans="4:4" x14ac:dyDescent="0.3">
      <c r="D369" t="str">
        <f ca="1">srt!C368</f>
        <v>再根据QX的值进行叠加，</v>
      </c>
    </row>
    <row r="370" spans="4:4" x14ac:dyDescent="0.3">
      <c r="D370" t="str">
        <f ca="1">srt!C369</f>
        <v>从而得到X。</v>
      </c>
    </row>
    <row r="371" spans="4:4" x14ac:dyDescent="0.3">
      <c r="D371" t="str">
        <f ca="1">srt!C370</f>
        <v>另一方面，</v>
      </c>
    </row>
    <row r="372" spans="4:4" x14ac:dyDescent="0.3">
      <c r="D372" t="str">
        <f ca="1">srt!C371</f>
        <v>由于QH就是B的逆矩阵Q撇，</v>
      </c>
    </row>
    <row r="373" spans="4:4" x14ac:dyDescent="0.3">
      <c r="D373" t="str">
        <f ca="1">srt!C372</f>
        <v>并且可以证明Q撇也满足十字偶校验约束，</v>
      </c>
    </row>
    <row r="374" spans="4:4" x14ac:dyDescent="0.3">
      <c r="D374" t="str">
        <f ca="1">srt!C373</f>
        <v>因此我们也可以通过KQ求出逆矩阵Q撇的第一行，</v>
      </c>
    </row>
    <row r="375" spans="4:4" x14ac:dyDescent="0.3">
      <c r="D375" t="str">
        <f ca="1">srt!C374</f>
        <v>再通过递推公式求得完整的Q撇，</v>
      </c>
    </row>
    <row r="376" spans="4:4" x14ac:dyDescent="0.3">
      <c r="D376" t="str">
        <f ca="1">srt!C375</f>
        <v>最后再和Y相乘求得X，</v>
      </c>
    </row>
    <row r="377" spans="4:4" x14ac:dyDescent="0.3">
      <c r="D377" t="str">
        <f ca="1">srt!C376</f>
        <v>两种方法求得的X是相同的，</v>
      </c>
    </row>
    <row r="378" spans="4:4" x14ac:dyDescent="0.3">
      <c r="D378" t="str">
        <f ca="1">srt!C377</f>
        <v>有兴趣的小伙伴可以自行证明，</v>
      </c>
    </row>
    <row r="379" spans="4:4" x14ac:dyDescent="0.3">
      <c r="D379" t="str">
        <f ca="1">srt!C378</f>
        <v>不过整个求解的过程中有一个问题。</v>
      </c>
    </row>
    <row r="380" spans="4:4" x14ac:dyDescent="0.3">
      <c r="D380" t="str">
        <f ca="1">srt!C379</f>
        <v>那就是我们假设满足等于的多项式存在，</v>
      </c>
    </row>
    <row r="381" spans="4:4" x14ac:dyDescent="0.3">
      <c r="D381" t="str">
        <f ca="1">srt!C380</f>
        <v>如果这样的多项式不存在，</v>
      </c>
    </row>
    <row r="382" spans="4:4" x14ac:dyDescent="0.3">
      <c r="D382" t="str">
        <f ca="1">srt!C381</f>
        <v>我们又当如何呢？</v>
      </c>
    </row>
    <row r="383" spans="4:4" x14ac:dyDescent="0.3">
      <c r="D383" t="str">
        <f ca="1">srt!C382</f>
        <v>在上集视频解的数量章节中，</v>
      </c>
    </row>
    <row r="384" spans="4:4" x14ac:dyDescent="0.3">
      <c r="D384" t="str">
        <f ca="1">srt!C383</f>
        <v>我们提到了公式R撇N，</v>
      </c>
    </row>
    <row r="385" spans="4:4" x14ac:dyDescent="0.3">
      <c r="D385" t="str">
        <f ca="1">srt!C384</f>
        <v>这里GCD表示最大公因子，</v>
      </c>
    </row>
    <row r="386" spans="4:4" x14ac:dyDescent="0.3">
      <c r="D386" t="str">
        <f ca="1">srt!C385</f>
        <v>不难发现这里的GCDFC就是前面扩展欧几里德算法中的G。</v>
      </c>
    </row>
    <row r="387" spans="4:4" x14ac:dyDescent="0.3">
      <c r="D387" t="str">
        <f ca="1">srt!C386</f>
        <v>同时，</v>
      </c>
    </row>
    <row r="388" spans="4:4" x14ac:dyDescent="0.3">
      <c r="D388" t="str">
        <f ca="1">srt!C387</f>
        <v>由于F等于C加P，</v>
      </c>
    </row>
    <row r="389" spans="4:4" x14ac:dyDescent="0.3">
      <c r="D389" t="str">
        <f ca="1">srt!C388</f>
        <v>因此GCDFC和GCDFP是相等的。</v>
      </c>
    </row>
    <row r="390" spans="4:4" x14ac:dyDescent="0.3">
      <c r="D390" t="str">
        <f ca="1">srt!C389</f>
        <v>这里DEG表示最高次数R撇代表矩阵B丢失的值，</v>
      </c>
    </row>
    <row r="391" spans="4:4" x14ac:dyDescent="0.3">
      <c r="D391" t="str">
        <f ca="1">srt!C390</f>
        <v>也就是N减二R撇的值决定了解的数量及二的二撇次方。</v>
      </c>
    </row>
    <row r="392" spans="4:4" x14ac:dyDescent="0.3">
      <c r="D392" t="str">
        <f ca="1">srt!C391</f>
        <v>将GX写成矩阵的形式记为G，</v>
      </c>
    </row>
    <row r="393" spans="4:4" x14ac:dyDescent="0.3">
      <c r="D393" t="str">
        <f ca="1">srt!C392</f>
        <v>不难注意到只有当矩阵B为可逆矩阵时GX等于1。</v>
      </c>
    </row>
    <row r="394" spans="4:4" x14ac:dyDescent="0.3">
      <c r="D394" t="str">
        <f ca="1">srt!C393</f>
        <v>并且GX的最高次数为2撇等于n减2等于0，</v>
      </c>
    </row>
    <row r="395" spans="4:4" x14ac:dyDescent="0.3">
      <c r="D395" t="str">
        <f ca="1">srt!C394</f>
        <v>例如当N等于5时，</v>
      </c>
    </row>
    <row r="396" spans="4:4" x14ac:dyDescent="0.3">
      <c r="D396" t="str">
        <f ca="1">srt!C395</f>
        <v>高斯消元后的B的尾逆矩阵Q撇和单位矩阵一撇矩阵是这样的，</v>
      </c>
    </row>
    <row r="397" spans="4:4" x14ac:dyDescent="0.3">
      <c r="D397" t="str">
        <f ca="1">srt!C396</f>
        <v>这里矩阵B不可逆，</v>
      </c>
    </row>
    <row r="398" spans="4:4" x14ac:dyDescent="0.3">
      <c r="D398" t="str">
        <f ca="1">srt!C397</f>
        <v>其质为2等于3，</v>
      </c>
    </row>
    <row r="399" spans="4:4" x14ac:dyDescent="0.3">
      <c r="D399" t="str">
        <f ca="1">srt!C398</f>
        <v>我们以R乘2为界，</v>
      </c>
    </row>
    <row r="400" spans="4:4" x14ac:dyDescent="0.3">
      <c r="D400" t="str">
        <f ca="1">srt!C399</f>
        <v>将矩阵分为4块，</v>
      </c>
    </row>
    <row r="401" spans="4:4" x14ac:dyDescent="0.3">
      <c r="D401" t="str">
        <f ca="1">srt!C400</f>
        <v>则会有这些结论，</v>
      </c>
    </row>
    <row r="402" spans="4:4" x14ac:dyDescent="0.3">
      <c r="D402" t="str">
        <f ca="1">srt!C401</f>
        <v>1矩阵B左上角R乘2的子矩阵满质。</v>
      </c>
    </row>
    <row r="403" spans="4:4" x14ac:dyDescent="0.3">
      <c r="D403" t="str">
        <f ca="1">srt!C402</f>
        <v>并且和Q撇左上角R乘二的子矩阵互为逆矩阵，</v>
      </c>
    </row>
    <row r="404" spans="4:4" x14ac:dyDescent="0.3">
      <c r="D404" t="str">
        <f ca="1">srt!C403</f>
        <v>二Q撇右下角和一撇左上角为单位矩阵，</v>
      </c>
    </row>
    <row r="405" spans="4:4" x14ac:dyDescent="0.3">
      <c r="D405" t="str">
        <f ca="1">srt!C404</f>
        <v>Q撇右上角和一撇下方为零矩阵，</v>
      </c>
    </row>
    <row r="406" spans="4:4" x14ac:dyDescent="0.3">
      <c r="D406" t="str">
        <f ca="1">srt!C405</f>
        <v>三Q撇左下角W二和一撇右上角的静默操作相同，</v>
      </c>
    </row>
    <row r="407" spans="4:4" x14ac:dyDescent="0.3">
      <c r="D407" t="str">
        <f ca="1">srt!C406</f>
        <v>并且其值等于Q撇左上角乘以B右上角或者B左下角乘以Q撇左上角</v>
      </c>
    </row>
    <row r="408" spans="4:4" x14ac:dyDescent="0.3">
      <c r="D408" t="str">
        <f ca="1">srt!C407</f>
        <v>。</v>
      </c>
    </row>
    <row r="409" spans="4:4" x14ac:dyDescent="0.3">
      <c r="D409" t="str">
        <f ca="1">srt!C408</f>
        <v>这些性质可以通过分块矩阵乘法，</v>
      </c>
    </row>
    <row r="410" spans="4:4" x14ac:dyDescent="0.3">
      <c r="D410" t="str">
        <f ca="1">srt!C409</f>
        <v>结合高斯消元法和矩阵B的对称性得出，</v>
      </c>
    </row>
    <row r="411" spans="4:4" x14ac:dyDescent="0.3">
      <c r="D411" t="str">
        <f ca="1">srt!C410</f>
        <v>有兴趣的小伙伴可以自行证明，</v>
      </c>
    </row>
    <row r="412" spans="4:4" x14ac:dyDescent="0.3">
      <c r="D412" t="str">
        <f ca="1">srt!C411</f>
        <v>可以发现Q撇不满足十四偶校验约束，</v>
      </c>
    </row>
    <row r="413" spans="4:4" x14ac:dyDescent="0.3">
      <c r="D413" t="str">
        <f ca="1">srt!C412</f>
        <v>因而无法通过公式递推求得，</v>
      </c>
    </row>
    <row r="414" spans="4:4" x14ac:dyDescent="0.3">
      <c r="D414" t="str">
        <f ca="1">srt!C413</f>
        <v>并且使用Q撇第一行求得的X也不是原方程的解，</v>
      </c>
    </row>
    <row r="415" spans="4:4" x14ac:dyDescent="0.3">
      <c r="D415" t="str">
        <f ca="1">srt!C414</f>
        <v>如果我们令Q撇第一行为QX并且和PX相乘得到的GX不为一，</v>
      </c>
    </row>
    <row r="416" spans="4:4" x14ac:dyDescent="0.3">
      <c r="D416" t="str">
        <f ca="1">srt!C415</f>
        <v>最高次数为四。</v>
      </c>
    </row>
    <row r="417" spans="4:4" x14ac:dyDescent="0.3">
      <c r="D417" t="str">
        <f ca="1">srt!C416</f>
        <v>另一方面，</v>
      </c>
    </row>
    <row r="418" spans="4:4" x14ac:dyDescent="0.3">
      <c r="D418" t="str">
        <f ca="1">srt!C417</f>
        <v>如果我们直接使用扩展欧几里德法，</v>
      </c>
    </row>
    <row r="419" spans="4:4" x14ac:dyDescent="0.3">
      <c r="D419" t="str">
        <f ca="1">srt!C418</f>
        <v>通过PX和FX进行求解，</v>
      </c>
    </row>
    <row r="420" spans="4:4" x14ac:dyDescent="0.3">
      <c r="D420" t="str">
        <f ca="1">srt!C419</f>
        <v>得到的GX也不唯一。</v>
      </c>
    </row>
    <row r="421" spans="4:4" x14ac:dyDescent="0.3">
      <c r="D421" t="str">
        <f ca="1">srt!C420</f>
        <v>将求得的QX和PX相乘，</v>
      </c>
    </row>
    <row r="422" spans="4:4" x14ac:dyDescent="0.3">
      <c r="D422" t="str">
        <f ca="1">srt!C421</f>
        <v>得到刚才求得的GX，</v>
      </c>
    </row>
    <row r="423" spans="4:4" x14ac:dyDescent="0.3">
      <c r="D423" t="str">
        <f ca="1">srt!C422</f>
        <v>其最高次数为2。</v>
      </c>
    </row>
    <row r="424" spans="4:4" x14ac:dyDescent="0.3">
      <c r="D424" t="str">
        <f ca="1">srt!C423</f>
        <v>这里我们计算QHY，</v>
      </c>
    </row>
    <row r="425" spans="4:4" x14ac:dyDescent="0.3">
      <c r="D425" t="str">
        <f ca="1">srt!C424</f>
        <v>发现求得的X也不是正确解。</v>
      </c>
    </row>
    <row r="426" spans="4:4" x14ac:dyDescent="0.3">
      <c r="D426" t="str">
        <f ca="1">srt!C425</f>
        <v>两种方法求得的QX和GX都不相同。</v>
      </c>
    </row>
    <row r="427" spans="4:4" x14ac:dyDescent="0.3">
      <c r="D427" t="str">
        <f ca="1">srt!C426</f>
        <v>GX都不唯一，</v>
      </c>
    </row>
    <row r="428" spans="4:4" x14ac:dyDescent="0.3">
      <c r="D428" t="str">
        <f ca="1">srt!C427</f>
        <v>并且QHY也都不是正确解。</v>
      </c>
    </row>
    <row r="429" spans="4:4" x14ac:dyDescent="0.3">
      <c r="D429" t="str">
        <f ca="1">srt!C428</f>
        <v>因此，</v>
      </c>
    </row>
    <row r="430" spans="4:4" x14ac:dyDescent="0.3">
      <c r="D430" t="str">
        <f ca="1">srt!C429</f>
        <v>如果GX不唯一，</v>
      </c>
    </row>
    <row r="431" spans="4:4" x14ac:dyDescent="0.3">
      <c r="D431" t="str">
        <f ca="1">srt!C430</f>
        <v>则QX不满足QXPX等于EmodFX或者说满足QXPX等于E</v>
      </c>
    </row>
    <row r="432" spans="4:4" x14ac:dyDescent="0.3">
      <c r="D432" t="str">
        <f ca="1">srt!C431</f>
        <v>modFX的QX不存在。</v>
      </c>
    </row>
    <row r="433" spans="4:4" x14ac:dyDescent="0.3">
      <c r="D433" t="str">
        <f ca="1">srt!C432</f>
        <v>那么，</v>
      </c>
    </row>
    <row r="434" spans="4:4" x14ac:dyDescent="0.3">
      <c r="D434" t="str">
        <f ca="1">srt!C433</f>
        <v>对于不可逆的矩阵B，</v>
      </c>
    </row>
    <row r="435" spans="4:4" x14ac:dyDescent="0.3">
      <c r="D435" t="str">
        <f ca="1">srt!C434</f>
        <v>我们又有什么方法可以求出正确的解呢？</v>
      </c>
    </row>
    <row r="436" spans="4:4" x14ac:dyDescent="0.3">
      <c r="D436" t="str">
        <f ca="1">srt!C435</f>
        <v>在刚才的首行求逆法中，</v>
      </c>
    </row>
    <row r="437" spans="4:4" x14ac:dyDescent="0.3">
      <c r="D437" t="str">
        <f ca="1">srt!C436</f>
        <v>我们有这些公式。</v>
      </c>
    </row>
    <row r="438" spans="4:4" x14ac:dyDescent="0.3">
      <c r="D438" t="str">
        <f ca="1">srt!C437</f>
        <v>现在我们定义多项是Q撇X满足Q撇XPX等于GXmodFX其中</v>
      </c>
    </row>
    <row r="439" spans="4:4" x14ac:dyDescent="0.3">
      <c r="D439" t="str">
        <f ca="1">srt!C438</f>
        <v>GX也就是刚才提到的最大公因子Q撇X就是刚才求得的QX由于原</v>
      </c>
    </row>
    <row r="440" spans="4:4" x14ac:dyDescent="0.3">
      <c r="D440" t="str">
        <f ca="1">srt!C439</f>
        <v>本求得的X并不是最终解，</v>
      </c>
    </row>
    <row r="441" spans="4:4" x14ac:dyDescent="0.3">
      <c r="D441" t="str">
        <f ca="1">srt!C440</f>
        <v>我们将其重命名为Z即Z等于Q撇HY。</v>
      </c>
    </row>
    <row r="442" spans="4:4" x14ac:dyDescent="0.3">
      <c r="D442" t="str">
        <f ca="1">srt!C441</f>
        <v>同时，</v>
      </c>
    </row>
    <row r="443" spans="4:4" x14ac:dyDescent="0.3">
      <c r="D443" t="str">
        <f ca="1">srt!C442</f>
        <v>我们定义Q撇X的逆多项式P撇X，</v>
      </c>
    </row>
    <row r="444" spans="4:4" x14ac:dyDescent="0.3">
      <c r="D444" t="str">
        <f ca="1">srt!C443</f>
        <v>即Q撇X，</v>
      </c>
    </row>
    <row r="445" spans="4:4" x14ac:dyDescent="0.3">
      <c r="D445" t="str">
        <f ca="1">srt!C444</f>
        <v>P撇X等于1modFX。</v>
      </c>
    </row>
    <row r="446" spans="4:4" x14ac:dyDescent="0.3">
      <c r="D446" t="str">
        <f ca="1">srt!C445</f>
        <v>我们不难推出这些式子，</v>
      </c>
    </row>
    <row r="447" spans="4:4" x14ac:dyDescent="0.3">
      <c r="D447" t="str">
        <f ca="1">srt!C446</f>
        <v>为了方便表示这里将modFX的部分省去整理后，</v>
      </c>
    </row>
    <row r="448" spans="4:4" x14ac:dyDescent="0.3">
      <c r="D448" t="str">
        <f ca="1">srt!C447</f>
        <v>我们可以得到这些式子。</v>
      </c>
    </row>
    <row r="449" spans="4:4" x14ac:dyDescent="0.3">
      <c r="D449" t="str">
        <f ca="1">srt!C448</f>
        <v>最终我们得到了C等于GHX这里，</v>
      </c>
    </row>
    <row r="450" spans="4:4" x14ac:dyDescent="0.3">
      <c r="D450" t="str">
        <f ca="1">srt!C449</f>
        <v>如果GX等于1，</v>
      </c>
    </row>
    <row r="451" spans="4:4" x14ac:dyDescent="0.3">
      <c r="D451" t="str">
        <f ca="1">srt!C450</f>
        <v>则会有右边这些式子。</v>
      </c>
    </row>
    <row r="452" spans="4:4" x14ac:dyDescent="0.3">
      <c r="D452" t="str">
        <f ca="1">srt!C451</f>
        <v>前面使用的扩展欧几里得法中，</v>
      </c>
    </row>
    <row r="453" spans="4:4" x14ac:dyDescent="0.3">
      <c r="D453" t="str">
        <f ca="1">srt!C452</f>
        <v>我们已求得Q撇X和GX，</v>
      </c>
    </row>
    <row r="454" spans="4:4" x14ac:dyDescent="0.3">
      <c r="D454" t="str">
        <f ca="1">srt!C453</f>
        <v>因此接下来只需要使用GX和Z即可求得X。</v>
      </c>
    </row>
    <row r="455" spans="4:4" x14ac:dyDescent="0.3">
      <c r="D455" t="str">
        <f ca="1">srt!C454</f>
        <v>前者我们有公式Z等于Q撇HY，</v>
      </c>
    </row>
    <row r="456" spans="4:4" x14ac:dyDescent="0.3">
      <c r="D456" t="str">
        <f ca="1">srt!C455</f>
        <v>我们不断让Y乘以H，</v>
      </c>
    </row>
    <row r="457" spans="4:4" x14ac:dyDescent="0.3">
      <c r="D457" t="str">
        <f ca="1">srt!C456</f>
        <v>然后使用向量乘以矩阵的方法求得Z。</v>
      </c>
    </row>
    <row r="458" spans="4:4" x14ac:dyDescent="0.3">
      <c r="D458" t="str">
        <f ca="1">srt!C457</f>
        <v>现在我们有公式Z等于GHX，</v>
      </c>
    </row>
    <row r="459" spans="4:4" x14ac:dyDescent="0.3">
      <c r="D459" t="str">
        <f ca="1">srt!C458</f>
        <v>由于需要求得的是X，</v>
      </c>
    </row>
    <row r="460" spans="4:4" x14ac:dyDescent="0.3">
      <c r="D460" t="str">
        <f ca="1">srt!C459</f>
        <v>因此不能再使用这个方法来求解。</v>
      </c>
    </row>
    <row r="461" spans="4:4" x14ac:dyDescent="0.3">
      <c r="D461" t="str">
        <f ca="1">srt!C460</f>
        <v>这次我们需要用反向叠加法来求X，</v>
      </c>
    </row>
    <row r="462" spans="4:4" x14ac:dyDescent="0.3">
      <c r="D462" t="str">
        <f ca="1">srt!C461</f>
        <v>让我们以N等于5为例。</v>
      </c>
    </row>
    <row r="463" spans="4:4" x14ac:dyDescent="0.3">
      <c r="D463" t="str">
        <f ca="1">srt!C462</f>
        <v>首先我们需要使用类似生成矩阵B的方法生成GH，</v>
      </c>
    </row>
    <row r="464" spans="4:4" x14ac:dyDescent="0.3">
      <c r="D464" t="str">
        <f ca="1">srt!C463</f>
        <v>这里即为矩阵D，</v>
      </c>
    </row>
    <row r="465" spans="4:4" x14ac:dyDescent="0.3">
      <c r="D465" t="str">
        <f ca="1">srt!C464</f>
        <v>其质与矩阵B相同。</v>
      </c>
    </row>
    <row r="466" spans="4:4" x14ac:dyDescent="0.3">
      <c r="D466" t="str">
        <f ca="1">srt!C465</f>
        <v>一创建N个单位向量，</v>
      </c>
    </row>
    <row r="467" spans="4:4" x14ac:dyDescent="0.3">
      <c r="D467" t="str">
        <f ca="1">srt!C466</f>
        <v>也就是矩阵D的第一行。</v>
      </c>
    </row>
    <row r="468" spans="4:4" x14ac:dyDescent="0.3">
      <c r="D468" t="str">
        <f ca="1">srt!C467</f>
        <v>这里和矩阵B相同，</v>
      </c>
    </row>
    <row r="469" spans="4:4" x14ac:dyDescent="0.3">
      <c r="D469" t="str">
        <f ca="1">srt!C468</f>
        <v>一共有N个向量。</v>
      </c>
    </row>
    <row r="470" spans="4:4" x14ac:dyDescent="0.3">
      <c r="D470" t="str">
        <f ca="1">srt!C469</f>
        <v>二使用矩阵H将每个矩阵地的第一行扩散到后续的行，</v>
      </c>
    </row>
    <row r="471" spans="4:4" x14ac:dyDescent="0.3">
      <c r="D471" t="str">
        <f ca="1">srt!C470</f>
        <v>三根据多项式GX将每个矩阵地的对应行叠加起来，</v>
      </c>
    </row>
    <row r="472" spans="4:4" x14ac:dyDescent="0.3">
      <c r="D472" t="str">
        <f ca="1">srt!C471</f>
        <v>叠加完的行共同构成一个新的矩阵地，</v>
      </c>
    </row>
    <row r="473" spans="4:4" x14ac:dyDescent="0.3">
      <c r="D473" t="str">
        <f ca="1">srt!C472</f>
        <v>可以发现这里的步骤和首行叠加法类似，</v>
      </c>
    </row>
    <row r="474" spans="4:4" x14ac:dyDescent="0.3">
      <c r="D474" t="str">
        <f ca="1">srt!C473</f>
        <v>共有N个矩阵要生成，</v>
      </c>
    </row>
    <row r="475" spans="4:4" x14ac:dyDescent="0.3">
      <c r="D475" t="str">
        <f ca="1">srt!C474</f>
        <v>时间复杂度是ON的三次方，</v>
      </c>
    </row>
    <row r="476" spans="4:4" x14ac:dyDescent="0.3">
      <c r="D476" t="str">
        <f ca="1">srt!C475</f>
        <v>不过聪明的你一定能想到。</v>
      </c>
    </row>
    <row r="477" spans="4:4" x14ac:dyDescent="0.3">
      <c r="D477" t="str">
        <f ca="1">srt!C476</f>
        <v>通过生成矩阵法调换矩阵的行以后，</v>
      </c>
    </row>
    <row r="478" spans="4:4" x14ac:dyDescent="0.3">
      <c r="D478" t="str">
        <f ca="1">srt!C477</f>
        <v>这些矩阵也都满足十字偶校验约束，</v>
      </c>
    </row>
    <row r="479" spans="4:4" x14ac:dyDescent="0.3">
      <c r="D479" t="str">
        <f ca="1">srt!C478</f>
        <v>因此我们同样只需要生成第一个矩阵，</v>
      </c>
    </row>
    <row r="480" spans="4:4" x14ac:dyDescent="0.3">
      <c r="D480" t="str">
        <f ca="1">srt!C479</f>
        <v>然后递推即可得到矩阵地，</v>
      </c>
    </row>
    <row r="481" spans="4:4" x14ac:dyDescent="0.3">
      <c r="D481" t="str">
        <f ca="1">srt!C480</f>
        <v>时间复杂度降位了ON的二次方，</v>
      </c>
    </row>
    <row r="482" spans="4:4" x14ac:dyDescent="0.3">
      <c r="D482" t="str">
        <f ca="1">srt!C481</f>
        <v>在生成第一个矩阵的过程中，</v>
      </c>
    </row>
    <row r="483" spans="4:4" x14ac:dyDescent="0.3">
      <c r="D483" t="str">
        <f ca="1">srt!C482</f>
        <v>每行乘以矩阵H的结果就是刚才的矩阵K，</v>
      </c>
    </row>
    <row r="484" spans="4:4" x14ac:dyDescent="0.3">
      <c r="D484" t="str">
        <f ca="1">srt!C483</f>
        <v>因此只需要将GX和K直接相乘。</v>
      </c>
    </row>
    <row r="485" spans="4:4" x14ac:dyDescent="0.3">
      <c r="D485" t="str">
        <f ca="1">srt!C484</f>
        <v>即可得到第一个矩阵的最后一行，</v>
      </c>
    </row>
    <row r="486" spans="4:4" x14ac:dyDescent="0.3">
      <c r="D486" t="str">
        <f ca="1">srt!C485</f>
        <v>即矩阵地的第一行。</v>
      </c>
    </row>
    <row r="487" spans="4:4" x14ac:dyDescent="0.3">
      <c r="D487" t="str">
        <f ca="1">srt!C486</f>
        <v>然后我们就可以使用十字偶校验约束的递推关系求得之后的行。</v>
      </c>
    </row>
    <row r="488" spans="4:4" x14ac:dyDescent="0.3">
      <c r="D488" t="str">
        <f ca="1">srt!C487</f>
        <v>由于矩阵地是由矩阵H生成的，</v>
      </c>
    </row>
    <row r="489" spans="4:4" x14ac:dyDescent="0.3">
      <c r="D489" t="str">
        <f ca="1">srt!C488</f>
        <v>因此具有以下这些性质。</v>
      </c>
    </row>
    <row r="490" spans="4:4" x14ac:dyDescent="0.3">
      <c r="D490" t="str">
        <f ca="1">srt!C489</f>
        <v>这里N等于5，</v>
      </c>
    </row>
    <row r="491" spans="4:4" x14ac:dyDescent="0.3">
      <c r="D491" t="str">
        <f ca="1">srt!C490</f>
        <v>R等于3，</v>
      </c>
    </row>
    <row r="492" spans="4:4" x14ac:dyDescent="0.3">
      <c r="D492" t="str">
        <f ca="1">srt!C491</f>
        <v>2撇等于2。</v>
      </c>
    </row>
    <row r="493" spans="4:4" x14ac:dyDescent="0.3">
      <c r="D493" t="str">
        <f ca="1">srt!C492</f>
        <v>1后2等于3行，</v>
      </c>
    </row>
    <row r="494" spans="4:4" x14ac:dyDescent="0.3">
      <c r="D494" t="str">
        <f ca="1">srt!C493</f>
        <v>第N行最左边的N减2撇负1等于N减3个元素为0。</v>
      </c>
    </row>
    <row r="495" spans="4:4" x14ac:dyDescent="0.3">
      <c r="D495" t="str">
        <f ca="1">srt!C494</f>
        <v>二后二等于三行，</v>
      </c>
    </row>
    <row r="496" spans="4:4" x14ac:dyDescent="0.3">
      <c r="D496" t="str">
        <f ca="1">srt!C495</f>
        <v>第n行dn减二撇等于n减二个元素为一，</v>
      </c>
    </row>
    <row r="497" spans="4:4" x14ac:dyDescent="0.3">
      <c r="D497" t="str">
        <f ca="1">srt!C496</f>
        <v>三后二等于三行，</v>
      </c>
    </row>
    <row r="498" spans="4:4" x14ac:dyDescent="0.3">
      <c r="D498" t="str">
        <f ca="1">srt!C497</f>
        <v>任意一行都不能由别的行叠加及线性无关，</v>
      </c>
    </row>
    <row r="499" spans="4:4" x14ac:dyDescent="0.3">
      <c r="D499" t="str">
        <f ca="1">srt!C498</f>
        <v>四前二撇等于二行，</v>
      </c>
    </row>
    <row r="500" spans="4:4" x14ac:dyDescent="0.3">
      <c r="D500" t="str">
        <f ca="1">srt!C499</f>
        <v>任意一行都可以由后二等于三行叠加，</v>
      </c>
    </row>
    <row r="501" spans="4:4" x14ac:dyDescent="0.3">
      <c r="D501" t="str">
        <f ca="1">srt!C500</f>
        <v>这些性质都不难证明，</v>
      </c>
    </row>
    <row r="502" spans="4:4" x14ac:dyDescent="0.3">
      <c r="D502" t="str">
        <f ca="1">srt!C501</f>
        <v>有兴趣的小伙伴可以自行证明。</v>
      </c>
    </row>
    <row r="503" spans="4:4" x14ac:dyDescent="0.3">
      <c r="D503" t="str">
        <f ca="1">srt!C502</f>
        <v>现在我们有Z等于GHX等于DX，</v>
      </c>
    </row>
    <row r="504" spans="4:4" x14ac:dyDescent="0.3">
      <c r="D504" t="str">
        <f ca="1">srt!C503</f>
        <v>我们可以利用D的性质进行求解。</v>
      </c>
    </row>
    <row r="505" spans="4:4" x14ac:dyDescent="0.3">
      <c r="D505" t="str">
        <f ca="1">srt!C504</f>
        <v>接下来我们需要将Z拆解成矩阵D的若干行的叠加，</v>
      </c>
    </row>
    <row r="506" spans="4:4" x14ac:dyDescent="0.3">
      <c r="D506" t="str">
        <f ca="1">srt!C505</f>
        <v>从而表示出X。</v>
      </c>
    </row>
    <row r="507" spans="4:4" x14ac:dyDescent="0.3">
      <c r="D507" t="str">
        <f ca="1">srt!C506</f>
        <v>由于矩阵D后三行线性无关，</v>
      </c>
    </row>
    <row r="508" spans="4:4" x14ac:dyDescent="0.3">
      <c r="D508" t="str">
        <f ca="1">srt!C507</f>
        <v>因此我们只考虑把后三行叠加起来，</v>
      </c>
    </row>
    <row r="509" spans="4:4" x14ac:dyDescent="0.3">
      <c r="D509" t="str">
        <f ca="1">srt!C508</f>
        <v>不需考虑前二行。</v>
      </c>
    </row>
    <row r="510" spans="4:4" x14ac:dyDescent="0.3">
      <c r="D510" t="str">
        <f ca="1">srt!C509</f>
        <v>这里我们尝试将后三行的若干行叠加到现有的Z上，</v>
      </c>
    </row>
    <row r="511" spans="4:4" x14ac:dyDescent="0.3">
      <c r="D511" t="str">
        <f ca="1">srt!C510</f>
        <v>使其被消去。</v>
      </c>
    </row>
    <row r="512" spans="4:4" x14ac:dyDescent="0.3">
      <c r="D512" t="str">
        <f ca="1">srt!C511</f>
        <v>让我们观察Z的第一个元素和D的后三行，</v>
      </c>
    </row>
    <row r="513" spans="4:4" x14ac:dyDescent="0.3">
      <c r="D513" t="str">
        <f ca="1">srt!C512</f>
        <v>在D的后三行中，</v>
      </c>
    </row>
    <row r="514" spans="4:4" x14ac:dyDescent="0.3">
      <c r="D514" t="str">
        <f ca="1">srt!C513</f>
        <v>第三行的第一个元素为1，</v>
      </c>
    </row>
    <row r="515" spans="4:4" x14ac:dyDescent="0.3">
      <c r="D515" t="str">
        <f ca="1">srt!C514</f>
        <v>Z的第一个元素已经为0，</v>
      </c>
    </row>
    <row r="516" spans="4:4" x14ac:dyDescent="0.3">
      <c r="D516" t="str">
        <f ca="1">srt!C515</f>
        <v>如果我们叠加第三行，</v>
      </c>
    </row>
    <row r="517" spans="4:4" x14ac:dyDescent="0.3">
      <c r="D517" t="str">
        <f ca="1">srt!C516</f>
        <v>则Z的第一个元素会变为1，</v>
      </c>
    </row>
    <row r="518" spans="4:4" x14ac:dyDescent="0.3">
      <c r="D518" t="str">
        <f ca="1">srt!C517</f>
        <v>因此不能叠加第三行，</v>
      </c>
    </row>
    <row r="519" spans="4:4" x14ac:dyDescent="0.3">
      <c r="D519" t="str">
        <f ca="1">srt!C518</f>
        <v>我们再看Z的第二个元素，</v>
      </c>
    </row>
    <row r="520" spans="4:4" x14ac:dyDescent="0.3">
      <c r="D520" t="str">
        <f ca="1">srt!C519</f>
        <v>该元素为1，</v>
      </c>
    </row>
    <row r="521" spans="4:4" x14ac:dyDescent="0.3">
      <c r="D521" t="str">
        <f ca="1">srt!C520</f>
        <v>因此我们需要将第四行叠加到Z上，</v>
      </c>
    </row>
    <row r="522" spans="4:4" x14ac:dyDescent="0.3">
      <c r="D522" t="str">
        <f ca="1">srt!C521</f>
        <v>现在Z的第二个元素被消去了。</v>
      </c>
    </row>
    <row r="523" spans="4:4" x14ac:dyDescent="0.3">
      <c r="D523" t="str">
        <f ca="1">srt!C522</f>
        <v>同时，</v>
      </c>
    </row>
    <row r="524" spans="4:4" x14ac:dyDescent="0.3">
      <c r="D524" t="str">
        <f ca="1">srt!C523</f>
        <v>X的第四个元素被标记为一。</v>
      </c>
    </row>
    <row r="525" spans="4:4" x14ac:dyDescent="0.3">
      <c r="D525" t="str">
        <f ca="1">srt!C524</f>
        <v>我们接着看Z的第三个元素，</v>
      </c>
    </row>
    <row r="526" spans="4:4" x14ac:dyDescent="0.3">
      <c r="D526" t="str">
        <f ca="1">srt!C525</f>
        <v>由于Z的第三个元素变为了一，</v>
      </c>
    </row>
    <row r="527" spans="4:4" x14ac:dyDescent="0.3">
      <c r="D527" t="str">
        <f ca="1">srt!C526</f>
        <v>我们需要叠加D的第五行。</v>
      </c>
    </row>
    <row r="528" spans="4:4" x14ac:dyDescent="0.3">
      <c r="D528" t="str">
        <f ca="1">srt!C527</f>
        <v>这次Z被彻底消去了，</v>
      </c>
    </row>
    <row r="529" spans="4:4" x14ac:dyDescent="0.3">
      <c r="D529" t="str">
        <f ca="1">srt!C528</f>
        <v>变为了零，</v>
      </c>
    </row>
    <row r="530" spans="4:4" x14ac:dyDescent="0.3">
      <c r="D530" t="str">
        <f ca="1">srt!C529</f>
        <v>并且X的第五个元素被标记为一。</v>
      </c>
    </row>
    <row r="531" spans="4:4" x14ac:dyDescent="0.3">
      <c r="D531" t="str">
        <f ca="1">srt!C530</f>
        <v>由此，</v>
      </c>
    </row>
    <row r="532" spans="4:4" x14ac:dyDescent="0.3">
      <c r="D532" t="str">
        <f ca="1">srt!C531</f>
        <v>我们通过一次叠加D的后三行将Z的元素依次消去。</v>
      </c>
    </row>
    <row r="533" spans="4:4" x14ac:dyDescent="0.3">
      <c r="D533" t="str">
        <f ca="1">srt!C532</f>
        <v>同时将叠加的行标记为一，</v>
      </c>
    </row>
    <row r="534" spans="4:4" x14ac:dyDescent="0.3">
      <c r="D534" t="str">
        <f ca="1">srt!C533</f>
        <v>也就求得了最终的X。</v>
      </c>
    </row>
    <row r="535" spans="4:4" x14ac:dyDescent="0.3">
      <c r="D535" t="str">
        <f ca="1">srt!C534</f>
        <v>不难发现，</v>
      </c>
    </row>
    <row r="536" spans="4:4" x14ac:dyDescent="0.3">
      <c r="D536" t="str">
        <f ca="1">srt!C535</f>
        <v>这里求得的X是一个特解。</v>
      </c>
    </row>
    <row r="537" spans="4:4" x14ac:dyDescent="0.3">
      <c r="D537" t="str">
        <f ca="1">srt!C536</f>
        <v>由于前二撇行可以表示为后二行的线性叠加，</v>
      </c>
    </row>
    <row r="538" spans="4:4" x14ac:dyDescent="0.3">
      <c r="D538" t="str">
        <f ca="1">srt!C537</f>
        <v>因此我们可以在操作Y之前先将其和前二撇的任意行叠加，</v>
      </c>
    </row>
    <row r="539" spans="4:4" x14ac:dyDescent="0.3">
      <c r="D539" t="str">
        <f ca="1">srt!C538</f>
        <v>然后再求解。</v>
      </c>
    </row>
    <row r="540" spans="4:4" x14ac:dyDescent="0.3">
      <c r="D540" t="str">
        <f ca="1">srt!C539</f>
        <v>由于前二撇行共有二的二撇次方种，</v>
      </c>
    </row>
    <row r="541" spans="4:4" x14ac:dyDescent="0.3">
      <c r="D541" t="str">
        <f ca="1">srt!C540</f>
        <v>因此求得的解也有二的二撇次方种。</v>
      </c>
    </row>
    <row r="542" spans="4:4" x14ac:dyDescent="0.3">
      <c r="D542" t="str">
        <f ca="1">srt!C541</f>
        <v>另一方面。</v>
      </c>
    </row>
    <row r="543" spans="4:4" x14ac:dyDescent="0.3">
      <c r="D543" t="str">
        <f ca="1">srt!C542</f>
        <v>由于矩阵地满足十字偶校验约束表现出高度的对称性，</v>
      </c>
    </row>
    <row r="544" spans="4:4" x14ac:dyDescent="0.3">
      <c r="D544" t="str">
        <f ca="1">srt!C543</f>
        <v>其中行和列的坐标可以互换，</v>
      </c>
    </row>
    <row r="545" spans="4:4" x14ac:dyDescent="0.3">
      <c r="D545" t="str">
        <f ca="1">srt!C544</f>
        <v>因此我们可以同样只叠加前二行，</v>
      </c>
    </row>
    <row r="546" spans="4:4" x14ac:dyDescent="0.3">
      <c r="D546" t="str">
        <f ca="1">srt!C545</f>
        <v>从右往左进行消去。</v>
      </c>
    </row>
    <row r="547" spans="4:4" x14ac:dyDescent="0.3">
      <c r="D547" t="str">
        <f ca="1">srt!C546</f>
        <v>由于效果是相同的，</v>
      </c>
    </row>
    <row r="548" spans="4:4" x14ac:dyDescent="0.3">
      <c r="D548" t="str">
        <f ca="1">srt!C547</f>
        <v>这里不再赘述。</v>
      </c>
    </row>
    <row r="549" spans="4:4" x14ac:dyDescent="0.3">
      <c r="D549" t="str">
        <f ca="1">srt!C548</f>
        <v>细心的小伙伴会发现，</v>
      </c>
    </row>
    <row r="550" spans="4:4" x14ac:dyDescent="0.3">
      <c r="D550" t="str">
        <f ca="1">srt!C549</f>
        <v>这两个式子具有相同的形式。</v>
      </c>
    </row>
    <row r="551" spans="4:4" x14ac:dyDescent="0.3">
      <c r="D551" t="str">
        <f ca="1">srt!C550</f>
        <v>既然我们可以在第一个式子用反向叠加法求X。</v>
      </c>
    </row>
    <row r="552" spans="4:4" x14ac:dyDescent="0.3">
      <c r="D552" t="str">
        <f ca="1">srt!C551</f>
        <v>为什么不能用相同的方法在第二个式子求X呢？</v>
      </c>
    </row>
    <row r="553" spans="4:4" x14ac:dyDescent="0.3">
      <c r="D553" t="str">
        <f ca="1">srt!C552</f>
        <v>这是因为矩阵D是由GH生成的，</v>
      </c>
    </row>
    <row r="554" spans="4:4" x14ac:dyDescent="0.3">
      <c r="D554" t="str">
        <f ca="1">srt!C553</f>
        <v>具有带状上三角的可回带结构，</v>
      </c>
    </row>
    <row r="555" spans="4:4" x14ac:dyDescent="0.3">
      <c r="D555" t="str">
        <f ca="1">srt!C554</f>
        <v>满足前面说到的四个性质。</v>
      </c>
    </row>
    <row r="556" spans="4:4" x14ac:dyDescent="0.3">
      <c r="D556" t="str">
        <f ca="1">srt!C555</f>
        <v>而B等于P撇HD破坏了这一结构，</v>
      </c>
    </row>
    <row r="557" spans="4:4" x14ac:dyDescent="0.3">
      <c r="D557" t="str">
        <f ca="1">srt!C556</f>
        <v>不满足这些性质。</v>
      </c>
    </row>
    <row r="558" spans="4:4" x14ac:dyDescent="0.3">
      <c r="D558" t="str">
        <f ca="1">srt!C557</f>
        <v>这里D等于GH不满质，</v>
      </c>
    </row>
    <row r="559" spans="4:4" x14ac:dyDescent="0.3">
      <c r="D559" t="str">
        <f ca="1">srt!C558</f>
        <v>因此P撇H不为一。</v>
      </c>
    </row>
    <row r="560" spans="4:4" x14ac:dyDescent="0.3">
      <c r="D560" t="str">
        <f ca="1">srt!C559</f>
        <v>不过当G等于一时，</v>
      </c>
    </row>
    <row r="561" spans="4:4" x14ac:dyDescent="0.3">
      <c r="D561" t="str">
        <f ca="1">srt!C560</f>
        <v>这种解法是可行的。</v>
      </c>
    </row>
    <row r="562" spans="4:4" x14ac:dyDescent="0.3">
      <c r="D562" t="str">
        <f ca="1">srt!C561</f>
        <v>尽管这个方法首先需要求出完整的矩阵B，</v>
      </c>
    </row>
    <row r="563" spans="4:4" x14ac:dyDescent="0.3">
      <c r="D563" t="str">
        <f ca="1">srt!C562</f>
        <v>同时因为矩阵B不是三角结构，</v>
      </c>
    </row>
    <row r="564" spans="4:4" x14ac:dyDescent="0.3">
      <c r="D564" t="str">
        <f ca="1">srt!C563</f>
        <v>还需标记每行首个唯一的元素的位置来选择，</v>
      </c>
    </row>
    <row r="565" spans="4:4" x14ac:dyDescent="0.3">
      <c r="D565" t="str">
        <f ca="1">srt!C564</f>
        <v>因此直接计算QHY会更加方便，</v>
      </c>
    </row>
    <row r="566" spans="4:4" x14ac:dyDescent="0.3">
      <c r="D566" t="str">
        <f ca="1">srt!C565</f>
        <v>最终我们通过欧几里得法和反向叠加法完成了BX等于Y的求解，</v>
      </c>
    </row>
    <row r="567" spans="4:4" x14ac:dyDescent="0.3">
      <c r="D567" t="str">
        <f ca="1">srt!C566</f>
        <v>实现了点灯游戏，</v>
      </c>
    </row>
    <row r="568" spans="4:4" x14ac:dyDescent="0.3">
      <c r="D568" t="str">
        <f ca="1">srt!C567</f>
        <v>ON的二次方的时间复杂度的算法。</v>
      </c>
    </row>
    <row r="569" spans="4:4" x14ac:dyDescent="0.3">
      <c r="D569" t="str">
        <f ca="1">srt!C568</f>
        <v>向量和矩阵的乘法，</v>
      </c>
    </row>
    <row r="570" spans="4:4" x14ac:dyDescent="0.3">
      <c r="D570" t="str">
        <f ca="1">srt!C569</f>
        <v>欧几里德算法，</v>
      </c>
    </row>
    <row r="571" spans="4:4" x14ac:dyDescent="0.3">
      <c r="D571" t="str">
        <f ca="1">srt!C570</f>
        <v>逆向校园法，</v>
      </c>
    </row>
    <row r="572" spans="4:4" x14ac:dyDescent="0.3">
      <c r="D572" t="str">
        <f ca="1">srt!C571</f>
        <v>理论上通过卷积FFT或牛顿迭代法，</v>
      </c>
    </row>
    <row r="573" spans="4:4" x14ac:dyDescent="0.3">
      <c r="D573" t="str">
        <f ca="1">srt!C572</f>
        <v>是有可能优化到O分成logN的。</v>
      </c>
    </row>
    <row r="574" spans="4:4" x14ac:dyDescent="0.3">
      <c r="D574" t="str">
        <f ca="1">srt!C573</f>
        <v>考虑到UP主信号与系统，</v>
      </c>
    </row>
    <row r="575" spans="4:4" x14ac:dyDescent="0.3">
      <c r="D575" t="str">
        <f ca="1">srt!C574</f>
        <v>数字信号处理，</v>
      </c>
    </row>
    <row r="576" spans="4:4" x14ac:dyDescent="0.3">
      <c r="D576" t="str">
        <f ca="1">srt!C575</f>
        <v>数值分析等课程较差，</v>
      </c>
    </row>
    <row r="577" spans="4:4" x14ac:dyDescent="0.3">
      <c r="D577" t="str">
        <f ca="1">srt!C576</f>
        <v>暂时就不研究了。</v>
      </c>
    </row>
    <row r="578" spans="4:4" x14ac:dyDescent="0.3">
      <c r="D578" t="str">
        <f ca="1">srt!C577</f>
        <v>有兴趣的小伙伴可自行研究并留言。</v>
      </c>
    </row>
    <row r="579" spans="4:4" x14ac:dyDescent="0.3">
      <c r="D579" t="str">
        <f ca="1">srt!C578</f>
        <v>如果对视频中的内容有疑问，</v>
      </c>
    </row>
    <row r="580" spans="4:4" x14ac:dyDescent="0.3">
      <c r="D580" t="str">
        <f ca="1">srt!C579</f>
        <v>觉得视频内容表述不清。</v>
      </c>
    </row>
    <row r="581" spans="4:4" x14ac:dyDescent="0.3">
      <c r="D581" t="str">
        <f ca="1">srt!C580</f>
        <v>或者发现视频中的任何错误，</v>
      </c>
    </row>
    <row r="582" spans="4:4" x14ac:dyDescent="0.3">
      <c r="D582" t="str">
        <f ca="1">srt!C581</f>
        <v>也请大家多多留言和指正。</v>
      </c>
    </row>
    <row r="583" spans="4:4" x14ac:dyDescent="0.3">
      <c r="D583" t="str">
        <f ca="1">srt!C582</f>
        <v>谢谢大家的观看。</v>
      </c>
    </row>
    <row r="584" spans="4:4" x14ac:dyDescent="0.3">
      <c r="D584">
        <f>srt!C583</f>
        <v>0</v>
      </c>
    </row>
    <row r="585" spans="4:4" x14ac:dyDescent="0.3">
      <c r="D585">
        <f>srt!C584</f>
        <v>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4064E-AB53-4164-AB9D-8A4362AFF68A}">
  <sheetPr codeName="Sheet2"/>
  <dimension ref="A1:L168"/>
  <sheetViews>
    <sheetView workbookViewId="0">
      <selection activeCell="C17" sqref="C17"/>
    </sheetView>
  </sheetViews>
  <sheetFormatPr defaultRowHeight="14" x14ac:dyDescent="0.3"/>
  <cols>
    <col min="2" max="2" width="37.75" customWidth="1"/>
    <col min="3" max="4" width="11.75" style="1" bestFit="1" customWidth="1"/>
    <col min="5" max="6" width="11.58203125" customWidth="1"/>
  </cols>
  <sheetData>
    <row r="1" spans="1:12" x14ac:dyDescent="0.3">
      <c r="A1">
        <f ca="1">MATCH(ROW(),'B1'!H:H,0)</f>
        <v>3</v>
      </c>
      <c r="B1" t="str">
        <f ca="1">OFFSET('B1'!I$1,'B2'!$A1-1,0)</f>
        <v>在上集视频的首行叠加法中，有小伙伴对按钮和灯的递推仍有疑问。</v>
      </c>
      <c r="C1" s="1">
        <f ca="1">OFFSET('B1'!J$1,'B2'!$A1-1,0)</f>
        <v>1.3888888888888887E-6</v>
      </c>
      <c r="D1" s="1">
        <f ca="1">OFFSET('B1'!K$1,'B2'!$A1-1,0)</f>
        <v>7.8703703703703702E-5</v>
      </c>
      <c r="E1" t="str">
        <f ca="1">LEFT($B1,10)</f>
        <v>在上集视频的首行叠加</v>
      </c>
      <c r="F1" t="str">
        <f t="shared" ref="F1:F64" ca="1" si="0">LEFT($B1,4)</f>
        <v>在上集视</v>
      </c>
      <c r="G1" t="str">
        <f ca="1">LEFT($B1,2)</f>
        <v>在上</v>
      </c>
      <c r="H1" t="str">
        <f ca="1">RIGHT($B1,12)</f>
        <v>按钮和灯的递推仍有疑问。</v>
      </c>
      <c r="I1" t="str">
        <f ca="1">RIGHT($B1,12)</f>
        <v>按钮和灯的递推仍有疑问。</v>
      </c>
      <c r="J1" t="str">
        <f ca="1">RIGHT($B1,12)</f>
        <v>按钮和灯的递推仍有疑问。</v>
      </c>
      <c r="K1" t="str">
        <f ca="1">RIGHT($B1,5)</f>
        <v>仍有疑问。</v>
      </c>
      <c r="L1" t="str">
        <f ca="1">RIGHT($B1,3)</f>
        <v>疑问。</v>
      </c>
    </row>
    <row r="2" spans="1:12" x14ac:dyDescent="0.3">
      <c r="A2">
        <f ca="1">MATCH(ROW(),'B1'!H:H,0)</f>
        <v>4</v>
      </c>
      <c r="B2" t="str">
        <f ca="1">OFFSET('B1'!I$1,'B2'!$A2-1,0)</f>
        <v>这次我们来讲清楚这个递推公式是怎么来的。</v>
      </c>
      <c r="C2" s="1">
        <f ca="1">OFFSET('B1'!J$1,'B2'!$A2-1,0)</f>
        <v>7.9629629629629622E-5</v>
      </c>
      <c r="D2" s="1">
        <f ca="1">OFFSET('B1'!K$1,'B2'!$A2-1,0)</f>
        <v>1.4444444444444444E-4</v>
      </c>
      <c r="E2" t="str">
        <f t="shared" ref="E2:E65" ca="1" si="1">LEFT($B2,10)</f>
        <v>这次我们来讲清楚这个</v>
      </c>
      <c r="F2" t="str">
        <f t="shared" ca="1" si="0"/>
        <v>这次我们</v>
      </c>
      <c r="G2" t="str">
        <f t="shared" ref="G2:G65" ca="1" si="2">LEFT($B2,2)</f>
        <v>这次</v>
      </c>
      <c r="H2" t="str">
        <f t="shared" ref="H2:J65" ca="1" si="3">RIGHT($B2,12)</f>
        <v>这个递推公式是怎么来的。</v>
      </c>
      <c r="I2" t="str">
        <f t="shared" ca="1" si="3"/>
        <v>这个递推公式是怎么来的。</v>
      </c>
      <c r="J2" t="str">
        <f t="shared" ca="1" si="3"/>
        <v>这个递推公式是怎么来的。</v>
      </c>
      <c r="K2" t="str">
        <f t="shared" ref="K2:K65" ca="1" si="4">RIGHT($B2,5)</f>
        <v>怎么来的。</v>
      </c>
      <c r="L2" t="str">
        <f t="shared" ref="L2:L65" ca="1" si="5">RIGHT($B2,3)</f>
        <v>来的。</v>
      </c>
    </row>
    <row r="3" spans="1:12" x14ac:dyDescent="0.3">
      <c r="A3">
        <f ca="1">MATCH(ROW(),'B1'!H:H,0)</f>
        <v>7</v>
      </c>
      <c r="B3" t="str">
        <f ca="1">OFFSET('B1'!I$1,'B2'!$A3-1,0)</f>
        <v>我们用B代表按钮，L代表灯加代表叠加，非代表翻转。</v>
      </c>
      <c r="C3" s="1">
        <f ca="1">OFFSET('B1'!J$1,'B2'!$A3-1,0)</f>
        <v>1.4583333333333332E-4</v>
      </c>
      <c r="D3" s="1">
        <f ca="1">OFFSET('B1'!K$1,'B2'!$A3-1,0)</f>
        <v>2.3564814814814813E-4</v>
      </c>
      <c r="E3" t="str">
        <f t="shared" ca="1" si="1"/>
        <v>我们用B代表按钮，L</v>
      </c>
      <c r="F3" t="str">
        <f t="shared" ca="1" si="0"/>
        <v>我们用B</v>
      </c>
      <c r="G3" t="str">
        <f t="shared" ca="1" si="2"/>
        <v>我们</v>
      </c>
      <c r="H3" t="str">
        <f t="shared" ca="1" si="3"/>
        <v>加代表叠加，非代表翻转。</v>
      </c>
      <c r="I3" t="str">
        <f t="shared" ca="1" si="3"/>
        <v>加代表叠加，非代表翻转。</v>
      </c>
      <c r="J3" t="str">
        <f t="shared" ca="1" si="3"/>
        <v>加代表叠加，非代表翻转。</v>
      </c>
      <c r="K3" t="str">
        <f t="shared" ca="1" si="4"/>
        <v>代表翻转。</v>
      </c>
      <c r="L3" t="str">
        <f t="shared" ca="1" si="5"/>
        <v>翻转。</v>
      </c>
    </row>
    <row r="4" spans="1:12" x14ac:dyDescent="0.3">
      <c r="A4">
        <f ca="1">MATCH(ROW(),'B1'!H:H,0)</f>
        <v>10</v>
      </c>
      <c r="B4" t="str">
        <f ca="1">OFFSET('B1'!I$1,'B2'!$A4-1,0)</f>
        <v>N代表从上到下第n行按钮或灯，因为我们是一行行进行推导的，N也代表第n次推导。</v>
      </c>
      <c r="C4" s="1">
        <f ca="1">OFFSET('B1'!J$1,'B2'!$A4-1,0)</f>
        <v>2.375E-4</v>
      </c>
      <c r="D4" s="1">
        <f ca="1">OFFSET('B1'!K$1,'B2'!$A4-1,0)</f>
        <v>2.8287037037037039E-4</v>
      </c>
      <c r="E4" t="str">
        <f t="shared" ca="1" si="1"/>
        <v>N代表从上到下第n行</v>
      </c>
      <c r="F4" t="str">
        <f t="shared" ca="1" si="0"/>
        <v>N代表从</v>
      </c>
      <c r="G4" t="str">
        <f t="shared" ca="1" si="2"/>
        <v>N代</v>
      </c>
      <c r="H4" t="str">
        <f t="shared" ca="1" si="3"/>
        <v>的，N也代表第n次推导。</v>
      </c>
      <c r="I4" t="str">
        <f t="shared" ca="1" si="3"/>
        <v>的，N也代表第n次推导。</v>
      </c>
      <c r="J4" t="str">
        <f t="shared" ca="1" si="3"/>
        <v>的，N也代表第n次推导。</v>
      </c>
      <c r="K4" t="str">
        <f t="shared" ca="1" si="4"/>
        <v>n次推导。</v>
      </c>
      <c r="L4" t="str">
        <f t="shared" ca="1" si="5"/>
        <v>推导。</v>
      </c>
    </row>
    <row r="5" spans="1:12" x14ac:dyDescent="0.3">
      <c r="A5">
        <f ca="1">MATCH(ROW(),'B1'!H:H,0)</f>
        <v>13</v>
      </c>
      <c r="B5" t="str">
        <f ca="1">OFFSET('B1'!I$1,'B2'!$A5-1,0)</f>
        <v>X代表从左到右第X列按钮，我们将灯表示为第一行的某几个列的按钮的叠加，这里的X布局限于第一行。</v>
      </c>
      <c r="C5" s="1">
        <f ca="1">OFFSET('B1'!J$1,'B2'!$A5-1,0)</f>
        <v>2.8333333333333335E-4</v>
      </c>
      <c r="D5" s="1">
        <f ca="1">OFFSET('B1'!K$1,'B2'!$A5-1,0)</f>
        <v>3.5555555555555552E-4</v>
      </c>
      <c r="E5" t="str">
        <f t="shared" ca="1" si="1"/>
        <v>X代表从左到右第X列</v>
      </c>
      <c r="F5" t="str">
        <f t="shared" ca="1" si="0"/>
        <v>X代表从</v>
      </c>
      <c r="G5" t="str">
        <f t="shared" ca="1" si="2"/>
        <v>X代</v>
      </c>
      <c r="H5" t="str">
        <f t="shared" ca="1" si="3"/>
        <v>这里的X布局限于第一行。</v>
      </c>
      <c r="I5" t="str">
        <f t="shared" ca="1" si="3"/>
        <v>这里的X布局限于第一行。</v>
      </c>
      <c r="J5" t="str">
        <f t="shared" ca="1" si="3"/>
        <v>这里的X布局限于第一行。</v>
      </c>
      <c r="K5" t="str">
        <f t="shared" ca="1" si="4"/>
        <v>于第一行。</v>
      </c>
      <c r="L5" t="str">
        <f t="shared" ca="1" si="5"/>
        <v>一行。</v>
      </c>
    </row>
    <row r="6" spans="1:12" x14ac:dyDescent="0.3">
      <c r="A6">
        <f ca="1">MATCH(ROW(),'B1'!H:H,0)</f>
        <v>16</v>
      </c>
      <c r="B6" t="str">
        <f ca="1">OFFSET('B1'!I$1,'B2'!$A6-1,0)</f>
        <v>Y代表从左到右DY列灯，这里的公式对任意DY格灯都满足，所以省去了Y。</v>
      </c>
      <c r="C6" s="1">
        <f ca="1">OFFSET('B1'!J$1,'B2'!$A6-1,0)</f>
        <v>3.5555555555555552E-4</v>
      </c>
      <c r="D6" s="1">
        <f ca="1">OFFSET('B1'!K$1,'B2'!$A6-1,0)</f>
        <v>4.3888888888888889E-4</v>
      </c>
      <c r="E6" t="str">
        <f t="shared" ca="1" si="1"/>
        <v>Y代表从左到右DY列</v>
      </c>
      <c r="F6" t="str">
        <f t="shared" ca="1" si="0"/>
        <v>Y代表从</v>
      </c>
      <c r="G6" t="str">
        <f t="shared" ca="1" si="2"/>
        <v>Y代</v>
      </c>
      <c r="H6" t="str">
        <f t="shared" ca="1" si="3"/>
        <v>灯都满足，所以省去了Y。</v>
      </c>
      <c r="I6" t="str">
        <f t="shared" ca="1" si="3"/>
        <v>灯都满足，所以省去了Y。</v>
      </c>
      <c r="J6" t="str">
        <f t="shared" ca="1" si="3"/>
        <v>灯都满足，所以省去了Y。</v>
      </c>
      <c r="K6" t="str">
        <f t="shared" ca="1" si="4"/>
        <v>省去了Y。</v>
      </c>
      <c r="L6" t="str">
        <f t="shared" ca="1" si="5"/>
        <v>了Y。</v>
      </c>
    </row>
    <row r="7" spans="1:12" x14ac:dyDescent="0.3">
      <c r="A7">
        <f ca="1">MATCH(ROW(),'B1'!H:H,0)</f>
        <v>20</v>
      </c>
      <c r="B7" t="str">
        <f ca="1">OFFSET('B1'!I$1,'B2'!$A7-1,0)</f>
        <v>在这里，粉色圆点是用按钮表示按钮，淡蓝色方块是用按钮表示灯，而在上集视频中。</v>
      </c>
      <c r="C7" s="1">
        <f ca="1">OFFSET('B1'!J$1,'B2'!$A7-1,0)</f>
        <v>4.3888888888888889E-4</v>
      </c>
      <c r="D7" s="1">
        <f ca="1">OFFSET('B1'!K$1,'B2'!$A7-1,0)</f>
        <v>5.7453703703703703E-4</v>
      </c>
      <c r="E7" t="str">
        <f t="shared" ca="1" si="1"/>
        <v>在这里，粉色圆点是用</v>
      </c>
      <c r="F7" t="str">
        <f t="shared" ca="1" si="0"/>
        <v>在这里，</v>
      </c>
      <c r="G7" t="str">
        <f t="shared" ca="1" si="2"/>
        <v>在这</v>
      </c>
      <c r="H7" t="str">
        <f t="shared" ca="1" si="3"/>
        <v>表示灯，而在上集视频中。</v>
      </c>
      <c r="I7" t="str">
        <f t="shared" ca="1" si="3"/>
        <v>表示灯，而在上集视频中。</v>
      </c>
      <c r="J7" t="str">
        <f t="shared" ca="1" si="3"/>
        <v>表示灯，而在上集视频中。</v>
      </c>
      <c r="K7" t="str">
        <f t="shared" ca="1" si="4"/>
        <v>集视频中。</v>
      </c>
      <c r="L7" t="str">
        <f t="shared" ca="1" si="5"/>
        <v>频中。</v>
      </c>
    </row>
    <row r="8" spans="1:12" x14ac:dyDescent="0.3">
      <c r="A8">
        <f ca="1">MATCH(ROW(),'B1'!H:H,0)</f>
        <v>30</v>
      </c>
      <c r="B8" t="str">
        <f ca="1">OFFSET('B1'!I$1,'B2'!$A8-1,0)</f>
        <v>因为最终目标是将灯用按钮表示，因此省去了按钮表示按钮，粉色圆点直接是按钮表示灯，让我们举一个具体的例子，在5乘5的格子中，我们将按钮和灯编号为1到25，在叠加法中，我们将灯表示为所有按钮的叠加，例如L1等于B1加B2加B6，L6等于B1加B6加B7加B11。</v>
      </c>
      <c r="C8" s="1">
        <f ca="1">OFFSET('B1'!J$1,'B2'!$A8-1,0)</f>
        <v>5.7499999999999999E-4</v>
      </c>
      <c r="D8" s="1">
        <f ca="1">OFFSET('B1'!K$1,'B2'!$A8-1,0)</f>
        <v>9.00925925925926E-4</v>
      </c>
      <c r="E8" t="str">
        <f t="shared" ca="1" si="1"/>
        <v>因为最终目标是将灯用</v>
      </c>
      <c r="F8" t="str">
        <f t="shared" ca="1" si="0"/>
        <v>因为最终</v>
      </c>
      <c r="G8" t="str">
        <f t="shared" ca="1" si="2"/>
        <v>因为</v>
      </c>
      <c r="H8" t="str">
        <f t="shared" ca="1" si="3"/>
        <v>1加B6加B7加B11。</v>
      </c>
      <c r="I8" t="str">
        <f t="shared" ca="1" si="3"/>
        <v>1加B6加B7加B11。</v>
      </c>
      <c r="J8" t="str">
        <f t="shared" ca="1" si="3"/>
        <v>1加B6加B7加B11。</v>
      </c>
      <c r="K8" t="str">
        <f t="shared" ca="1" si="4"/>
        <v>加B11。</v>
      </c>
      <c r="L8" t="str">
        <f t="shared" ca="1" si="5"/>
        <v>11。</v>
      </c>
    </row>
    <row r="9" spans="1:12" x14ac:dyDescent="0.3">
      <c r="A9">
        <f ca="1">MATCH(ROW(),'B1'!H:H,0)</f>
        <v>32</v>
      </c>
      <c r="B9" t="str">
        <f ca="1">OFFSET('B1'!I$1,'B2'!$A9-1,0)</f>
        <v>通过这种方法，我们得到了25个未知数的一次方程组。</v>
      </c>
      <c r="C9" s="1">
        <f ca="1">OFFSET('B1'!J$1,'B2'!$A9-1,0)</f>
        <v>9.032407407407407E-4</v>
      </c>
      <c r="D9" s="1">
        <f ca="1">OFFSET('B1'!K$1,'B2'!$A9-1,0)</f>
        <v>1.0050925925925926E-3</v>
      </c>
      <c r="E9" t="str">
        <f t="shared" ca="1" si="1"/>
        <v>通过这种方法，我们得</v>
      </c>
      <c r="F9" t="str">
        <f t="shared" ca="1" si="0"/>
        <v>通过这种</v>
      </c>
      <c r="G9" t="str">
        <f t="shared" ca="1" si="2"/>
        <v>通过</v>
      </c>
      <c r="H9" t="str">
        <f t="shared" ca="1" si="3"/>
        <v>5个未知数的一次方程组。</v>
      </c>
      <c r="I9" t="str">
        <f t="shared" ca="1" si="3"/>
        <v>5个未知数的一次方程组。</v>
      </c>
      <c r="J9" t="str">
        <f t="shared" ca="1" si="3"/>
        <v>5个未知数的一次方程组。</v>
      </c>
      <c r="K9" t="str">
        <f t="shared" ca="1" si="4"/>
        <v>次方程组。</v>
      </c>
      <c r="L9" t="str">
        <f t="shared" ca="1" si="5"/>
        <v>程组。</v>
      </c>
    </row>
    <row r="10" spans="1:12" x14ac:dyDescent="0.3">
      <c r="A10">
        <f ca="1">MATCH(ROW(),'B1'!H:H,0)</f>
        <v>34</v>
      </c>
      <c r="B10" t="str">
        <f ca="1">OFFSET('B1'!I$1,'B2'!$A10-1,0)</f>
        <v>我们将其写成增广矩阵，也就是按钮矩阵和翻转向量及灯向量的形式。</v>
      </c>
      <c r="C10" s="1">
        <f ca="1">OFFSET('B1'!J$1,'B2'!$A10-1,0)</f>
        <v>1.0060185185185185E-3</v>
      </c>
      <c r="D10" s="1">
        <f ca="1">OFFSET('B1'!K$1,'B2'!$A10-1,0)</f>
        <v>1.1185185185185185E-3</v>
      </c>
      <c r="E10" t="str">
        <f t="shared" ca="1" si="1"/>
        <v>我们将其写成增广矩阵</v>
      </c>
      <c r="F10" t="str">
        <f t="shared" ca="1" si="0"/>
        <v>我们将其</v>
      </c>
      <c r="G10" t="str">
        <f t="shared" ca="1" si="2"/>
        <v>我们</v>
      </c>
      <c r="H10" t="str">
        <f t="shared" ca="1" si="3"/>
        <v>翻转向量及灯向量的形式。</v>
      </c>
      <c r="I10" t="str">
        <f t="shared" ca="1" si="3"/>
        <v>翻转向量及灯向量的形式。</v>
      </c>
      <c r="J10" t="str">
        <f t="shared" ca="1" si="3"/>
        <v>翻转向量及灯向量的形式。</v>
      </c>
      <c r="K10" t="str">
        <f t="shared" ca="1" si="4"/>
        <v>量的形式。</v>
      </c>
      <c r="L10" t="str">
        <f t="shared" ca="1" si="5"/>
        <v>形式。</v>
      </c>
    </row>
    <row r="11" spans="1:12" x14ac:dyDescent="0.3">
      <c r="A11">
        <f ca="1">MATCH(ROW(),'B1'!H:H,0)</f>
        <v>36</v>
      </c>
      <c r="B11" t="str">
        <f ca="1">OFFSET('B1'!I$1,'B2'!$A11-1,0)</f>
        <v>而在首行叠加法中，我们需要把灯表示为第一行按钮的叠加。</v>
      </c>
      <c r="C11" s="1">
        <f ca="1">OFFSET('B1'!J$1,'B2'!$A11-1,0)</f>
        <v>1.1185185185185185E-3</v>
      </c>
      <c r="D11" s="1">
        <f ca="1">OFFSET('B1'!K$1,'B2'!$A11-1,0)</f>
        <v>1.1675925925925925E-3</v>
      </c>
      <c r="E11" t="str">
        <f t="shared" ca="1" si="1"/>
        <v>而在首行叠加法中，我</v>
      </c>
      <c r="F11" t="str">
        <f t="shared" ca="1" si="0"/>
        <v>而在首行</v>
      </c>
      <c r="G11" t="str">
        <f t="shared" ca="1" si="2"/>
        <v>而在</v>
      </c>
      <c r="H11" t="str">
        <f t="shared" ca="1" si="3"/>
        <v>表示为第一行按钮的叠加。</v>
      </c>
      <c r="I11" t="str">
        <f t="shared" ca="1" si="3"/>
        <v>表示为第一行按钮的叠加。</v>
      </c>
      <c r="J11" t="str">
        <f t="shared" ca="1" si="3"/>
        <v>表示为第一行按钮的叠加。</v>
      </c>
      <c r="K11" t="str">
        <f t="shared" ca="1" si="4"/>
        <v>钮的叠加。</v>
      </c>
      <c r="L11" t="str">
        <f t="shared" ca="1" si="5"/>
        <v>叠加。</v>
      </c>
    </row>
    <row r="12" spans="1:12" x14ac:dyDescent="0.3">
      <c r="A12">
        <f ca="1">MATCH(ROW(),'B1'!H:H,0)</f>
        <v>37</v>
      </c>
      <c r="B12" t="str">
        <f ca="1">OFFSET('B1'!I$1,'B2'!$A12-1,0)</f>
        <v>这里的五个矩阵分别代表第Y列是由第一行的哪几个按钮叠加的。</v>
      </c>
      <c r="C12" s="1">
        <f ca="1">OFFSET('B1'!J$1,'B2'!$A12-1,0)</f>
        <v>1.1685185185185186E-3</v>
      </c>
      <c r="D12" s="1">
        <f ca="1">OFFSET('B1'!K$1,'B2'!$A12-1,0)</f>
        <v>1.1981481481481483E-3</v>
      </c>
      <c r="E12" t="str">
        <f t="shared" ca="1" si="1"/>
        <v>这里的五个矩阵分别代</v>
      </c>
      <c r="F12" t="str">
        <f t="shared" ca="1" si="0"/>
        <v>这里的五</v>
      </c>
      <c r="G12" t="str">
        <f t="shared" ca="1" si="2"/>
        <v>这里</v>
      </c>
      <c r="H12" t="str">
        <f t="shared" ca="1" si="3"/>
        <v>一行的哪几个按钮叠加的。</v>
      </c>
      <c r="I12" t="str">
        <f t="shared" ca="1" si="3"/>
        <v>一行的哪几个按钮叠加的。</v>
      </c>
      <c r="J12" t="str">
        <f t="shared" ca="1" si="3"/>
        <v>一行的哪几个按钮叠加的。</v>
      </c>
      <c r="K12" t="str">
        <f t="shared" ca="1" si="4"/>
        <v>钮叠加的。</v>
      </c>
      <c r="L12" t="str">
        <f t="shared" ca="1" si="5"/>
        <v>加的。</v>
      </c>
    </row>
    <row r="13" spans="1:12" x14ac:dyDescent="0.3">
      <c r="A13">
        <f ca="1">MATCH(ROW(),'B1'!H:H,0)</f>
        <v>39</v>
      </c>
      <c r="B13" t="str">
        <f ca="1">OFFSET('B1'!I$1,'B2'!$A13-1,0)</f>
        <v>由于按法是动态的，当第二行按钮还未被按下时。</v>
      </c>
      <c r="C13" s="1">
        <f ca="1">OFFSET('B1'!J$1,'B2'!$A13-1,0)</f>
        <v>1.1986111111111112E-3</v>
      </c>
      <c r="D13" s="1">
        <f ca="1">OFFSET('B1'!K$1,'B2'!$A13-1,0)</f>
        <v>1.2296296296296298E-3</v>
      </c>
      <c r="E13" t="str">
        <f t="shared" ca="1" si="1"/>
        <v>由于按法是动态的，当</v>
      </c>
      <c r="F13" t="str">
        <f t="shared" ca="1" si="0"/>
        <v>由于按法</v>
      </c>
      <c r="G13" t="str">
        <f t="shared" ca="1" si="2"/>
        <v>由于</v>
      </c>
      <c r="H13" t="str">
        <f t="shared" ca="1" si="3"/>
        <v>第二行按钮还未被按下时。</v>
      </c>
      <c r="I13" t="str">
        <f t="shared" ca="1" si="3"/>
        <v>第二行按钮还未被按下时。</v>
      </c>
      <c r="J13" t="str">
        <f t="shared" ca="1" si="3"/>
        <v>第二行按钮还未被按下时。</v>
      </c>
      <c r="K13" t="str">
        <f t="shared" ca="1" si="4"/>
        <v>被按下时。</v>
      </c>
      <c r="L13" t="str">
        <f t="shared" ca="1" si="5"/>
        <v>下时。</v>
      </c>
    </row>
    <row r="14" spans="1:12" x14ac:dyDescent="0.3">
      <c r="A14">
        <f ca="1">MATCH(ROW(),'B1'!H:H,0)</f>
        <v>46</v>
      </c>
      <c r="B14" t="str">
        <f ca="1">OFFSET('B1'!I$1,'B2'!$A14-1,0)</f>
        <v>L1等于B1加B2，即第一个灯L1是由第一行的第一第二个按钮B1B2叠加的，然后B6等于非L1等于非B1加B2，即第六个按钮B6是第一个灯L1的翻转，因此第二行按钮B6和第一行灯L1的叠加状态是相同的，只不过B6是L1的翻转，而旁边的向量。</v>
      </c>
      <c r="C14" s="1">
        <f ca="1">OFFSET('B1'!J$1,'B2'!$A14-1,0)</f>
        <v>1.2319444444444444E-3</v>
      </c>
      <c r="D14" s="1">
        <f ca="1">OFFSET('B1'!K$1,'B2'!$A14-1,0)</f>
        <v>1.4375E-3</v>
      </c>
      <c r="E14" t="str">
        <f t="shared" ca="1" si="1"/>
        <v>L1等于B1加B2，</v>
      </c>
      <c r="F14" t="str">
        <f t="shared" ca="1" si="0"/>
        <v>L1等于</v>
      </c>
      <c r="G14" t="str">
        <f t="shared" ca="1" si="2"/>
        <v>L1</v>
      </c>
      <c r="H14" t="str">
        <f t="shared" ca="1" si="3"/>
        <v>1的翻转，而旁边的向量。</v>
      </c>
      <c r="I14" t="str">
        <f t="shared" ca="1" si="3"/>
        <v>1的翻转，而旁边的向量。</v>
      </c>
      <c r="J14" t="str">
        <f t="shared" ca="1" si="3"/>
        <v>1的翻转，而旁边的向量。</v>
      </c>
      <c r="K14" t="str">
        <f t="shared" ca="1" si="4"/>
        <v>边的向量。</v>
      </c>
      <c r="L14" t="str">
        <f t="shared" ca="1" si="5"/>
        <v>向量。</v>
      </c>
    </row>
    <row r="15" spans="1:12" x14ac:dyDescent="0.3">
      <c r="A15">
        <f ca="1">MATCH(ROW(),'B1'!H:H,0)</f>
        <v>50</v>
      </c>
      <c r="B15" t="str">
        <f ca="1">OFFSET('B1'!I$1,'B2'!$A15-1,0)</f>
        <v>代表的就是按钮或灯有没有翻转，例如当第一个向量的第一个灯L1亮起时，表示L1除了由刚才说的按钮叠加外，还需要翻转才是正确的状态。</v>
      </c>
      <c r="C15" s="1">
        <f ca="1">OFFSET('B1'!J$1,'B2'!$A15-1,0)</f>
        <v>1.4384259259259259E-3</v>
      </c>
      <c r="D15" s="1">
        <f ca="1">OFFSET('B1'!K$1,'B2'!$A15-1,0)</f>
        <v>1.5476851851851851E-3</v>
      </c>
      <c r="E15" t="str">
        <f t="shared" ca="1" si="1"/>
        <v>代表的就是按钮或灯有</v>
      </c>
      <c r="F15" t="str">
        <f t="shared" ca="1" si="0"/>
        <v>代表的就</v>
      </c>
      <c r="G15" t="str">
        <f t="shared" ca="1" si="2"/>
        <v>代表</v>
      </c>
      <c r="H15" t="str">
        <f t="shared" ca="1" si="3"/>
        <v>需要翻转才是正确的状态。</v>
      </c>
      <c r="I15" t="str">
        <f t="shared" ca="1" si="3"/>
        <v>需要翻转才是正确的状态。</v>
      </c>
      <c r="J15" t="str">
        <f t="shared" ca="1" si="3"/>
        <v>需要翻转才是正确的状态。</v>
      </c>
      <c r="K15" t="str">
        <f t="shared" ca="1" si="4"/>
        <v>确的状态。</v>
      </c>
      <c r="L15" t="str">
        <f t="shared" ca="1" si="5"/>
        <v>状态。</v>
      </c>
    </row>
    <row r="16" spans="1:12" x14ac:dyDescent="0.3">
      <c r="A16">
        <f ca="1">MATCH(ROW(),'B1'!H:H,0)</f>
        <v>53</v>
      </c>
      <c r="B16" t="str">
        <f ca="1">OFFSET('B1'!I$1,'B2'!$A16-1,0)</f>
        <v>同理，B7等于非L2等于非B1加B2加B3，即第七个按钮B7是第二个灯L2的翻转。</v>
      </c>
      <c r="C16" s="1">
        <f ca="1">OFFSET('B1'!J$1,'B2'!$A16-1,0)</f>
        <v>1.5476851851851851E-3</v>
      </c>
      <c r="D16" s="1">
        <f ca="1">OFFSET('B1'!K$1,'B2'!$A16-1,0)</f>
        <v>1.6319444444444445E-3</v>
      </c>
      <c r="E16" t="str">
        <f t="shared" ca="1" si="1"/>
        <v>同理，B7等于非L2</v>
      </c>
      <c r="F16" t="str">
        <f t="shared" ca="1" si="0"/>
        <v>同理，B</v>
      </c>
      <c r="G16" t="str">
        <f t="shared" ca="1" si="2"/>
        <v>同理</v>
      </c>
      <c r="H16" t="str">
        <f t="shared" ca="1" si="3"/>
        <v>7是第二个灯L2的翻转。</v>
      </c>
      <c r="I16" t="str">
        <f t="shared" ca="1" si="3"/>
        <v>7是第二个灯L2的翻转。</v>
      </c>
      <c r="J16" t="str">
        <f t="shared" ca="1" si="3"/>
        <v>7是第二个灯L2的翻转。</v>
      </c>
      <c r="K16" t="str">
        <f t="shared" ca="1" si="4"/>
        <v>2的翻转。</v>
      </c>
      <c r="L16" t="str">
        <f t="shared" ca="1" si="5"/>
        <v>翻转。</v>
      </c>
    </row>
    <row r="17" spans="1:12" x14ac:dyDescent="0.3">
      <c r="A17">
        <f ca="1">MATCH(ROW(),'B1'!H:H,0)</f>
        <v>55</v>
      </c>
      <c r="B17" t="str">
        <f ca="1">OFFSET('B1'!I$1,'B2'!$A17-1,0)</f>
        <v>同样，第二行的按钮B7和第一行灯L2的叠加状态是相同的。</v>
      </c>
      <c r="C17" s="1">
        <f ca="1">OFFSET('B1'!J$1,'B2'!$A17-1,0)</f>
        <v>1.6328703703703702E-3</v>
      </c>
      <c r="D17" s="1">
        <f ca="1">OFFSET('B1'!K$1,'B2'!$A17-1,0)</f>
        <v>1.6782407407407408E-3</v>
      </c>
      <c r="E17" t="str">
        <f t="shared" ca="1" si="1"/>
        <v>同样，第二行的按钮B</v>
      </c>
      <c r="F17" t="str">
        <f t="shared" ca="1" si="0"/>
        <v>同样，第</v>
      </c>
      <c r="G17" t="str">
        <f t="shared" ca="1" si="2"/>
        <v>同样</v>
      </c>
      <c r="H17" t="str">
        <f t="shared" ca="1" si="3"/>
        <v>L2的叠加状态是相同的。</v>
      </c>
      <c r="I17" t="str">
        <f t="shared" ca="1" si="3"/>
        <v>L2的叠加状态是相同的。</v>
      </c>
      <c r="J17" t="str">
        <f t="shared" ca="1" si="3"/>
        <v>L2的叠加状态是相同的。</v>
      </c>
      <c r="K17" t="str">
        <f t="shared" ca="1" si="4"/>
        <v>是相同的。</v>
      </c>
      <c r="L17" t="str">
        <f t="shared" ca="1" si="5"/>
        <v>同的。</v>
      </c>
    </row>
    <row r="18" spans="1:12" x14ac:dyDescent="0.3">
      <c r="A18">
        <f ca="1">MATCH(ROW(),'B1'!H:H,0)</f>
        <v>58</v>
      </c>
      <c r="B18" t="str">
        <f ca="1">OFFSET('B1'!I$1,'B2'!$A18-1,0)</f>
        <v>这里我们将第一个按钮B1的状态补全，将B1用第一行的按钮叠加时，有B1等于B1。</v>
      </c>
      <c r="C18" s="1">
        <f ca="1">OFFSET('B1'!J$1,'B2'!$A18-1,0)</f>
        <v>1.6787037037037035E-3</v>
      </c>
      <c r="D18" s="1">
        <f ca="1">OFFSET('B1'!K$1,'B2'!$A18-1,0)</f>
        <v>1.7518518518518521E-3</v>
      </c>
      <c r="E18" t="str">
        <f t="shared" ca="1" si="1"/>
        <v>这里我们将第一个按钮</v>
      </c>
      <c r="F18" t="str">
        <f t="shared" ca="1" si="0"/>
        <v>这里我们</v>
      </c>
      <c r="G18" t="str">
        <f t="shared" ca="1" si="2"/>
        <v>这里</v>
      </c>
      <c r="H18" t="str">
        <f t="shared" ca="1" si="3"/>
        <v>叠加时，有B1等于B1。</v>
      </c>
      <c r="I18" t="str">
        <f t="shared" ca="1" si="3"/>
        <v>叠加时，有B1等于B1。</v>
      </c>
      <c r="J18" t="str">
        <f t="shared" ca="1" si="3"/>
        <v>叠加时，有B1等于B1。</v>
      </c>
      <c r="K18" t="str">
        <f t="shared" ca="1" si="4"/>
        <v>等于B1。</v>
      </c>
      <c r="L18" t="str">
        <f t="shared" ca="1" si="5"/>
        <v>B1。</v>
      </c>
    </row>
    <row r="19" spans="1:12" x14ac:dyDescent="0.3">
      <c r="A19">
        <f ca="1">MATCH(ROW(),'B1'!H:H,0)</f>
        <v>61</v>
      </c>
      <c r="B19" t="str">
        <f ca="1">OFFSET('B1'!I$1,'B2'!$A19-1,0)</f>
        <v>接下来我们来看第六个灯L6等于B1加B6加B7等于B1加B1加B2加B1加B2加B3等于B1加B3，又比如。</v>
      </c>
      <c r="C19" s="1">
        <f ca="1">OFFSET('B1'!J$1,'B2'!$A19-1,0)</f>
        <v>1.7527777777777778E-3</v>
      </c>
      <c r="D19" s="1">
        <f ca="1">OFFSET('B1'!K$1,'B2'!$A19-1,0)</f>
        <v>1.8074074074074073E-3</v>
      </c>
      <c r="E19" t="str">
        <f t="shared" ca="1" si="1"/>
        <v>接下来我们来看第六个</v>
      </c>
      <c r="F19" t="str">
        <f t="shared" ca="1" si="0"/>
        <v>接下来我</v>
      </c>
      <c r="G19" t="str">
        <f t="shared" ca="1" si="2"/>
        <v>接下</v>
      </c>
      <c r="H19" t="str">
        <f t="shared" ca="1" si="3"/>
        <v>等于B1加B3，又比如。</v>
      </c>
      <c r="I19" t="str">
        <f t="shared" ca="1" si="3"/>
        <v>等于B1加B3，又比如。</v>
      </c>
      <c r="J19" t="str">
        <f t="shared" ca="1" si="3"/>
        <v>等于B1加B3，又比如。</v>
      </c>
      <c r="K19" t="str">
        <f t="shared" ca="1" si="4"/>
        <v>，又比如。</v>
      </c>
      <c r="L19" t="str">
        <f t="shared" ca="1" si="5"/>
        <v>比如。</v>
      </c>
    </row>
    <row r="20" spans="1:12" x14ac:dyDescent="0.3">
      <c r="A20">
        <f ca="1">MATCH(ROW(),'B1'!H:H,0)</f>
        <v>63</v>
      </c>
      <c r="B20" t="str">
        <f ca="1">OFFSET('B1'!I$1,'B2'!$A20-1,0)</f>
        <v>L7等于B2加B6加B7加B8等于B2加非B1加B2加非B1加B2加B3加非B2加B3加B4等于非B4。</v>
      </c>
      <c r="C20" s="1">
        <f ca="1">OFFSET('B1'!J$1,'B2'!$A20-1,0)</f>
        <v>1.8087962962962964E-3</v>
      </c>
      <c r="D20" s="1">
        <f ca="1">OFFSET('B1'!K$1,'B2'!$A20-1,0)</f>
        <v>1.8606481481481479E-3</v>
      </c>
      <c r="E20" t="str">
        <f t="shared" ca="1" si="1"/>
        <v>L7等于B2加B6加</v>
      </c>
      <c r="F20" t="str">
        <f t="shared" ca="1" si="0"/>
        <v>L7等于</v>
      </c>
      <c r="G20" t="str">
        <f t="shared" ca="1" si="2"/>
        <v>L7</v>
      </c>
      <c r="H20" t="str">
        <f t="shared" ca="1" si="3"/>
        <v>加B3加B4等于非B4。</v>
      </c>
      <c r="I20" t="str">
        <f ca="1">RIGHT($B20,9)</f>
        <v>加B4等于非B4。</v>
      </c>
      <c r="J20" t="str">
        <f ca="1">RIGHT($B20,7)</f>
        <v>4等于非B4。</v>
      </c>
      <c r="K20" t="str">
        <f t="shared" ca="1" si="4"/>
        <v>于非B4。</v>
      </c>
      <c r="L20" t="str">
        <f t="shared" ca="1" si="5"/>
        <v>B4。</v>
      </c>
    </row>
    <row r="21" spans="1:12" x14ac:dyDescent="0.3">
      <c r="A21">
        <f ca="1">MATCH(ROW(),'B1'!H:H,0)</f>
        <v>66</v>
      </c>
      <c r="B21" t="str">
        <f ca="1">OFFSET('B1'!I$1,'B2'!$A21-1,0)</f>
        <v>这样不断递推，我们可以将任意L表示为B1到B5的叠加，加上翻转后得到完整的矩阵。</v>
      </c>
      <c r="C21" s="1">
        <f ca="1">OFFSET('B1'!J$1,'B2'!$A21-1,0)</f>
        <v>1.8606481481481479E-3</v>
      </c>
      <c r="D21" s="1">
        <f ca="1">OFFSET('B1'!K$1,'B2'!$A21-1,0)</f>
        <v>1.9462962962962962E-3</v>
      </c>
      <c r="E21" t="str">
        <f t="shared" ca="1" si="1"/>
        <v>这样不断递推，我们可</v>
      </c>
      <c r="F21" t="str">
        <f t="shared" ca="1" si="0"/>
        <v>这样不断</v>
      </c>
      <c r="G21" t="str">
        <f t="shared" ca="1" si="2"/>
        <v>这样</v>
      </c>
      <c r="H21" t="str">
        <f t="shared" ca="1" si="3"/>
        <v>上翻转后得到完整的矩阵。</v>
      </c>
      <c r="I21" t="str">
        <f t="shared" ref="I21:I84" ca="1" si="6">RIGHT($B21,9)</f>
        <v>后得到完整的矩阵。</v>
      </c>
      <c r="J21" t="str">
        <f t="shared" ref="J21:J84" ca="1" si="7">RIGHT($B21,7)</f>
        <v>到完整的矩阵。</v>
      </c>
      <c r="K21" t="str">
        <f t="shared" ca="1" si="4"/>
        <v>整的矩阵。</v>
      </c>
      <c r="L21" t="str">
        <f t="shared" ca="1" si="5"/>
        <v>矩阵。</v>
      </c>
    </row>
    <row r="22" spans="1:12" x14ac:dyDescent="0.3">
      <c r="A22">
        <f ca="1">MATCH(ROW(),'B1'!H:H,0)</f>
        <v>68</v>
      </c>
      <c r="B22" t="str">
        <f ca="1">OFFSET('B1'!I$1,'B2'!$A22-1,0)</f>
        <v>现在如果我们把序号1到25用坐标X和Y表示，则按钮和灯可写为以上公式。</v>
      </c>
      <c r="C22" s="1">
        <f ca="1">OFFSET('B1'!J$1,'B2'!$A22-1,0)</f>
        <v>1.9462962962962962E-3</v>
      </c>
      <c r="D22" s="1">
        <f ca="1">OFFSET('B1'!K$1,'B2'!$A22-1,0)</f>
        <v>2.0083333333333333E-3</v>
      </c>
      <c r="E22" t="str">
        <f t="shared" ca="1" si="1"/>
        <v>现在如果我们把序号1</v>
      </c>
      <c r="F22" t="str">
        <f t="shared" ca="1" si="0"/>
        <v>现在如果</v>
      </c>
      <c r="G22" t="str">
        <f t="shared" ca="1" si="2"/>
        <v>现在</v>
      </c>
      <c r="H22" t="str">
        <f t="shared" ca="1" si="3"/>
        <v>按钮和灯可写为以上公式。</v>
      </c>
      <c r="I22" t="str">
        <f t="shared" ca="1" si="6"/>
        <v>灯可写为以上公式。</v>
      </c>
      <c r="J22" t="str">
        <f t="shared" ca="1" si="7"/>
        <v>写为以上公式。</v>
      </c>
      <c r="K22" t="str">
        <f t="shared" ca="1" si="4"/>
        <v>以上公式。</v>
      </c>
      <c r="L22" t="str">
        <f t="shared" ca="1" si="5"/>
        <v>公式。</v>
      </c>
    </row>
    <row r="23" spans="1:12" x14ac:dyDescent="0.3">
      <c r="A23">
        <f ca="1">MATCH(ROW(),'B1'!H:H,0)</f>
        <v>75</v>
      </c>
      <c r="B23" t="str">
        <f ca="1">OFFSET('B1'!I$1,'B2'!$A23-1,0)</f>
        <v>让我们以L72等于L222为例，这里我们的矩阵同时满足另一个性质，让我们称之为十字偶校验约束，某个元素的左右两个矩阵的对应位置的元素和元素所在矩阵左右两个元素的叠加后为零，这也就是上集视频中优化生成矩阵章节中的性质之后会给出证明，通过这个性质。</v>
      </c>
      <c r="C23" s="1">
        <f ca="1">OFFSET('B1'!J$1,'B2'!$A23-1,0)</f>
        <v>2.0097222222222222E-3</v>
      </c>
      <c r="D23" s="1">
        <f ca="1">OFFSET('B1'!K$1,'B2'!$A23-1,0)</f>
        <v>2.2259259259259259E-3</v>
      </c>
      <c r="E23" t="str">
        <f t="shared" ca="1" si="1"/>
        <v>让我们以L72等于L</v>
      </c>
      <c r="F23" t="str">
        <f t="shared" ca="1" si="0"/>
        <v>让我们以</v>
      </c>
      <c r="G23" t="str">
        <f t="shared" ca="1" si="2"/>
        <v>让我</v>
      </c>
      <c r="H23" t="str">
        <f t="shared" ca="1" si="3"/>
        <v>给出证明，通过这个性质。</v>
      </c>
      <c r="I23" t="str">
        <f t="shared" ca="1" si="6"/>
        <v>明，通过这个性质。</v>
      </c>
      <c r="J23" t="str">
        <f t="shared" ca="1" si="7"/>
        <v>通过这个性质。</v>
      </c>
      <c r="K23" t="str">
        <f t="shared" ca="1" si="4"/>
        <v>这个性质。</v>
      </c>
      <c r="L23" t="str">
        <f t="shared" ca="1" si="5"/>
        <v>性质。</v>
      </c>
    </row>
    <row r="24" spans="1:12" x14ac:dyDescent="0.3">
      <c r="A24">
        <f ca="1">MATCH(ROW(),'B1'!H:H,0)</f>
        <v>83</v>
      </c>
      <c r="B24" t="str">
        <f ca="1">OFFSET('B1'!I$1,'B2'!$A24-1,0)</f>
        <v>递推公式可化为只根据当前矩阵的元素来叠加，无需依赖于左右矩阵，因此我们可以在公式中去除外，于是灯可以表示为当前矩阵的上左中右的按钮的叠加，又因为后一行的按钮是前一行灯的翻转，而后一行的灯是上左中右的灯的翻转的叠加，如果把翻转飞提取出来，便有了一开始的推导公式。</v>
      </c>
      <c r="C24" s="1">
        <f ca="1">OFFSET('B1'!J$1,'B2'!$A24-1,0)</f>
        <v>2.2263888888888889E-3</v>
      </c>
      <c r="D24" s="1">
        <f ca="1">OFFSET('B1'!K$1,'B2'!$A24-1,0)</f>
        <v>2.4574074074074073E-3</v>
      </c>
      <c r="E24" t="str">
        <f t="shared" ca="1" si="1"/>
        <v>递推公式可化为只根据</v>
      </c>
      <c r="F24" t="str">
        <f t="shared" ca="1" si="0"/>
        <v>递推公式</v>
      </c>
      <c r="G24" t="str">
        <f t="shared" ca="1" si="2"/>
        <v>递推</v>
      </c>
      <c r="H24" t="str">
        <f t="shared" ca="1" si="3"/>
        <v>便有了一开始的推导公式。</v>
      </c>
      <c r="I24" t="str">
        <f t="shared" ca="1" si="6"/>
        <v>一开始的推导公式。</v>
      </c>
      <c r="J24" t="str">
        <f t="shared" ca="1" si="7"/>
        <v>始的推导公式。</v>
      </c>
      <c r="K24" t="str">
        <f t="shared" ca="1" si="4"/>
        <v>推导公式。</v>
      </c>
      <c r="L24" t="str">
        <f t="shared" ca="1" si="5"/>
        <v>公式。</v>
      </c>
    </row>
    <row r="25" spans="1:12" x14ac:dyDescent="0.3">
      <c r="A25">
        <f ca="1">MATCH(ROW(),'B1'!H:H,0)</f>
        <v>90</v>
      </c>
      <c r="B25" t="str">
        <f ca="1">OFFSET('B1'!I$1,'B2'!$A25-1,0)</f>
        <v>也就是按钮是前一行的左中右的按钮和上上行的按钮的叠加，以及灯是前一行的左中右的按钮和上上行的灯的叠加，可以注意到按钮和灯的递推公式具有相同的形式，这是因为前一行灯就是后一行按钮，因为最终需要推倒的是灯，因此灯是从按钮的第一行推到五行，因为最后一次推倒的是灯。</v>
      </c>
      <c r="C25" s="1">
        <f ca="1">OFFSET('B1'!J$1,'B2'!$A25-1,0)</f>
        <v>2.4578703703703707E-3</v>
      </c>
      <c r="D25" s="1">
        <f ca="1">OFFSET('B1'!K$1,'B2'!$A25-1,0)</f>
        <v>2.6398148148148145E-3</v>
      </c>
      <c r="E25" t="str">
        <f t="shared" ca="1" si="1"/>
        <v>也就是按钮是前一行的</v>
      </c>
      <c r="F25" t="str">
        <f t="shared" ca="1" si="0"/>
        <v>也就是按</v>
      </c>
      <c r="G25" t="str">
        <f t="shared" ca="1" si="2"/>
        <v>也就</v>
      </c>
      <c r="H25" t="str">
        <f t="shared" ca="1" si="3"/>
        <v>因为最后一次推倒的是灯。</v>
      </c>
      <c r="I25" t="str">
        <f t="shared" ca="1" si="6"/>
        <v>后一次推倒的是灯。</v>
      </c>
      <c r="J25" t="str">
        <f t="shared" ca="1" si="7"/>
        <v>次推倒的是灯。</v>
      </c>
      <c r="K25" t="str">
        <f t="shared" ca="1" si="4"/>
        <v>倒的是灯。</v>
      </c>
      <c r="L25" t="str">
        <f t="shared" ca="1" si="5"/>
        <v>是灯。</v>
      </c>
    </row>
    <row r="26" spans="1:12" x14ac:dyDescent="0.3">
      <c r="A26">
        <f ca="1">MATCH(ROW(),'B1'!H:H,0)</f>
        <v>98</v>
      </c>
      <c r="B26" t="str">
        <f ca="1">OFFSET('B1'!I$1,'B2'!$A26-1,0)</f>
        <v>因此按钮也是5行，对于翻转的情况则可以单独列出来，以类似的方法推导，写成公式Y，即后一行的翻转是前一行左中右和上上行叠加后的翻转，可以注意到这里的公式Y和公式B的推导公式是类似的，只不过Y是从零向量开始推导的，并且不能省略翻转符号非。</v>
      </c>
      <c r="C26" s="1">
        <f ca="1">OFFSET('B1'!J$1,'B2'!$A26-1,0)</f>
        <v>2.6402777777777778E-3</v>
      </c>
      <c r="D26" s="1">
        <f ca="1">OFFSET('B1'!K$1,'B2'!$A26-1,0)</f>
        <v>2.8384259259259261E-3</v>
      </c>
      <c r="E26" t="str">
        <f t="shared" ca="1" si="1"/>
        <v>因此按钮也是5行，对</v>
      </c>
      <c r="F26" t="str">
        <f t="shared" ca="1" si="0"/>
        <v>因此按钮</v>
      </c>
      <c r="G26" t="str">
        <f t="shared" ca="1" si="2"/>
        <v>因此</v>
      </c>
      <c r="H26" t="str">
        <f t="shared" ca="1" si="3"/>
        <v>并且不能省略翻转符号非。</v>
      </c>
      <c r="I26" t="str">
        <f t="shared" ca="1" si="6"/>
        <v>能省略翻转符号非。</v>
      </c>
      <c r="J26" t="str">
        <f t="shared" ca="1" si="7"/>
        <v>略翻转符号非。</v>
      </c>
      <c r="K26" t="str">
        <f t="shared" ca="1" si="4"/>
        <v>转符号非。</v>
      </c>
      <c r="L26" t="str">
        <f t="shared" ca="1" si="5"/>
        <v>号非。</v>
      </c>
    </row>
    <row r="27" spans="1:12" x14ac:dyDescent="0.3">
      <c r="A27">
        <f ca="1">MATCH(ROW(),'B1'!H:H,0)</f>
        <v>108</v>
      </c>
      <c r="B27" t="str">
        <f ca="1">OFFSET('B1'!I$1,'B2'!$A27-1,0)</f>
        <v>一使用零向量，第一次翻转发生在从一到二行的推导过程中，在此之前没有发生过翻转，因此Y的第一行是全零，二翻转符号非必须存在，每次推导都需要翻转，因此不可省略，而前者将这个翻转取出来了，因此不用翻转符号飞，三不使用X而使用Y。</v>
      </c>
      <c r="C27" s="1">
        <f ca="1">OFFSET('B1'!J$1,'B2'!$A27-1,0)</f>
        <v>2.8384259259259261E-3</v>
      </c>
      <c r="D27" s="1">
        <f ca="1">OFFSET('B1'!K$1,'B2'!$A27-1,0)</f>
        <v>3.1874999999999998E-3</v>
      </c>
      <c r="E27" t="str">
        <f t="shared" ca="1" si="1"/>
        <v>一使用零向量，第一次</v>
      </c>
      <c r="F27" t="str">
        <f t="shared" ca="1" si="0"/>
        <v>一使用零</v>
      </c>
      <c r="G27" t="str">
        <f t="shared" ca="1" si="2"/>
        <v>一使</v>
      </c>
      <c r="H27" t="str">
        <f t="shared" ca="1" si="3"/>
        <v>飞，三不使用X而使用Y。</v>
      </c>
      <c r="I27" t="str">
        <f t="shared" ca="1" si="6"/>
        <v>不使用X而使用Y。</v>
      </c>
      <c r="J27" t="str">
        <f t="shared" ca="1" si="7"/>
        <v>用X而使用Y。</v>
      </c>
      <c r="K27" t="str">
        <f t="shared" ca="1" si="4"/>
        <v>而使用Y。</v>
      </c>
      <c r="L27" t="str">
        <f t="shared" ca="1" si="5"/>
        <v>用Y。</v>
      </c>
    </row>
    <row r="28" spans="1:12" x14ac:dyDescent="0.3">
      <c r="A28">
        <f ca="1">MATCH(ROW(),'B1'!H:H,0)</f>
        <v>111</v>
      </c>
      <c r="B28" t="str">
        <f ca="1">OFFSET('B1'!I$1,'B2'!$A28-1,0)</f>
        <v>翻转是前面所有按钮的翻转叠加后提取出来的，代表的是灯的翻转，而不是某个按钮的翻转。</v>
      </c>
      <c r="C28" s="1">
        <f ca="1">OFFSET('B1'!J$1,'B2'!$A28-1,0)</f>
        <v>3.1888888888888887E-3</v>
      </c>
      <c r="D28" s="1">
        <f ca="1">OFFSET('B1'!K$1,'B2'!$A28-1,0)</f>
        <v>3.2870370370370371E-3</v>
      </c>
      <c r="E28" t="str">
        <f t="shared" ca="1" si="1"/>
        <v>翻转是前面所有按钮的</v>
      </c>
      <c r="F28" t="str">
        <f t="shared" ca="1" si="0"/>
        <v>翻转是前</v>
      </c>
      <c r="G28" t="str">
        <f t="shared" ca="1" si="2"/>
        <v>翻转</v>
      </c>
      <c r="H28" t="str">
        <f t="shared" ca="1" si="3"/>
        <v>，而不是某个按钮的翻转。</v>
      </c>
      <c r="I28" t="str">
        <f t="shared" ca="1" si="6"/>
        <v>是某个按钮的翻转。</v>
      </c>
      <c r="J28" t="str">
        <f t="shared" ca="1" si="7"/>
        <v>个按钮的翻转。</v>
      </c>
      <c r="K28" t="str">
        <f t="shared" ca="1" si="4"/>
        <v>钮的翻转。</v>
      </c>
      <c r="L28" t="str">
        <f t="shared" ca="1" si="5"/>
        <v>翻转。</v>
      </c>
    </row>
    <row r="29" spans="1:12" x14ac:dyDescent="0.3">
      <c r="A29">
        <f ca="1">MATCH(ROW(),'B1'!H:H,0)</f>
        <v>113</v>
      </c>
      <c r="B29" t="str">
        <f ca="1">OFFSET('B1'!I$1,'B2'!$A29-1,0)</f>
        <v>事实上，按钮矩阵也可以用另一种更直观的方法推得。</v>
      </c>
      <c r="C29" s="1">
        <f ca="1">OFFSET('B1'!J$1,'B2'!$A29-1,0)</f>
        <v>3.2870370370370371E-3</v>
      </c>
      <c r="D29" s="1">
        <f ca="1">OFFSET('B1'!K$1,'B2'!$A29-1,0)</f>
        <v>3.3310185185185187E-3</v>
      </c>
      <c r="E29" t="str">
        <f t="shared" ca="1" si="1"/>
        <v>事实上，按钮矩阵也可</v>
      </c>
      <c r="F29" t="str">
        <f t="shared" ca="1" si="0"/>
        <v>事实上，</v>
      </c>
      <c r="G29" t="str">
        <f t="shared" ca="1" si="2"/>
        <v>事实</v>
      </c>
      <c r="H29" t="str">
        <f t="shared" ca="1" si="3"/>
        <v>另一种更直观的方法推得。</v>
      </c>
      <c r="I29" t="str">
        <f t="shared" ca="1" si="6"/>
        <v>更直观的方法推得。</v>
      </c>
      <c r="J29" t="str">
        <f t="shared" ca="1" si="7"/>
        <v>观的方法推得。</v>
      </c>
      <c r="K29" t="str">
        <f t="shared" ca="1" si="4"/>
        <v>方法推得。</v>
      </c>
      <c r="L29" t="str">
        <f t="shared" ca="1" si="5"/>
        <v>推得。</v>
      </c>
    </row>
    <row r="30" spans="1:12" x14ac:dyDescent="0.3">
      <c r="A30">
        <f ca="1">MATCH(ROW(),'B1'!H:H,0)</f>
        <v>118</v>
      </c>
      <c r="B30" t="str">
        <f ca="1">OFFSET('B1'!I$1,'B2'!$A30-1,0)</f>
        <v>首先，在第一个矩阵中，我们点击第一行第一个按钮，然后点击第二行的按钮，尽量消去第一行的灯。</v>
      </c>
      <c r="C30" s="1">
        <f ca="1">OFFSET('B1'!J$1,'B2'!$A30-1,0)</f>
        <v>3.3319444444444442E-3</v>
      </c>
      <c r="D30" s="1">
        <f ca="1">OFFSET('B1'!K$1,'B2'!$A30-1,0)</f>
        <v>3.500462962962963E-3</v>
      </c>
      <c r="E30" t="str">
        <f t="shared" ca="1" si="1"/>
        <v>首先，在第一个矩阵中</v>
      </c>
      <c r="F30" t="str">
        <f t="shared" ca="1" si="0"/>
        <v>首先，在</v>
      </c>
      <c r="G30" t="str">
        <f t="shared" ca="1" si="2"/>
        <v>首先</v>
      </c>
      <c r="H30" t="str">
        <f t="shared" ca="1" si="3"/>
        <v>钮，尽量消去第一行的灯。</v>
      </c>
      <c r="I30" t="str">
        <f t="shared" ca="1" si="6"/>
        <v>量消去第一行的灯。</v>
      </c>
      <c r="J30" t="str">
        <f t="shared" ca="1" si="7"/>
        <v>去第一行的灯。</v>
      </c>
      <c r="K30" t="str">
        <f t="shared" ca="1" si="4"/>
        <v>一行的灯。</v>
      </c>
      <c r="L30" t="str">
        <f t="shared" ca="1" si="5"/>
        <v>的灯。</v>
      </c>
    </row>
    <row r="31" spans="1:12" x14ac:dyDescent="0.3">
      <c r="A31">
        <f ca="1">MATCH(ROW(),'B1'!H:H,0)</f>
        <v>122</v>
      </c>
      <c r="B31" t="str">
        <f ca="1">OFFSET('B1'!I$1,'B2'!$A31-1,0)</f>
        <v>接着按第三行按钮，消去第二行的灯，不断递推，直到最后一行。</v>
      </c>
      <c r="C31" s="1">
        <f ca="1">OFFSET('B1'!J$1,'B2'!$A31-1,0)</f>
        <v>3.5018518518518519E-3</v>
      </c>
      <c r="D31" s="1">
        <f ca="1">OFFSET('B1'!K$1,'B2'!$A31-1,0)</f>
        <v>3.6652777777777777E-3</v>
      </c>
      <c r="E31" t="str">
        <f t="shared" ca="1" si="1"/>
        <v>接着按第三行按钮，消</v>
      </c>
      <c r="F31" t="str">
        <f t="shared" ca="1" si="0"/>
        <v>接着按第</v>
      </c>
      <c r="G31" t="str">
        <f t="shared" ca="1" si="2"/>
        <v>接着</v>
      </c>
      <c r="H31" t="str">
        <f t="shared" ca="1" si="3"/>
        <v>不断递推，直到最后一行。</v>
      </c>
      <c r="I31" t="str">
        <f t="shared" ca="1" si="6"/>
        <v>推，直到最后一行。</v>
      </c>
      <c r="J31" t="str">
        <f t="shared" ca="1" si="7"/>
        <v>直到最后一行。</v>
      </c>
      <c r="K31" t="str">
        <f t="shared" ca="1" si="4"/>
        <v>最后一行。</v>
      </c>
      <c r="L31" t="str">
        <f t="shared" ca="1" si="5"/>
        <v>一行。</v>
      </c>
    </row>
    <row r="32" spans="1:12" x14ac:dyDescent="0.3">
      <c r="A32">
        <f ca="1">MATCH(ROW(),'B1'!H:H,0)</f>
        <v>125</v>
      </c>
      <c r="B32" t="str">
        <f ca="1">OFFSET('B1'!I$1,'B2'!$A32-1,0)</f>
        <v>最终最后一行按钮和灯的状态和前面推得的矩阵是一样的，同样在第二个矩阵点击第一行第二个按钮，然后递推也可以得到第二个矩阵最后一行按钮和灯的状态。</v>
      </c>
      <c r="C32" s="1">
        <f ca="1">OFFSET('B1'!J$1,'B2'!$A32-1,0)</f>
        <v>3.6657407407407411E-3</v>
      </c>
      <c r="D32" s="1">
        <f ca="1">OFFSET('B1'!K$1,'B2'!$A32-1,0)</f>
        <v>3.8166666666666666E-3</v>
      </c>
      <c r="E32" t="str">
        <f t="shared" ca="1" si="1"/>
        <v>最终最后一行按钮和灯</v>
      </c>
      <c r="F32" t="str">
        <f t="shared" ca="1" si="0"/>
        <v>最终最后</v>
      </c>
      <c r="G32" t="str">
        <f t="shared" ca="1" si="2"/>
        <v>最终</v>
      </c>
      <c r="H32" t="str">
        <f t="shared" ca="1" si="3"/>
        <v>最后一行按钮和灯的状态。</v>
      </c>
      <c r="I32" t="str">
        <f t="shared" ca="1" si="6"/>
        <v>行按钮和灯的状态。</v>
      </c>
      <c r="J32" t="str">
        <f t="shared" ca="1" si="7"/>
        <v>钮和灯的状态。</v>
      </c>
      <c r="K32" t="str">
        <f t="shared" ca="1" si="4"/>
        <v>灯的状态。</v>
      </c>
      <c r="L32" t="str">
        <f t="shared" ca="1" si="5"/>
        <v>状态。</v>
      </c>
    </row>
    <row r="33" spans="1:12" x14ac:dyDescent="0.3">
      <c r="A33">
        <f ca="1">MATCH(ROW(),'B1'!H:H,0)</f>
        <v>127</v>
      </c>
      <c r="B33" t="str">
        <f ca="1">OFFSET('B1'!I$1,'B2'!$A33-1,0)</f>
        <v>通过这个方法，我们可以得到所有矩阵最后一行的状态。</v>
      </c>
      <c r="C33" s="1">
        <f ca="1">OFFSET('B1'!J$1,'B2'!$A33-1,0)</f>
        <v>3.8175925925925925E-3</v>
      </c>
      <c r="D33" s="1">
        <f ca="1">OFFSET('B1'!K$1,'B2'!$A33-1,0)</f>
        <v>3.8847222222222221E-3</v>
      </c>
      <c r="E33" t="str">
        <f t="shared" ca="1" si="1"/>
        <v>通过这个方法，我们可</v>
      </c>
      <c r="F33" t="str">
        <f t="shared" ca="1" si="0"/>
        <v>通过这个</v>
      </c>
      <c r="G33" t="str">
        <f t="shared" ca="1" si="2"/>
        <v>通过</v>
      </c>
      <c r="H33" t="str">
        <f t="shared" ca="1" si="3"/>
        <v>所有矩阵最后一行的状态。</v>
      </c>
      <c r="I33" t="str">
        <f t="shared" ca="1" si="6"/>
        <v>阵最后一行的状态。</v>
      </c>
      <c r="J33" t="str">
        <f t="shared" ca="1" si="7"/>
        <v>后一行的状态。</v>
      </c>
      <c r="K33" t="str">
        <f t="shared" ca="1" si="4"/>
        <v>行的状态。</v>
      </c>
      <c r="L33" t="str">
        <f t="shared" ca="1" si="5"/>
        <v>状态。</v>
      </c>
    </row>
    <row r="34" spans="1:12" x14ac:dyDescent="0.3">
      <c r="A34">
        <f ca="1">MATCH(ROW(),'B1'!H:H,0)</f>
        <v>129</v>
      </c>
      <c r="B34" t="str">
        <f ca="1">OFFSET('B1'!I$1,'B2'!$A34-1,0)</f>
        <v>另外，翻转向量也可以用相似的方法推得。</v>
      </c>
      <c r="C34" s="1">
        <f ca="1">OFFSET('B1'!J$1,'B2'!$A34-1,0)</f>
        <v>3.8865740740740744E-3</v>
      </c>
      <c r="D34" s="1">
        <f ca="1">OFFSET('B1'!K$1,'B2'!$A34-1,0)</f>
        <v>3.9773148148148146E-3</v>
      </c>
      <c r="E34" t="str">
        <f t="shared" ca="1" si="1"/>
        <v>另外，翻转向量也可以</v>
      </c>
      <c r="F34" t="str">
        <f t="shared" ca="1" si="0"/>
        <v>另外，翻</v>
      </c>
      <c r="G34" t="str">
        <f t="shared" ca="1" si="2"/>
        <v>另外</v>
      </c>
      <c r="H34" t="str">
        <f t="shared" ca="1" si="3"/>
        <v>也可以用相似的方法推得。</v>
      </c>
      <c r="I34" t="str">
        <f t="shared" ca="1" si="6"/>
        <v>用相似的方法推得。</v>
      </c>
      <c r="J34" t="str">
        <f t="shared" ca="1" si="7"/>
        <v>似的方法推得。</v>
      </c>
      <c r="K34" t="str">
        <f t="shared" ca="1" si="4"/>
        <v>方法推得。</v>
      </c>
      <c r="L34" t="str">
        <f t="shared" ca="1" si="5"/>
        <v>推得。</v>
      </c>
    </row>
    <row r="35" spans="1:12" x14ac:dyDescent="0.3">
      <c r="A35">
        <f ca="1">MATCH(ROW(),'B1'!H:H,0)</f>
        <v>132</v>
      </c>
      <c r="B35" t="str">
        <f ca="1">OFFSET('B1'!I$1,'B2'!$A35-1,0)</f>
        <v>我们把所有灯全部点亮，然后用刚才的方法尝试把所有灯消去，同样可以得到翻转向量最后一行的状态。</v>
      </c>
      <c r="C35" s="1">
        <f ca="1">OFFSET('B1'!J$1,'B2'!$A35-1,0)</f>
        <v>3.9782407407407414E-3</v>
      </c>
      <c r="D35" s="1">
        <f ca="1">OFFSET('B1'!K$1,'B2'!$A35-1,0)</f>
        <v>4.0375000000000003E-3</v>
      </c>
      <c r="E35" t="str">
        <f t="shared" ca="1" si="1"/>
        <v>我们把所有灯全部点亮</v>
      </c>
      <c r="F35" t="str">
        <f t="shared" ca="1" si="0"/>
        <v>我们把所</v>
      </c>
      <c r="G35" t="str">
        <f t="shared" ca="1" si="2"/>
        <v>我们</v>
      </c>
      <c r="H35" t="str">
        <f t="shared" ca="1" si="3"/>
        <v>翻转向量最后一行的状态。</v>
      </c>
      <c r="I35" t="str">
        <f t="shared" ca="1" si="6"/>
        <v>量最后一行的状态。</v>
      </c>
      <c r="J35" t="str">
        <f t="shared" ca="1" si="7"/>
        <v>后一行的状态。</v>
      </c>
      <c r="K35" t="str">
        <f t="shared" ca="1" si="4"/>
        <v>行的状态。</v>
      </c>
      <c r="L35" t="str">
        <f t="shared" ca="1" si="5"/>
        <v>状态。</v>
      </c>
    </row>
    <row r="36" spans="1:12" x14ac:dyDescent="0.3">
      <c r="A36">
        <f ca="1">MATCH(ROW(),'B1'!H:H,0)</f>
        <v>134</v>
      </c>
      <c r="B36" t="str">
        <f ca="1">OFFSET('B1'!I$1,'B2'!$A36-1,0)</f>
        <v>我们把这种方法称作余数矩阵法和首行叠加法的原理，本质上是相同的。</v>
      </c>
      <c r="C36" s="1">
        <f ca="1">OFFSET('B1'!J$1,'B2'!$A36-1,0)</f>
        <v>4.0375000000000003E-3</v>
      </c>
      <c r="D36" s="1">
        <f ca="1">OFFSET('B1'!K$1,'B2'!$A36-1,0)</f>
        <v>4.0921296296296296E-3</v>
      </c>
      <c r="E36" t="str">
        <f t="shared" ca="1" si="1"/>
        <v>我们把这种方法称作余</v>
      </c>
      <c r="F36" t="str">
        <f t="shared" ca="1" si="0"/>
        <v>我们把这</v>
      </c>
      <c r="G36" t="str">
        <f t="shared" ca="1" si="2"/>
        <v>我们</v>
      </c>
      <c r="H36" t="str">
        <f t="shared" ca="1" si="3"/>
        <v>的原理，本质上是相同的。</v>
      </c>
      <c r="I36" t="str">
        <f t="shared" ca="1" si="6"/>
        <v>，本质上是相同的。</v>
      </c>
      <c r="J36" t="str">
        <f t="shared" ca="1" si="7"/>
        <v>质上是相同的。</v>
      </c>
      <c r="K36" t="str">
        <f t="shared" ca="1" si="4"/>
        <v>是相同的。</v>
      </c>
      <c r="L36" t="str">
        <f t="shared" ca="1" si="5"/>
        <v>同的。</v>
      </c>
    </row>
    <row r="37" spans="1:12" x14ac:dyDescent="0.3">
      <c r="A37">
        <f ca="1">MATCH(ROW(),'B1'!H:H,0)</f>
        <v>135</v>
      </c>
      <c r="B37" t="str">
        <f ca="1">OFFSET('B1'!I$1,'B2'!$A37-1,0)</f>
        <v>有兴趣的小伙伴可以自行证明。</v>
      </c>
      <c r="C37" s="1">
        <f ca="1">OFFSET('B1'!J$1,'B2'!$A37-1,0)</f>
        <v>4.0921296296296296E-3</v>
      </c>
      <c r="D37" s="1">
        <f ca="1">OFFSET('B1'!K$1,'B2'!$A37-1,0)</f>
        <v>4.1199074074074072E-3</v>
      </c>
      <c r="E37" t="str">
        <f t="shared" ca="1" si="1"/>
        <v>有兴趣的小伙伴可以自</v>
      </c>
      <c r="F37" t="str">
        <f t="shared" ca="1" si="0"/>
        <v>有兴趣的</v>
      </c>
      <c r="G37" t="str">
        <f t="shared" ca="1" si="2"/>
        <v>有兴</v>
      </c>
      <c r="H37" t="str">
        <f t="shared" ca="1" si="3"/>
        <v>趣的小伙伴可以自行证明。</v>
      </c>
      <c r="I37" t="str">
        <f t="shared" ca="1" si="6"/>
        <v>伙伴可以自行证明。</v>
      </c>
      <c r="J37" t="str">
        <f t="shared" ca="1" si="7"/>
        <v>可以自行证明。</v>
      </c>
      <c r="K37" t="str">
        <f t="shared" ca="1" si="4"/>
        <v>自行证明。</v>
      </c>
      <c r="L37" t="str">
        <f t="shared" ca="1" si="5"/>
        <v>证明。</v>
      </c>
    </row>
    <row r="38" spans="1:12" x14ac:dyDescent="0.3">
      <c r="A38">
        <f ca="1">MATCH(ROW(),'B1'!H:H,0)</f>
        <v>138</v>
      </c>
      <c r="B38" t="str">
        <f ca="1">OFFSET('B1'!I$1,'B2'!$A38-1,0)</f>
        <v>在生成优化矩阵章节中，我们将矩阵的行重排，其实是调换了N和Y的位置。</v>
      </c>
      <c r="C38" s="1">
        <f ca="1">OFFSET('B1'!J$1,'B2'!$A38-1,0)</f>
        <v>4.120833333333334E-3</v>
      </c>
      <c r="D38" s="1">
        <f ca="1">OFFSET('B1'!K$1,'B2'!$A38-1,0)</f>
        <v>4.2453703703703707E-3</v>
      </c>
      <c r="E38" t="str">
        <f t="shared" ca="1" si="1"/>
        <v>在生成优化矩阵章节中</v>
      </c>
      <c r="F38" t="str">
        <f t="shared" ca="1" si="0"/>
        <v>在生成优</v>
      </c>
      <c r="G38" t="str">
        <f t="shared" ca="1" si="2"/>
        <v>在生</v>
      </c>
      <c r="H38" t="str">
        <f t="shared" ca="1" si="3"/>
        <v>实是调换了N和Y的位置。</v>
      </c>
      <c r="I38" t="str">
        <f t="shared" ca="1" si="6"/>
        <v>换了N和Y的位置。</v>
      </c>
      <c r="J38" t="str">
        <f t="shared" ca="1" si="7"/>
        <v>N和Y的位置。</v>
      </c>
      <c r="K38" t="str">
        <f t="shared" ca="1" si="4"/>
        <v>Y的位置。</v>
      </c>
      <c r="L38" t="str">
        <f t="shared" ca="1" si="5"/>
        <v>位置。</v>
      </c>
    </row>
    <row r="39" spans="1:12" x14ac:dyDescent="0.3">
      <c r="A39">
        <f ca="1">MATCH(ROW(),'B1'!H:H,0)</f>
        <v>139</v>
      </c>
      <c r="B39" t="str">
        <f ca="1">OFFSET('B1'!I$1,'B2'!$A39-1,0)</f>
        <v>使原来从左到右的第Y个矩阵变为了第N个矩阵。</v>
      </c>
      <c r="C39" s="1">
        <f ca="1">OFFSET('B1'!J$1,'B2'!$A39-1,0)</f>
        <v>4.2453703703703707E-3</v>
      </c>
      <c r="D39" s="1">
        <f ca="1">OFFSET('B1'!K$1,'B2'!$A39-1,0)</f>
        <v>4.2870370370370371E-3</v>
      </c>
      <c r="E39" t="str">
        <f t="shared" ca="1" si="1"/>
        <v>使原来从左到右的第Y</v>
      </c>
      <c r="F39" t="str">
        <f t="shared" ca="1" si="0"/>
        <v>使原来从</v>
      </c>
      <c r="G39" t="str">
        <f t="shared" ca="1" si="2"/>
        <v>使原</v>
      </c>
      <c r="H39" t="str">
        <f t="shared" ca="1" si="3"/>
        <v>个矩阵变为了第N个矩阵。</v>
      </c>
      <c r="I39" t="str">
        <f t="shared" ca="1" si="6"/>
        <v>变为了第N个矩阵。</v>
      </c>
      <c r="J39" t="str">
        <f t="shared" ca="1" si="7"/>
        <v>了第N个矩阵。</v>
      </c>
      <c r="K39" t="str">
        <f t="shared" ca="1" si="4"/>
        <v>N个矩阵。</v>
      </c>
      <c r="L39" t="str">
        <f t="shared" ca="1" si="5"/>
        <v>矩阵。</v>
      </c>
    </row>
    <row r="40" spans="1:12" x14ac:dyDescent="0.3">
      <c r="A40">
        <f ca="1">MATCH(ROW(),'B1'!H:H,0)</f>
        <v>142</v>
      </c>
      <c r="B40" t="str">
        <f ca="1">OFFSET('B1'!I$1,'B2'!$A40-1,0)</f>
        <v>这N个矩阵都满足十字偶校验约束，及上下左右四个格子叠加为零，因此这里的公式省去了N。</v>
      </c>
      <c r="C40" s="1">
        <f ca="1">OFFSET('B1'!J$1,'B2'!$A40-1,0)</f>
        <v>4.2884259259259256E-3</v>
      </c>
      <c r="D40" s="1">
        <f ca="1">OFFSET('B1'!K$1,'B2'!$A40-1,0)</f>
        <v>4.4046296296296299E-3</v>
      </c>
      <c r="E40" t="str">
        <f t="shared" ca="1" si="1"/>
        <v>这N个矩阵都满足十字</v>
      </c>
      <c r="F40" t="str">
        <f t="shared" ca="1" si="0"/>
        <v>这N个矩</v>
      </c>
      <c r="G40" t="str">
        <f t="shared" ca="1" si="2"/>
        <v>这N</v>
      </c>
      <c r="H40" t="str">
        <f t="shared" ca="1" si="3"/>
        <v>因此这里的公式省去了N。</v>
      </c>
      <c r="I40" t="str">
        <f t="shared" ca="1" si="6"/>
        <v>里的公式省去了N。</v>
      </c>
      <c r="J40" t="str">
        <f t="shared" ca="1" si="7"/>
        <v>公式省去了N。</v>
      </c>
      <c r="K40" t="str">
        <f t="shared" ca="1" si="4"/>
        <v>省去了N。</v>
      </c>
      <c r="L40" t="str">
        <f t="shared" ca="1" si="5"/>
        <v>了N。</v>
      </c>
    </row>
    <row r="41" spans="1:12" x14ac:dyDescent="0.3">
      <c r="A41">
        <f ca="1">MATCH(ROW(),'B1'!H:H,0)</f>
        <v>145</v>
      </c>
      <c r="B41" t="str">
        <f ca="1">OFFSET('B1'!I$1,'B2'!$A41-1,0)</f>
        <v>这里和之前的情况是一样的，只不过N和Y调换了，因此位置发生了变化。</v>
      </c>
      <c r="C41" s="1">
        <f ca="1">OFFSET('B1'!J$1,'B2'!$A41-1,0)</f>
        <v>4.4060185185185183E-3</v>
      </c>
      <c r="D41" s="1">
        <f ca="1">OFFSET('B1'!K$1,'B2'!$A41-1,0)</f>
        <v>4.4740740740740739E-3</v>
      </c>
      <c r="E41" t="str">
        <f t="shared" ca="1" si="1"/>
        <v>这里和之前的情况是一</v>
      </c>
      <c r="F41" t="str">
        <f t="shared" ca="1" si="0"/>
        <v>这里和之</v>
      </c>
      <c r="G41" t="str">
        <f t="shared" ca="1" si="2"/>
        <v>这里</v>
      </c>
      <c r="H41" t="str">
        <f t="shared" ca="1" si="3"/>
        <v>了，因此位置发生了变化。</v>
      </c>
      <c r="I41" t="str">
        <f t="shared" ca="1" si="6"/>
        <v>此位置发生了变化。</v>
      </c>
      <c r="J41" t="str">
        <f t="shared" ca="1" si="7"/>
        <v>置发生了变化。</v>
      </c>
      <c r="K41" t="str">
        <f t="shared" ca="1" si="4"/>
        <v>生了变化。</v>
      </c>
      <c r="L41" t="str">
        <f t="shared" ca="1" si="5"/>
        <v>变化。</v>
      </c>
    </row>
    <row r="42" spans="1:12" x14ac:dyDescent="0.3">
      <c r="A42">
        <f ca="1">MATCH(ROW(),'B1'!H:H,0)</f>
        <v>147</v>
      </c>
      <c r="B42" t="str">
        <f ca="1">OFFSET('B1'!I$1,'B2'!$A42-1,0)</f>
        <v>这是一个十分重要的性质，使用这个性质可以由第一个灯直接推到后面的灯。</v>
      </c>
      <c r="C42" s="1">
        <f ca="1">OFFSET('B1'!J$1,'B2'!$A42-1,0)</f>
        <v>4.4740740740740739E-3</v>
      </c>
      <c r="D42" s="1">
        <f ca="1">OFFSET('B1'!K$1,'B2'!$A42-1,0)</f>
        <v>4.5268518518518522E-3</v>
      </c>
      <c r="E42" t="str">
        <f t="shared" ca="1" si="1"/>
        <v>这是一个十分重要的性</v>
      </c>
      <c r="F42" t="str">
        <f t="shared" ca="1" si="0"/>
        <v>这是一个</v>
      </c>
      <c r="G42" t="str">
        <f t="shared" ca="1" si="2"/>
        <v>这是</v>
      </c>
      <c r="H42" t="str">
        <f t="shared" ca="1" si="3"/>
        <v>一个灯直接推到后面的灯。</v>
      </c>
      <c r="I42" t="str">
        <f t="shared" ca="1" si="6"/>
        <v>直接推到后面的灯。</v>
      </c>
      <c r="J42" t="str">
        <f t="shared" ca="1" si="7"/>
        <v>推到后面的灯。</v>
      </c>
      <c r="K42" t="str">
        <f t="shared" ca="1" si="4"/>
        <v>后面的灯。</v>
      </c>
      <c r="L42" t="str">
        <f t="shared" ca="1" si="5"/>
        <v>的灯。</v>
      </c>
    </row>
    <row r="43" spans="1:12" x14ac:dyDescent="0.3">
      <c r="A43">
        <f ca="1">MATCH(ROW(),'B1'!H:H,0)</f>
        <v>149</v>
      </c>
      <c r="B43" t="str">
        <f ca="1">OFFSET('B1'!I$1,'B2'!$A43-1,0)</f>
        <v>在之后的ON的二次方算法中，其本质也是用这个性质进行的优化。</v>
      </c>
      <c r="C43" s="1">
        <f ca="1">OFFSET('B1'!J$1,'B2'!$A43-1,0)</f>
        <v>4.5324074074074077E-3</v>
      </c>
      <c r="D43" s="1">
        <f ca="1">OFFSET('B1'!K$1,'B2'!$A43-1,0)</f>
        <v>4.5912037037037041E-3</v>
      </c>
      <c r="E43" t="str">
        <f t="shared" ca="1" si="1"/>
        <v>在之后的ON的二次方</v>
      </c>
      <c r="F43" t="str">
        <f t="shared" ca="1" si="0"/>
        <v>在之后的</v>
      </c>
      <c r="G43" t="str">
        <f t="shared" ca="1" si="2"/>
        <v>在之</v>
      </c>
      <c r="H43" t="str">
        <f t="shared" ca="1" si="3"/>
        <v>是用这个性质进行的优化。</v>
      </c>
      <c r="I43" t="str">
        <f t="shared" ca="1" si="6"/>
        <v>个性质进行的优化。</v>
      </c>
      <c r="J43" t="str">
        <f t="shared" ca="1" si="7"/>
        <v>质进行的优化。</v>
      </c>
      <c r="K43" t="str">
        <f t="shared" ca="1" si="4"/>
        <v>行的优化。</v>
      </c>
      <c r="L43" t="str">
        <f t="shared" ca="1" si="5"/>
        <v>优化。</v>
      </c>
    </row>
    <row r="44" spans="1:12" x14ac:dyDescent="0.3">
      <c r="A44">
        <f ca="1">MATCH(ROW(),'B1'!H:H,0)</f>
        <v>150</v>
      </c>
      <c r="B44" t="str">
        <f ca="1">OFFSET('B1'!I$1,'B2'!$A44-1,0)</f>
        <v>下面让我们用数学归纳法证明这个性质。</v>
      </c>
      <c r="C44" s="1">
        <f ca="1">OFFSET('B1'!J$1,'B2'!$A44-1,0)</f>
        <v>4.5912037037037041E-3</v>
      </c>
      <c r="D44" s="1">
        <f ca="1">OFFSET('B1'!K$1,'B2'!$A44-1,0)</f>
        <v>4.6388888888888894E-3</v>
      </c>
      <c r="E44" t="str">
        <f t="shared" ca="1" si="1"/>
        <v>下面让我们用数学归纳</v>
      </c>
      <c r="F44" t="str">
        <f t="shared" ca="1" si="0"/>
        <v>下面让我</v>
      </c>
      <c r="G44" t="str">
        <f t="shared" ca="1" si="2"/>
        <v>下面</v>
      </c>
      <c r="H44" t="str">
        <f t="shared" ca="1" si="3"/>
        <v>数学归纳法证明这个性质。</v>
      </c>
      <c r="I44" t="str">
        <f t="shared" ca="1" si="6"/>
        <v>纳法证明这个性质。</v>
      </c>
      <c r="J44" t="str">
        <f t="shared" ca="1" si="7"/>
        <v>证明这个性质。</v>
      </c>
      <c r="K44" t="str">
        <f t="shared" ca="1" si="4"/>
        <v>这个性质。</v>
      </c>
      <c r="L44" t="str">
        <f t="shared" ca="1" si="5"/>
        <v>性质。</v>
      </c>
    </row>
    <row r="45" spans="1:12" x14ac:dyDescent="0.3">
      <c r="A45">
        <f ca="1">MATCH(ROW(),'B1'!H:H,0)</f>
        <v>152</v>
      </c>
      <c r="B45" t="str">
        <f ca="1">OFFSET('B1'!I$1,'B2'!$A45-1,0)</f>
        <v>由于右边的按钮矩阵就是左边的灯矩阵，为了方便我们就只看按钮矩阵。</v>
      </c>
      <c r="C45" s="1">
        <f ca="1">OFFSET('B1'!J$1,'B2'!$A45-1,0)</f>
        <v>4.6388888888888894E-3</v>
      </c>
      <c r="D45" s="1">
        <f ca="1">OFFSET('B1'!K$1,'B2'!$A45-1,0)</f>
        <v>4.6916666666666669E-3</v>
      </c>
      <c r="E45" t="str">
        <f t="shared" ca="1" si="1"/>
        <v>由于右边的按钮矩阵就</v>
      </c>
      <c r="F45" t="str">
        <f t="shared" ca="1" si="0"/>
        <v>由于右边</v>
      </c>
      <c r="G45" t="str">
        <f t="shared" ca="1" si="2"/>
        <v>由于</v>
      </c>
      <c r="H45" t="str">
        <f t="shared" ca="1" si="3"/>
        <v>方便我们就只看按钮矩阵。</v>
      </c>
      <c r="I45" t="str">
        <f t="shared" ca="1" si="6"/>
        <v>们就只看按钮矩阵。</v>
      </c>
      <c r="J45" t="str">
        <f t="shared" ca="1" si="7"/>
        <v>只看按钮矩阵。</v>
      </c>
      <c r="K45" t="str">
        <f t="shared" ca="1" si="4"/>
        <v>按钮矩阵。</v>
      </c>
      <c r="L45" t="str">
        <f t="shared" ca="1" si="5"/>
        <v>矩阵。</v>
      </c>
    </row>
    <row r="46" spans="1:12" x14ac:dyDescent="0.3">
      <c r="A46">
        <f ca="1">MATCH(ROW(),'B1'!H:H,0)</f>
        <v>154</v>
      </c>
      <c r="B46" t="str">
        <f ca="1">OFFSET('B1'!I$1,'B2'!$A46-1,0)</f>
        <v>首先我们假定前两个矩阵BN减1和BN减2满足这个性质，现在来证明BN也满足这个性质。</v>
      </c>
      <c r="C46" s="1">
        <f ca="1">OFFSET('B1'!J$1,'B2'!$A46-1,0)</f>
        <v>4.6921296296296294E-3</v>
      </c>
      <c r="D46" s="1">
        <f ca="1">OFFSET('B1'!K$1,'B2'!$A46-1,0)</f>
        <v>4.7574074074074072E-3</v>
      </c>
      <c r="E46" t="str">
        <f t="shared" ca="1" si="1"/>
        <v>首先我们假定前两个矩</v>
      </c>
      <c r="F46" t="str">
        <f t="shared" ca="1" si="0"/>
        <v>首先我们</v>
      </c>
      <c r="G46" t="str">
        <f t="shared" ca="1" si="2"/>
        <v>首先</v>
      </c>
      <c r="H46" t="str">
        <f t="shared" ca="1" si="3"/>
        <v>证明BN也满足这个性质。</v>
      </c>
      <c r="I46" t="str">
        <f t="shared" ca="1" si="6"/>
        <v>N也满足这个性质。</v>
      </c>
      <c r="J46" t="str">
        <f t="shared" ca="1" si="7"/>
        <v>满足这个性质。</v>
      </c>
      <c r="K46" t="str">
        <f t="shared" ca="1" si="4"/>
        <v>这个性质。</v>
      </c>
      <c r="L46" t="str">
        <f t="shared" ca="1" si="5"/>
        <v>性质。</v>
      </c>
    </row>
    <row r="47" spans="1:12" x14ac:dyDescent="0.3">
      <c r="A47">
        <f ca="1">MATCH(ROW(),'B1'!H:H,0)</f>
        <v>155</v>
      </c>
      <c r="B47" t="str">
        <f ca="1">OFFSET('B1'!I$1,'B2'!$A47-1,0)</f>
        <v>将刚才的矩阵递推关系加上参数Y并重写。</v>
      </c>
      <c r="C47" s="1">
        <f ca="1">OFFSET('B1'!J$1,'B2'!$A47-1,0)</f>
        <v>4.7578703703703698E-3</v>
      </c>
      <c r="D47" s="1">
        <f ca="1">OFFSET('B1'!K$1,'B2'!$A47-1,0)</f>
        <v>4.7782407407407409E-3</v>
      </c>
      <c r="E47" t="str">
        <f t="shared" ca="1" si="1"/>
        <v>将刚才的矩阵递推关系</v>
      </c>
      <c r="F47" t="str">
        <f t="shared" ca="1" si="0"/>
        <v>将刚才的</v>
      </c>
      <c r="G47" t="str">
        <f t="shared" ca="1" si="2"/>
        <v>将刚</v>
      </c>
      <c r="H47" t="str">
        <f t="shared" ca="1" si="3"/>
        <v>推关系加上参数Y并重写。</v>
      </c>
      <c r="I47" t="str">
        <f t="shared" ca="1" si="6"/>
        <v>加上参数Y并重写。</v>
      </c>
      <c r="J47" t="str">
        <f t="shared" ca="1" si="7"/>
        <v>参数Y并重写。</v>
      </c>
      <c r="K47" t="str">
        <f t="shared" ca="1" si="4"/>
        <v>Y并重写。</v>
      </c>
      <c r="L47" t="str">
        <f t="shared" ca="1" si="5"/>
        <v>重写。</v>
      </c>
    </row>
    <row r="48" spans="1:12" x14ac:dyDescent="0.3">
      <c r="A48">
        <f ca="1">MATCH(ROW(),'B1'!H:H,0)</f>
        <v>158</v>
      </c>
      <c r="B48" t="str">
        <f ca="1">OFFSET('B1'!I$1,'B2'!$A48-1,0)</f>
        <v>对于BN，我们将式子竖着写成四项，然后将递推关系代入这个式子。</v>
      </c>
      <c r="C48" s="1">
        <f ca="1">OFFSET('B1'!J$1,'B2'!$A48-1,0)</f>
        <v>4.7782407407407409E-3</v>
      </c>
      <c r="D48" s="1">
        <f ca="1">OFFSET('B1'!K$1,'B2'!$A48-1,0)</f>
        <v>4.8634259259259256E-3</v>
      </c>
      <c r="E48" t="str">
        <f t="shared" ca="1" si="1"/>
        <v>对于BN，我们将式子</v>
      </c>
      <c r="F48" t="str">
        <f t="shared" ca="1" si="0"/>
        <v>对于BN</v>
      </c>
      <c r="G48" t="str">
        <f t="shared" ca="1" si="2"/>
        <v>对于</v>
      </c>
      <c r="H48" t="str">
        <f t="shared" ca="1" si="3"/>
        <v>将递推关系代入这个式子。</v>
      </c>
      <c r="I48" t="str">
        <f t="shared" ca="1" si="6"/>
        <v>关系代入这个式子。</v>
      </c>
      <c r="J48" t="str">
        <f t="shared" ca="1" si="7"/>
        <v>代入这个式子。</v>
      </c>
      <c r="K48" t="str">
        <f t="shared" ca="1" si="4"/>
        <v>这个式子。</v>
      </c>
      <c r="L48" t="str">
        <f t="shared" ca="1" si="5"/>
        <v>式子。</v>
      </c>
    </row>
    <row r="49" spans="1:12" x14ac:dyDescent="0.3">
      <c r="A49">
        <f ca="1">MATCH(ROW(),'B1'!H:H,0)</f>
        <v>161</v>
      </c>
      <c r="B49" t="str">
        <f ca="1">OFFSET('B1'!I$1,'B2'!$A49-1,0)</f>
        <v>代入后的式子包含16项，现在重新排列项目顺序将Y和N调换，类似优化生成矩阵章节中的调换操作。</v>
      </c>
      <c r="C49" s="1">
        <f ca="1">OFFSET('B1'!J$1,'B2'!$A49-1,0)</f>
        <v>4.8652777777777783E-3</v>
      </c>
      <c r="D49" s="1">
        <f ca="1">OFFSET('B1'!K$1,'B2'!$A49-1,0)</f>
        <v>4.9305555555555552E-3</v>
      </c>
      <c r="E49" t="str">
        <f t="shared" ca="1" si="1"/>
        <v>代入后的式子包含16</v>
      </c>
      <c r="F49" t="str">
        <f t="shared" ca="1" si="0"/>
        <v>代入后的</v>
      </c>
      <c r="G49" t="str">
        <f t="shared" ca="1" si="2"/>
        <v>代入</v>
      </c>
      <c r="H49" t="str">
        <f t="shared" ca="1" si="3"/>
        <v>成矩阵章节中的调换操作。</v>
      </c>
      <c r="I49" t="str">
        <f t="shared" ca="1" si="6"/>
        <v>章节中的调换操作。</v>
      </c>
      <c r="J49" t="str">
        <f t="shared" ca="1" si="7"/>
        <v>中的调换操作。</v>
      </c>
      <c r="K49" t="str">
        <f t="shared" ca="1" si="4"/>
        <v>调换操作。</v>
      </c>
      <c r="L49" t="str">
        <f t="shared" ca="1" si="5"/>
        <v>操作。</v>
      </c>
    </row>
    <row r="50" spans="1:12" x14ac:dyDescent="0.3">
      <c r="A50">
        <f ca="1">MATCH(ROW(),'B1'!H:H,0)</f>
        <v>162</v>
      </c>
      <c r="B50" t="str">
        <f ca="1">OFFSET('B1'!I$1,'B2'!$A50-1,0)</f>
        <v>不难发现这四项属于BN减1或BN减2。</v>
      </c>
      <c r="C50" s="1">
        <f ca="1">OFFSET('B1'!J$1,'B2'!$A50-1,0)</f>
        <v>4.9305555555555552E-3</v>
      </c>
      <c r="D50" s="1">
        <f ca="1">OFFSET('B1'!K$1,'B2'!$A50-1,0)</f>
        <v>4.9578703703703703E-3</v>
      </c>
      <c r="E50" t="str">
        <f t="shared" ca="1" si="1"/>
        <v>不难发现这四项属于B</v>
      </c>
      <c r="F50" t="str">
        <f t="shared" ca="1" si="0"/>
        <v>不难发现</v>
      </c>
      <c r="G50" t="str">
        <f t="shared" ca="1" si="2"/>
        <v>不难</v>
      </c>
      <c r="H50" t="str">
        <f t="shared" ca="1" si="3"/>
        <v>属于BN减1或BN减2。</v>
      </c>
      <c r="I50" t="str">
        <f t="shared" ca="1" si="6"/>
        <v>N减1或BN减2。</v>
      </c>
      <c r="J50" t="str">
        <f t="shared" ca="1" si="7"/>
        <v>1或BN减2。</v>
      </c>
      <c r="K50" t="str">
        <f t="shared" ca="1" si="4"/>
        <v>BN减2。</v>
      </c>
      <c r="L50" t="str">
        <f t="shared" ca="1" si="5"/>
        <v>减2。</v>
      </c>
    </row>
    <row r="51" spans="1:12" x14ac:dyDescent="0.3">
      <c r="A51">
        <f ca="1">MATCH(ROW(),'B1'!H:H,0)</f>
        <v>164</v>
      </c>
      <c r="B51" t="str">
        <f ca="1">OFFSET('B1'!I$1,'B2'!$A51-1,0)</f>
        <v>并且元素之间的关系满足十字偶校验约束，因此整个式子化为了零。</v>
      </c>
      <c r="C51" s="1">
        <f ca="1">OFFSET('B1'!J$1,'B2'!$A51-1,0)</f>
        <v>4.9578703703703703E-3</v>
      </c>
      <c r="D51" s="1">
        <f ca="1">OFFSET('B1'!K$1,'B2'!$A51-1,0)</f>
        <v>5.0527777777777776E-3</v>
      </c>
      <c r="E51" t="str">
        <f t="shared" ca="1" si="1"/>
        <v>并且元素之间的关系满</v>
      </c>
      <c r="F51" t="str">
        <f t="shared" ca="1" si="0"/>
        <v>并且元素</v>
      </c>
      <c r="G51" t="str">
        <f t="shared" ca="1" si="2"/>
        <v>并且</v>
      </c>
      <c r="H51" t="str">
        <f t="shared" ca="1" si="3"/>
        <v>，因此整个式子化为了零。</v>
      </c>
      <c r="I51" t="str">
        <f t="shared" ca="1" si="6"/>
        <v>整个式子化为了零。</v>
      </c>
      <c r="J51" t="str">
        <f t="shared" ca="1" si="7"/>
        <v>式子化为了零。</v>
      </c>
      <c r="K51" t="str">
        <f t="shared" ca="1" si="4"/>
        <v>化为了零。</v>
      </c>
      <c r="L51" t="str">
        <f t="shared" ca="1" si="5"/>
        <v>了零。</v>
      </c>
    </row>
    <row r="52" spans="1:12" x14ac:dyDescent="0.3">
      <c r="A52">
        <f ca="1">MATCH(ROW(),'B1'!H:H,0)</f>
        <v>165</v>
      </c>
      <c r="B52" t="str">
        <f ca="1">OFFSET('B1'!I$1,'B2'!$A52-1,0)</f>
        <v>现在我们只需要证明最左边的两个矩阵也满足这个性质即可。</v>
      </c>
      <c r="C52" s="1">
        <f ca="1">OFFSET('B1'!J$1,'B2'!$A52-1,0)</f>
        <v>5.053240740740741E-3</v>
      </c>
      <c r="D52" s="1">
        <f ca="1">OFFSET('B1'!K$1,'B2'!$A52-1,0)</f>
        <v>5.0851851851851856E-3</v>
      </c>
      <c r="E52" t="str">
        <f t="shared" ca="1" si="1"/>
        <v>现在我们只需要证明最</v>
      </c>
      <c r="F52" t="str">
        <f t="shared" ca="1" si="0"/>
        <v>现在我们</v>
      </c>
      <c r="G52" t="str">
        <f t="shared" ca="1" si="2"/>
        <v>现在</v>
      </c>
      <c r="H52" t="str">
        <f t="shared" ca="1" si="3"/>
        <v>矩阵也满足这个性质即可。</v>
      </c>
      <c r="I52" t="str">
        <f t="shared" ca="1" si="6"/>
        <v>满足这个性质即可。</v>
      </c>
      <c r="J52" t="str">
        <f t="shared" ca="1" si="7"/>
        <v>这个性质即可。</v>
      </c>
      <c r="K52" t="str">
        <f t="shared" ca="1" si="4"/>
        <v>性质即可。</v>
      </c>
      <c r="L52" t="str">
        <f t="shared" ca="1" si="5"/>
        <v>即可。</v>
      </c>
    </row>
    <row r="53" spans="1:12" x14ac:dyDescent="0.3">
      <c r="A53">
        <f ca="1">MATCH(ROW(),'B1'!H:H,0)</f>
        <v>167</v>
      </c>
      <c r="B53" t="str">
        <f ca="1">OFFSET('B1'!I$1,'B2'!$A53-1,0)</f>
        <v>第一个矩阵是单位矩阵，显然满足这个性质。</v>
      </c>
      <c r="C53" s="1">
        <f ca="1">OFFSET('B1'!J$1,'B2'!$A53-1,0)</f>
        <v>5.0851851851851856E-3</v>
      </c>
      <c r="D53" s="1">
        <f ca="1">OFFSET('B1'!K$1,'B2'!$A53-1,0)</f>
        <v>5.1641203703703701E-3</v>
      </c>
      <c r="E53" t="str">
        <f t="shared" ca="1" si="1"/>
        <v>第一个矩阵是单位矩阵</v>
      </c>
      <c r="F53" t="str">
        <f t="shared" ca="1" si="0"/>
        <v>第一个矩</v>
      </c>
      <c r="G53" t="str">
        <f t="shared" ca="1" si="2"/>
        <v>第一</v>
      </c>
      <c r="H53" t="str">
        <f t="shared" ca="1" si="3"/>
        <v>矩阵，显然满足这个性质。</v>
      </c>
      <c r="I53" t="str">
        <f t="shared" ca="1" si="6"/>
        <v>显然满足这个性质。</v>
      </c>
      <c r="J53" t="str">
        <f t="shared" ca="1" si="7"/>
        <v>满足这个性质。</v>
      </c>
      <c r="K53" t="str">
        <f t="shared" ca="1" si="4"/>
        <v>这个性质。</v>
      </c>
      <c r="L53" t="str">
        <f t="shared" ca="1" si="5"/>
        <v>性质。</v>
      </c>
    </row>
    <row r="54" spans="1:12" x14ac:dyDescent="0.3">
      <c r="A54">
        <f ca="1">MATCH(ROW(),'B1'!H:H,0)</f>
        <v>168</v>
      </c>
      <c r="B54" t="str">
        <f ca="1">OFFSET('B1'!I$1,'B2'!$A54-1,0)</f>
        <v>第二个矩阵可以表示为左边两个矩阵的叠加。</v>
      </c>
      <c r="C54" s="1">
        <f ca="1">OFFSET('B1'!J$1,'B2'!$A54-1,0)</f>
        <v>5.1655092592592594E-3</v>
      </c>
      <c r="D54" s="1">
        <f ca="1">OFFSET('B1'!K$1,'B2'!$A54-1,0)</f>
        <v>5.2168981481481485E-3</v>
      </c>
      <c r="E54" t="str">
        <f t="shared" ca="1" si="1"/>
        <v>第二个矩阵可以表示为</v>
      </c>
      <c r="F54" t="str">
        <f t="shared" ca="1" si="0"/>
        <v>第二个矩</v>
      </c>
      <c r="G54" t="str">
        <f t="shared" ca="1" si="2"/>
        <v>第二</v>
      </c>
      <c r="H54" t="str">
        <f t="shared" ca="1" si="3"/>
        <v>示为左边两个矩阵的叠加。</v>
      </c>
      <c r="I54" t="str">
        <f t="shared" ca="1" si="6"/>
        <v>边两个矩阵的叠加。</v>
      </c>
      <c r="J54" t="str">
        <f t="shared" ca="1" si="7"/>
        <v>个矩阵的叠加。</v>
      </c>
      <c r="K54" t="str">
        <f t="shared" ca="1" si="4"/>
        <v>阵的叠加。</v>
      </c>
      <c r="L54" t="str">
        <f t="shared" ca="1" si="5"/>
        <v>叠加。</v>
      </c>
    </row>
    <row r="55" spans="1:12" x14ac:dyDescent="0.3">
      <c r="A55">
        <f ca="1">MATCH(ROW(),'B1'!H:H,0)</f>
        <v>170</v>
      </c>
      <c r="B55" t="str">
        <f ca="1">OFFSET('B1'!I$1,'B2'!$A55-1,0)</f>
        <v>由于单位矩阵左边没有矩阵，因此相当于叠加了一个零矩阵。</v>
      </c>
      <c r="C55" s="1">
        <f ca="1">OFFSET('B1'!J$1,'B2'!$A55-1,0)</f>
        <v>5.2178240740740744E-3</v>
      </c>
      <c r="D55" s="1">
        <f ca="1">OFFSET('B1'!K$1,'B2'!$A55-1,0)</f>
        <v>5.2877314814814818E-3</v>
      </c>
      <c r="E55" t="str">
        <f t="shared" ca="1" si="1"/>
        <v>由于单位矩阵左边没有</v>
      </c>
      <c r="F55" t="str">
        <f t="shared" ca="1" si="0"/>
        <v>由于单位</v>
      </c>
      <c r="G55" t="str">
        <f t="shared" ca="1" si="2"/>
        <v>由于</v>
      </c>
      <c r="H55" t="str">
        <f t="shared" ca="1" si="3"/>
        <v>相当于叠加了一个零矩阵。</v>
      </c>
      <c r="I55" t="str">
        <f t="shared" ca="1" si="6"/>
        <v>叠加了一个零矩阵。</v>
      </c>
      <c r="J55" t="str">
        <f t="shared" ca="1" si="7"/>
        <v>了一个零矩阵。</v>
      </c>
      <c r="K55" t="str">
        <f t="shared" ca="1" si="4"/>
        <v>个零矩阵。</v>
      </c>
      <c r="L55" t="str">
        <f t="shared" ca="1" si="5"/>
        <v>矩阵。</v>
      </c>
    </row>
    <row r="56" spans="1:12" x14ac:dyDescent="0.3">
      <c r="A56">
        <f ca="1">MATCH(ROW(),'B1'!H:H,0)</f>
        <v>171</v>
      </c>
      <c r="B56" t="str">
        <f ca="1">OFFSET('B1'!I$1,'B2'!$A56-1,0)</f>
        <v>由于零矩阵显然满足这个性质。</v>
      </c>
      <c r="C56" s="1">
        <f ca="1">OFFSET('B1'!J$1,'B2'!$A56-1,0)</f>
        <v>5.2895833333333328E-3</v>
      </c>
      <c r="D56" s="1">
        <f ca="1">OFFSET('B1'!K$1,'B2'!$A56-1,0)</f>
        <v>5.325231481481482E-3</v>
      </c>
      <c r="E56" t="str">
        <f t="shared" ca="1" si="1"/>
        <v>由于零矩阵显然满足这</v>
      </c>
      <c r="F56" t="str">
        <f t="shared" ca="1" si="0"/>
        <v>由于零矩</v>
      </c>
      <c r="G56" t="str">
        <f t="shared" ca="1" si="2"/>
        <v>由于</v>
      </c>
      <c r="H56" t="str">
        <f t="shared" ca="1" si="3"/>
        <v>零矩阵显然满足这个性质。</v>
      </c>
      <c r="I56" t="str">
        <f t="shared" ca="1" si="6"/>
        <v>显然满足这个性质。</v>
      </c>
      <c r="J56" t="str">
        <f t="shared" ca="1" si="7"/>
        <v>满足这个性质。</v>
      </c>
      <c r="K56" t="str">
        <f t="shared" ca="1" si="4"/>
        <v>这个性质。</v>
      </c>
      <c r="L56" t="str">
        <f t="shared" ca="1" si="5"/>
        <v>性质。</v>
      </c>
    </row>
    <row r="57" spans="1:12" x14ac:dyDescent="0.3">
      <c r="A57">
        <f ca="1">MATCH(ROW(),'B1'!H:H,0)</f>
        <v>177</v>
      </c>
      <c r="B57" t="str">
        <f ca="1">OFFSET('B1'!I$1,'B2'!$A57-1,0)</f>
        <v>因此，第二个矩阵也满足这个性质，因为BN有了这个性质，我们只需要知道BN的第一行，就能通过公式推导出后续的行，求得完整的矩阵BN。</v>
      </c>
      <c r="C57" s="1">
        <f ca="1">OFFSET('B1'!J$1,'B2'!$A57-1,0)</f>
        <v>5.3261574074074071E-3</v>
      </c>
      <c r="D57" s="1">
        <f ca="1">OFFSET('B1'!K$1,'B2'!$A57-1,0)</f>
        <v>5.4877314814814815E-3</v>
      </c>
      <c r="E57" t="str">
        <f t="shared" ca="1" si="1"/>
        <v>因此，第二个矩阵也满</v>
      </c>
      <c r="F57" t="str">
        <f t="shared" ca="1" si="0"/>
        <v>因此，第</v>
      </c>
      <c r="G57" t="str">
        <f t="shared" ca="1" si="2"/>
        <v>因此</v>
      </c>
      <c r="H57" t="str">
        <f t="shared" ca="1" si="3"/>
        <v>行，求得完整的矩阵BN。</v>
      </c>
      <c r="I57" t="str">
        <f t="shared" ca="1" si="6"/>
        <v>得完整的矩阵BN。</v>
      </c>
      <c r="J57" t="str">
        <f t="shared" ca="1" si="7"/>
        <v>整的矩阵BN。</v>
      </c>
      <c r="K57" t="str">
        <f t="shared" ca="1" si="4"/>
        <v>矩阵BN。</v>
      </c>
      <c r="L57" t="str">
        <f t="shared" ca="1" si="5"/>
        <v>BN。</v>
      </c>
    </row>
    <row r="58" spans="1:12" x14ac:dyDescent="0.3">
      <c r="A58">
        <f ca="1">MATCH(ROW(),'B1'!H:H,0)</f>
        <v>181</v>
      </c>
      <c r="B58" t="str">
        <f ca="1">OFFSET('B1'!I$1,'B2'!$A58-1,0)</f>
        <v>为了实现ON的二次方次算法，我们也需要用到类似的方法，尽量不去对整个矩阵进行操作，而是通过第一行来求逆或求解。</v>
      </c>
      <c r="C58" s="1">
        <f ca="1">OFFSET('B1'!J$1,'B2'!$A58-1,0)</f>
        <v>5.4881944444444448E-3</v>
      </c>
      <c r="D58" s="1">
        <f ca="1">OFFSET('B1'!K$1,'B2'!$A58-1,0)</f>
        <v>5.613194444444445E-3</v>
      </c>
      <c r="E58" t="str">
        <f t="shared" ca="1" si="1"/>
        <v>为了实现ON的二次方</v>
      </c>
      <c r="F58" t="str">
        <f t="shared" ca="1" si="0"/>
        <v>为了实现</v>
      </c>
      <c r="G58" t="str">
        <f t="shared" ca="1" si="2"/>
        <v>为了</v>
      </c>
      <c r="H58" t="str">
        <f t="shared" ca="1" si="3"/>
        <v>通过第一行来求逆或求解。</v>
      </c>
      <c r="I58" t="str">
        <f t="shared" ca="1" si="6"/>
        <v>一行来求逆或求解。</v>
      </c>
      <c r="J58" t="str">
        <f t="shared" ca="1" si="7"/>
        <v>来求逆或求解。</v>
      </c>
      <c r="K58" t="str">
        <f t="shared" ca="1" si="4"/>
        <v>逆或求解。</v>
      </c>
      <c r="L58" t="str">
        <f t="shared" ca="1" si="5"/>
        <v>求解。</v>
      </c>
    </row>
    <row r="59" spans="1:12" x14ac:dyDescent="0.3">
      <c r="A59">
        <f ca="1">MATCH(ROW(),'B1'!H:H,0)</f>
        <v>182</v>
      </c>
      <c r="B59" t="str">
        <f ca="1">OFFSET('B1'!I$1,'B2'!$A59-1,0)</f>
        <v>我们以N等于7为例。</v>
      </c>
      <c r="C59" s="1">
        <f ca="1">OFFSET('B1'!J$1,'B2'!$A59-1,0)</f>
        <v>5.613194444444445E-3</v>
      </c>
      <c r="D59" s="1">
        <f ca="1">OFFSET('B1'!K$1,'B2'!$A59-1,0)</f>
        <v>5.6488425925925925E-3</v>
      </c>
      <c r="E59" t="str">
        <f t="shared" ca="1" si="1"/>
        <v>我们以N等于7为例。</v>
      </c>
      <c r="F59" t="str">
        <f t="shared" ca="1" si="0"/>
        <v>我们以N</v>
      </c>
      <c r="G59" t="str">
        <f t="shared" ca="1" si="2"/>
        <v>我们</v>
      </c>
      <c r="H59" t="str">
        <f t="shared" ca="1" si="3"/>
        <v>我们以N等于7为例。</v>
      </c>
      <c r="I59" t="str">
        <f t="shared" ca="1" si="6"/>
        <v>们以N等于7为例。</v>
      </c>
      <c r="J59" t="str">
        <f t="shared" ca="1" si="7"/>
        <v>N等于7为例。</v>
      </c>
      <c r="K59" t="str">
        <f t="shared" ca="1" si="4"/>
        <v>于7为例。</v>
      </c>
      <c r="L59" t="str">
        <f t="shared" ca="1" si="5"/>
        <v>为例。</v>
      </c>
    </row>
    <row r="60" spans="1:12" x14ac:dyDescent="0.3">
      <c r="A60">
        <f ca="1">MATCH(ROW(),'B1'!H:H,0)</f>
        <v>185</v>
      </c>
      <c r="B60" t="str">
        <f ca="1">OFFSET('B1'!I$1,'B2'!$A60-1,0)</f>
        <v>这里的B就是前面提到的按钮矩阵BN，而Y就是翻转向量的最后一行，即BN的增广向量。</v>
      </c>
      <c r="C60" s="1">
        <f ca="1">OFFSET('B1'!J$1,'B2'!$A60-1,0)</f>
        <v>5.6488425925925925E-3</v>
      </c>
      <c r="D60" s="1">
        <f ca="1">OFFSET('B1'!K$1,'B2'!$A60-1,0)</f>
        <v>5.6969907407407412E-3</v>
      </c>
      <c r="E60" t="str">
        <f t="shared" ca="1" si="1"/>
        <v>这里的B就是前面提到</v>
      </c>
      <c r="F60" t="str">
        <f t="shared" ca="1" si="0"/>
        <v>这里的B</v>
      </c>
      <c r="G60" t="str">
        <f t="shared" ca="1" si="2"/>
        <v>这里</v>
      </c>
      <c r="H60" t="str">
        <f t="shared" ca="1" si="3"/>
        <v>一行，即BN的增广向量。</v>
      </c>
      <c r="I60" t="str">
        <f t="shared" ca="1" si="6"/>
        <v>即BN的增广向量。</v>
      </c>
      <c r="J60" t="str">
        <f t="shared" ca="1" si="7"/>
        <v>N的增广向量。</v>
      </c>
      <c r="K60" t="str">
        <f t="shared" ca="1" si="4"/>
        <v>增广向量。</v>
      </c>
      <c r="L60" t="str">
        <f t="shared" ca="1" si="5"/>
        <v>向量。</v>
      </c>
    </row>
    <row r="61" spans="1:12" x14ac:dyDescent="0.3">
      <c r="A61">
        <f ca="1">MATCH(ROW(),'B1'!H:H,0)</f>
        <v>187</v>
      </c>
      <c r="B61" t="str">
        <f ca="1">OFFSET('B1'!I$1,'B2'!$A61-1,0)</f>
        <v>我们的目标是对于BX等于Y，在已知B的第一行和Y的情况下求X。</v>
      </c>
      <c r="C61" s="1">
        <f ca="1">OFFSET('B1'!J$1,'B2'!$A61-1,0)</f>
        <v>5.6983796296296296E-3</v>
      </c>
      <c r="D61" s="1">
        <f ca="1">OFFSET('B1'!K$1,'B2'!$A61-1,0)</f>
        <v>5.7483796296296302E-3</v>
      </c>
      <c r="E61" t="str">
        <f t="shared" ca="1" si="1"/>
        <v>我们的目标是对于BX</v>
      </c>
      <c r="F61" t="str">
        <f t="shared" ca="1" si="0"/>
        <v>我们的目</v>
      </c>
      <c r="G61" t="str">
        <f t="shared" ca="1" si="2"/>
        <v>我们</v>
      </c>
      <c r="H61" t="str">
        <f t="shared" ca="1" si="3"/>
        <v>第一行和Y的情况下求X。</v>
      </c>
      <c r="I61" t="str">
        <f t="shared" ca="1" si="6"/>
        <v>和Y的情况下求X。</v>
      </c>
      <c r="J61" t="str">
        <f t="shared" ca="1" si="7"/>
        <v>的情况下求X。</v>
      </c>
      <c r="K61" t="str">
        <f t="shared" ca="1" si="4"/>
        <v>况下求X。</v>
      </c>
      <c r="L61" t="str">
        <f t="shared" ca="1" si="5"/>
        <v>求X。</v>
      </c>
    </row>
    <row r="62" spans="1:12" x14ac:dyDescent="0.3">
      <c r="A62">
        <f ca="1">MATCH(ROW(),'B1'!H:H,0)</f>
        <v>189</v>
      </c>
      <c r="B62" t="str">
        <f ca="1">OFFSET('B1'!I$1,'B2'!$A62-1,0)</f>
        <v>如果将N在不同情况下的B的第一行写在一起，矩阵长这样即为B撇。</v>
      </c>
      <c r="C62" s="1">
        <f ca="1">OFFSET('B1'!J$1,'B2'!$A62-1,0)</f>
        <v>5.7502314814814812E-3</v>
      </c>
      <c r="D62" s="1">
        <f ca="1">OFFSET('B1'!K$1,'B2'!$A62-1,0)</f>
        <v>5.8002314814814817E-3</v>
      </c>
      <c r="E62" t="str">
        <f t="shared" ca="1" si="1"/>
        <v>如果将N在不同情况下</v>
      </c>
      <c r="F62" t="str">
        <f t="shared" ca="1" si="0"/>
        <v>如果将N</v>
      </c>
      <c r="G62" t="str">
        <f t="shared" ca="1" si="2"/>
        <v>如果</v>
      </c>
      <c r="H62" t="str">
        <f t="shared" ca="1" si="3"/>
        <v>起，矩阵长这样即为B撇。</v>
      </c>
      <c r="I62" t="str">
        <f t="shared" ca="1" si="6"/>
        <v>阵长这样即为B撇。</v>
      </c>
      <c r="J62" t="str">
        <f t="shared" ca="1" si="7"/>
        <v>这样即为B撇。</v>
      </c>
      <c r="K62" t="str">
        <f t="shared" ca="1" si="4"/>
        <v>即为B撇。</v>
      </c>
      <c r="L62" t="str">
        <f t="shared" ca="1" si="5"/>
        <v>B撇。</v>
      </c>
    </row>
    <row r="63" spans="1:12" x14ac:dyDescent="0.3">
      <c r="A63">
        <f ca="1">MATCH(ROW(),'B1'!H:H,0)</f>
        <v>190</v>
      </c>
      <c r="B63" t="str">
        <f ca="1">OFFSET('B1'!I$1,'B2'!$A63-1,0)</f>
        <v>注意这里的B撇矩阵不是刚才说的当N确定时的完整的矩阵B。</v>
      </c>
      <c r="C63" s="1">
        <f ca="1">OFFSET('B1'!J$1,'B2'!$A63-1,0)</f>
        <v>5.8002314814814817E-3</v>
      </c>
      <c r="D63" s="1">
        <f ca="1">OFFSET('B1'!K$1,'B2'!$A63-1,0)</f>
        <v>5.8474537037037037E-3</v>
      </c>
      <c r="E63" t="str">
        <f t="shared" ca="1" si="1"/>
        <v>注意这里的B撇矩阵不</v>
      </c>
      <c r="F63" t="str">
        <f t="shared" ca="1" si="0"/>
        <v>注意这里</v>
      </c>
      <c r="G63" t="str">
        <f t="shared" ca="1" si="2"/>
        <v>注意</v>
      </c>
      <c r="H63" t="str">
        <f t="shared" ca="1" si="3"/>
        <v>N确定时的完整的矩阵B。</v>
      </c>
      <c r="I63" t="str">
        <f t="shared" ca="1" si="6"/>
        <v>时的完整的矩阵B。</v>
      </c>
      <c r="J63" t="str">
        <f t="shared" ca="1" si="7"/>
        <v>完整的矩阵B。</v>
      </c>
      <c r="K63" t="str">
        <f t="shared" ca="1" si="4"/>
        <v>的矩阵B。</v>
      </c>
      <c r="L63" t="str">
        <f t="shared" ca="1" si="5"/>
        <v>阵B。</v>
      </c>
    </row>
    <row r="64" spans="1:12" x14ac:dyDescent="0.3">
      <c r="A64">
        <f ca="1">MATCH(ROW(),'B1'!H:H,0)</f>
        <v>200</v>
      </c>
      <c r="B64" t="str">
        <f ca="1">OFFSET('B1'!I$1,'B2'!$A64-1,0)</f>
        <v>而是BN的第一行拼接起来的结果，另外这里从n等于零开始，一共递推n次，最后一个一不包含在矩阵B的第一行内，例如n等于70，第一行为1011011，最后一个一省去，改写后的矩阵记为B撇撇等于B撇加i，把y的第一行写在一起是这样的，记为y撇。</v>
      </c>
      <c r="C64" s="1">
        <f ca="1">OFFSET('B1'!J$1,'B2'!$A64-1,0)</f>
        <v>5.8474537037037037E-3</v>
      </c>
      <c r="D64" s="1">
        <f ca="1">OFFSET('B1'!K$1,'B2'!$A64-1,0)</f>
        <v>6.2261574074074077E-3</v>
      </c>
      <c r="E64" t="str">
        <f t="shared" ca="1" si="1"/>
        <v>而是BN的第一行拼接</v>
      </c>
      <c r="F64" t="str">
        <f t="shared" ca="1" si="0"/>
        <v>而是BN</v>
      </c>
      <c r="G64" t="str">
        <f t="shared" ca="1" si="2"/>
        <v>而是</v>
      </c>
      <c r="H64" t="str">
        <f t="shared" ca="1" si="3"/>
        <v>一起是这样的，记为y撇。</v>
      </c>
      <c r="I64" t="str">
        <f t="shared" ca="1" si="6"/>
        <v>这样的，记为y撇。</v>
      </c>
      <c r="J64" t="str">
        <f t="shared" ca="1" si="7"/>
        <v>的，记为y撇。</v>
      </c>
      <c r="K64" t="str">
        <f t="shared" ca="1" si="4"/>
        <v>记为y撇。</v>
      </c>
      <c r="L64" t="str">
        <f t="shared" ca="1" si="5"/>
        <v>y撇。</v>
      </c>
    </row>
    <row r="65" spans="1:12" x14ac:dyDescent="0.3">
      <c r="A65">
        <f ca="1">MATCH(ROW(),'B1'!H:H,0)</f>
        <v>202</v>
      </c>
      <c r="B65" t="str">
        <f ca="1">OFFSET('B1'!I$1,'B2'!$A65-1,0)</f>
        <v>合并在一起后的Y，撇有以上递推公式。</v>
      </c>
      <c r="C65" s="1">
        <f ca="1">OFFSET('B1'!J$1,'B2'!$A65-1,0)</f>
        <v>6.2266203703703702E-3</v>
      </c>
      <c r="D65" s="1">
        <f ca="1">OFFSET('B1'!K$1,'B2'!$A65-1,0)</f>
        <v>6.309027777777778E-3</v>
      </c>
      <c r="E65" t="str">
        <f t="shared" ca="1" si="1"/>
        <v>合并在一起后的Y，撇</v>
      </c>
      <c r="F65" t="str">
        <f t="shared" ref="F65:F128" ca="1" si="8">LEFT($B65,4)</f>
        <v>合并在一</v>
      </c>
      <c r="G65" t="str">
        <f t="shared" ca="1" si="2"/>
        <v>合并</v>
      </c>
      <c r="H65" t="str">
        <f t="shared" ca="1" si="3"/>
        <v>的Y，撇有以上递推公式。</v>
      </c>
      <c r="I65" t="str">
        <f t="shared" ca="1" si="6"/>
        <v>撇有以上递推公式。</v>
      </c>
      <c r="J65" t="str">
        <f t="shared" ca="1" si="7"/>
        <v>以上递推公式。</v>
      </c>
      <c r="K65" t="str">
        <f t="shared" ca="1" si="4"/>
        <v>递推公式。</v>
      </c>
      <c r="L65" t="str">
        <f t="shared" ca="1" si="5"/>
        <v>公式。</v>
      </c>
    </row>
    <row r="66" spans="1:12" x14ac:dyDescent="0.3">
      <c r="A66">
        <f ca="1">MATCH(ROW(),'B1'!H:H,0)</f>
        <v>204</v>
      </c>
      <c r="B66" t="str">
        <f ca="1">OFFSET('B1'!I$1,'B2'!$A66-1,0)</f>
        <v>为了不对整个矩阵进行操作，我们需要将矩阵B进行分解。</v>
      </c>
      <c r="C66" s="1">
        <f ca="1">OFFSET('B1'!J$1,'B2'!$A66-1,0)</f>
        <v>6.3113425925925924E-3</v>
      </c>
      <c r="D66" s="1">
        <f ca="1">OFFSET('B1'!K$1,'B2'!$A66-1,0)</f>
        <v>6.3932870370370367E-3</v>
      </c>
      <c r="E66" t="str">
        <f t="shared" ref="E66:E129" ca="1" si="9">LEFT($B66,10)</f>
        <v>为了不对整个矩阵进行</v>
      </c>
      <c r="F66" t="str">
        <f t="shared" ca="1" si="8"/>
        <v>为了不对</v>
      </c>
      <c r="G66" t="str">
        <f t="shared" ref="G66:G129" ca="1" si="10">LEFT($B66,2)</f>
        <v>为了</v>
      </c>
      <c r="H66" t="str">
        <f t="shared" ref="H66:H129" ca="1" si="11">RIGHT($B66,12)</f>
        <v>们需要将矩阵B进行分解。</v>
      </c>
      <c r="I66" t="str">
        <f t="shared" ca="1" si="6"/>
        <v>将矩阵B进行分解。</v>
      </c>
      <c r="J66" t="str">
        <f t="shared" ca="1" si="7"/>
        <v>阵B进行分解。</v>
      </c>
      <c r="K66" t="str">
        <f t="shared" ref="K66:K129" ca="1" si="12">RIGHT($B66,5)</f>
        <v>进行分解。</v>
      </c>
      <c r="L66" t="str">
        <f t="shared" ref="L66:L129" ca="1" si="13">RIGHT($B66,3)</f>
        <v>分解。</v>
      </c>
    </row>
    <row r="67" spans="1:12" x14ac:dyDescent="0.3">
      <c r="A67">
        <f ca="1">MATCH(ROW(),'B1'!H:H,0)</f>
        <v>206</v>
      </c>
      <c r="B67" t="str">
        <f ca="1">OFFSET('B1'!I$1,'B2'!$A67-1,0)</f>
        <v>这里介绍一个非常重要的矩阵H，称为邻接扩散矩阵。</v>
      </c>
      <c r="C67" s="1">
        <f ca="1">OFFSET('B1'!J$1,'B2'!$A67-1,0)</f>
        <v>6.3969907407407413E-3</v>
      </c>
      <c r="D67" s="1">
        <f ca="1">OFFSET('B1'!K$1,'B2'!$A67-1,0)</f>
        <v>6.4493055555555553E-3</v>
      </c>
      <c r="E67" t="str">
        <f t="shared" ca="1" si="9"/>
        <v>这里介绍一个非常重要</v>
      </c>
      <c r="F67" t="str">
        <f t="shared" ca="1" si="8"/>
        <v>这里介绍</v>
      </c>
      <c r="G67" t="str">
        <f t="shared" ca="1" si="10"/>
        <v>这里</v>
      </c>
      <c r="H67" t="str">
        <f t="shared" ca="1" si="11"/>
        <v>阵H，称为邻接扩散矩阵。</v>
      </c>
      <c r="I67" t="str">
        <f t="shared" ca="1" si="6"/>
        <v>称为邻接扩散矩阵。</v>
      </c>
      <c r="J67" t="str">
        <f t="shared" ca="1" si="7"/>
        <v>邻接扩散矩阵。</v>
      </c>
      <c r="K67" t="str">
        <f t="shared" ca="1" si="12"/>
        <v>扩散矩阵。</v>
      </c>
      <c r="L67" t="str">
        <f t="shared" ca="1" si="13"/>
        <v>矩阵。</v>
      </c>
    </row>
    <row r="68" spans="1:12" x14ac:dyDescent="0.3">
      <c r="A68">
        <f ca="1">MATCH(ROW(),'B1'!H:H,0)</f>
        <v>209</v>
      </c>
      <c r="B68" t="str">
        <f ca="1">OFFSET('B1'!I$1,'B2'!$A68-1,0)</f>
        <v>对于H的每一个元素，如果X和Y得差为一十取一，否则取零。</v>
      </c>
      <c r="C68" s="1">
        <f ca="1">OFFSET('B1'!J$1,'B2'!$A68-1,0)</f>
        <v>6.4506944444444447E-3</v>
      </c>
      <c r="D68" s="1">
        <f ca="1">OFFSET('B1'!K$1,'B2'!$A68-1,0)</f>
        <v>6.5238425925925924E-3</v>
      </c>
      <c r="E68" t="str">
        <f t="shared" ca="1" si="9"/>
        <v>对于H的每一个元素，</v>
      </c>
      <c r="F68" t="str">
        <f t="shared" ca="1" si="8"/>
        <v>对于H的</v>
      </c>
      <c r="G68" t="str">
        <f t="shared" ca="1" si="10"/>
        <v>对于</v>
      </c>
      <c r="H68" t="str">
        <f t="shared" ca="1" si="11"/>
        <v>差为一十取一，否则取零。</v>
      </c>
      <c r="I68" t="str">
        <f t="shared" ca="1" si="6"/>
        <v>十取一，否则取零。</v>
      </c>
      <c r="J68" t="str">
        <f t="shared" ca="1" si="7"/>
        <v>一，否则取零。</v>
      </c>
      <c r="K68" t="str">
        <f t="shared" ca="1" si="12"/>
        <v>否则取零。</v>
      </c>
      <c r="L68" t="str">
        <f t="shared" ca="1" si="13"/>
        <v>取零。</v>
      </c>
    </row>
    <row r="69" spans="1:12" x14ac:dyDescent="0.3">
      <c r="A69">
        <f ca="1">MATCH(ROW(),'B1'!H:H,0)</f>
        <v>211</v>
      </c>
      <c r="B69" t="str">
        <f ca="1">OFFSET('B1'!I$1,'B2'!$A69-1,0)</f>
        <v>如果将向量V乘以该矩阵，等同于将向量V的每个元素向左右扩散后叠加。</v>
      </c>
      <c r="C69" s="1">
        <f ca="1">OFFSET('B1'!J$1,'B2'!$A69-1,0)</f>
        <v>6.5238425925925924E-3</v>
      </c>
      <c r="D69" s="1">
        <f ca="1">OFFSET('B1'!K$1,'B2'!$A69-1,0)</f>
        <v>6.5881944444444451E-3</v>
      </c>
      <c r="E69" t="str">
        <f t="shared" ca="1" si="9"/>
        <v>如果将向量V乘以该矩</v>
      </c>
      <c r="F69" t="str">
        <f t="shared" ca="1" si="8"/>
        <v>如果将向</v>
      </c>
      <c r="G69" t="str">
        <f t="shared" ca="1" si="10"/>
        <v>如果</v>
      </c>
      <c r="H69" t="str">
        <f t="shared" ca="1" si="11"/>
        <v>个元素向左右扩散后叠加。</v>
      </c>
      <c r="I69" t="str">
        <f t="shared" ca="1" si="6"/>
        <v>向左右扩散后叠加。</v>
      </c>
      <c r="J69" t="str">
        <f t="shared" ca="1" si="7"/>
        <v>右扩散后叠加。</v>
      </c>
      <c r="K69" t="str">
        <f t="shared" ca="1" si="12"/>
        <v>散后叠加。</v>
      </c>
      <c r="L69" t="str">
        <f t="shared" ca="1" si="13"/>
        <v>叠加。</v>
      </c>
    </row>
    <row r="70" spans="1:12" x14ac:dyDescent="0.3">
      <c r="A70">
        <f ca="1">MATCH(ROW(),'B1'!H:H,0)</f>
        <v>218</v>
      </c>
      <c r="B70" t="str">
        <f ca="1">OFFSET('B1'!I$1,'B2'!$A70-1,0)</f>
        <v>这是因为矩阵的对应行就是向量每个元素左右扩散的结果，不难发现首行叠加法中的各个矩阵B可以用H表示为以上公式，这里B0、B1、B2分别表示为H的不同次数的叠加，将这些H的系数用多项式CNX表示，则有和矩阵B类似的递推公式。</v>
      </c>
      <c r="C70" s="1">
        <f ca="1">OFFSET('B1'!J$1,'B2'!$A70-1,0)</f>
        <v>6.5895833333333336E-3</v>
      </c>
      <c r="D70" s="1">
        <f ca="1">OFFSET('B1'!K$1,'B2'!$A70-1,0)</f>
        <v>6.8266203703703709E-3</v>
      </c>
      <c r="E70" t="str">
        <f t="shared" ca="1" si="9"/>
        <v>这是因为矩阵的对应行</v>
      </c>
      <c r="F70" t="str">
        <f t="shared" ca="1" si="8"/>
        <v>这是因为</v>
      </c>
      <c r="G70" t="str">
        <f t="shared" ca="1" si="10"/>
        <v>这是</v>
      </c>
      <c r="H70" t="str">
        <f t="shared" ca="1" si="11"/>
        <v>和矩阵B类似的递推公式。</v>
      </c>
      <c r="I70" t="str">
        <f t="shared" ca="1" si="6"/>
        <v>B类似的递推公式。</v>
      </c>
      <c r="J70" t="str">
        <f t="shared" ca="1" si="7"/>
        <v>似的递推公式。</v>
      </c>
      <c r="K70" t="str">
        <f t="shared" ca="1" si="12"/>
        <v>递推公式。</v>
      </c>
      <c r="L70" t="str">
        <f t="shared" ca="1" si="13"/>
        <v>公式。</v>
      </c>
    </row>
    <row r="71" spans="1:12" x14ac:dyDescent="0.3">
      <c r="A71">
        <f ca="1">MATCH(ROW(),'B1'!H:H,0)</f>
        <v>226</v>
      </c>
      <c r="B71" t="str">
        <f ca="1">OFFSET('B1'!I$1,'B2'!$A71-1,0)</f>
        <v>同时将系数C写成矩阵的形式记为C，注意这里的乘以H的操作在系数上代表右移而不是左右扩散，因此表达式中只有X减1而没有X加1，现在如果我们将多个H相乘，也就是H的N次方，将其首行H的N次方0拼接起来，看起来像是这样的，我们把这个下三角矩阵记为K。</v>
      </c>
      <c r="C71" s="1">
        <f ca="1">OFFSET('B1'!J$1,'B2'!$A71-1,0)</f>
        <v>6.8270833333333334E-3</v>
      </c>
      <c r="D71" s="1">
        <f ca="1">OFFSET('B1'!K$1,'B2'!$A71-1,0)</f>
        <v>7.1793981481481474E-3</v>
      </c>
      <c r="E71" t="str">
        <f t="shared" ca="1" si="9"/>
        <v>同时将系数C写成矩阵</v>
      </c>
      <c r="F71" t="str">
        <f t="shared" ca="1" si="8"/>
        <v>同时将系</v>
      </c>
      <c r="G71" t="str">
        <f t="shared" ca="1" si="10"/>
        <v>同时</v>
      </c>
      <c r="H71" t="str">
        <f t="shared" ca="1" si="11"/>
        <v>把这个下三角矩阵记为K。</v>
      </c>
      <c r="I71" t="str">
        <f t="shared" ca="1" si="6"/>
        <v>下三角矩阵记为K。</v>
      </c>
      <c r="J71" t="str">
        <f t="shared" ca="1" si="7"/>
        <v>角矩阵记为K。</v>
      </c>
      <c r="K71" t="str">
        <f t="shared" ca="1" si="12"/>
        <v>阵记为K。</v>
      </c>
      <c r="L71" t="str">
        <f t="shared" ca="1" si="13"/>
        <v>为K。</v>
      </c>
    </row>
    <row r="72" spans="1:12" x14ac:dyDescent="0.3">
      <c r="A72">
        <f ca="1">MATCH(ROW(),'B1'!H:H,0)</f>
        <v>234</v>
      </c>
      <c r="B72" t="str">
        <f ca="1">OFFSET('B1'!I$1,'B2'!$A72-1,0)</f>
        <v>又称克雷洛夫矩阵或扩散机矩阵，对于K的第n行有以上公式，这里后一行是前一行乘以H，也就是前一行的左右扩散，因此对于K的每个元素有以上递推公式，现在定义多项式PX，我们的目标是把B拆分成H的n次方，将矩阵H代入多项式PX得到PH。</v>
      </c>
      <c r="C72" s="1">
        <f ca="1">OFFSET('B1'!J$1,'B2'!$A72-1,0)</f>
        <v>7.1793981481481474E-3</v>
      </c>
      <c r="D72" s="1">
        <f ca="1">OFFSET('B1'!K$1,'B2'!$A72-1,0)</f>
        <v>7.3636574074074073E-3</v>
      </c>
      <c r="E72" t="str">
        <f t="shared" ca="1" si="9"/>
        <v>又称克雷洛夫矩阵或扩</v>
      </c>
      <c r="F72" t="str">
        <f t="shared" ca="1" si="8"/>
        <v>又称克雷</v>
      </c>
      <c r="G72" t="str">
        <f t="shared" ca="1" si="10"/>
        <v>又称</v>
      </c>
      <c r="H72" t="str">
        <f t="shared" ca="1" si="11"/>
        <v>代入多项式PX得到PH。</v>
      </c>
      <c r="I72" t="str">
        <f t="shared" ca="1" si="6"/>
        <v>项式PX得到PH。</v>
      </c>
      <c r="J72" t="str">
        <f t="shared" ca="1" si="7"/>
        <v>PX得到PH。</v>
      </c>
      <c r="K72" t="str">
        <f t="shared" ca="1" si="12"/>
        <v>得到PH。</v>
      </c>
      <c r="L72" t="str">
        <f t="shared" ca="1" si="13"/>
        <v>PH。</v>
      </c>
    </row>
    <row r="73" spans="1:12" x14ac:dyDescent="0.3">
      <c r="A73">
        <f ca="1">MATCH(ROW(),'B1'!H:H,0)</f>
        <v>236</v>
      </c>
      <c r="B73" t="str">
        <f ca="1">OFFSET('B1'!I$1,'B2'!$A73-1,0)</f>
        <v>并用其表示矩阵b，这样原始求x的问题就转化为了phx等于y。</v>
      </c>
      <c r="C73" s="1">
        <f ca="1">OFFSET('B1'!J$1,'B2'!$A73-1,0)</f>
        <v>7.3650462962962966E-3</v>
      </c>
      <c r="D73" s="1">
        <f ca="1">OFFSET('B1'!K$1,'B2'!$A73-1,0)</f>
        <v>7.4233796296296296E-3</v>
      </c>
      <c r="E73" t="str">
        <f t="shared" ca="1" si="9"/>
        <v>并用其表示矩阵b，这</v>
      </c>
      <c r="F73" t="str">
        <f t="shared" ca="1" si="8"/>
        <v>并用其表</v>
      </c>
      <c r="G73" t="str">
        <f t="shared" ca="1" si="10"/>
        <v>并用</v>
      </c>
      <c r="H73" t="str">
        <f t="shared" ca="1" si="11"/>
        <v>就转化为了phx等于y。</v>
      </c>
      <c r="I73" t="str">
        <f t="shared" ca="1" si="6"/>
        <v>为了phx等于y。</v>
      </c>
      <c r="J73" t="str">
        <f t="shared" ca="1" si="7"/>
        <v>phx等于y。</v>
      </c>
      <c r="K73" t="str">
        <f t="shared" ca="1" si="12"/>
        <v>x等于y。</v>
      </c>
      <c r="L73" t="str">
        <f t="shared" ca="1" si="13"/>
        <v>于y。</v>
      </c>
    </row>
    <row r="74" spans="1:12" x14ac:dyDescent="0.3">
      <c r="A74">
        <f ca="1">MATCH(ROW(),'B1'!H:H,0)</f>
        <v>238</v>
      </c>
      <c r="B74" t="str">
        <f ca="1">OFFSET('B1'!I$1,'B2'!$A74-1,0)</f>
        <v>现在我们需要把多项式ph的系数计算出来，这个系数构成的向量我们记为p。</v>
      </c>
      <c r="C74" s="1">
        <f ca="1">OFFSET('B1'!J$1,'B2'!$A74-1,0)</f>
        <v>7.4243055555555564E-3</v>
      </c>
      <c r="D74" s="1">
        <f ca="1">OFFSET('B1'!K$1,'B2'!$A74-1,0)</f>
        <v>7.4775462962962955E-3</v>
      </c>
      <c r="E74" t="str">
        <f t="shared" ca="1" si="9"/>
        <v>现在我们需要把多项式</v>
      </c>
      <c r="F74" t="str">
        <f t="shared" ca="1" si="8"/>
        <v>现在我们</v>
      </c>
      <c r="G74" t="str">
        <f t="shared" ca="1" si="10"/>
        <v>现在</v>
      </c>
      <c r="H74" t="str">
        <f t="shared" ca="1" si="11"/>
        <v>数构成的向量我们记为p。</v>
      </c>
      <c r="I74" t="str">
        <f t="shared" ca="1" si="6"/>
        <v>的向量我们记为p。</v>
      </c>
      <c r="J74" t="str">
        <f t="shared" ca="1" si="7"/>
        <v>量我们记为p。</v>
      </c>
      <c r="K74" t="str">
        <f t="shared" ca="1" si="12"/>
        <v>们记为p。</v>
      </c>
      <c r="L74" t="str">
        <f t="shared" ca="1" si="13"/>
        <v>为p。</v>
      </c>
    </row>
    <row r="75" spans="1:12" x14ac:dyDescent="0.3">
      <c r="A75">
        <f ca="1">MATCH(ROW(),'B1'!H:H,0)</f>
        <v>241</v>
      </c>
      <c r="B75" t="str">
        <f ca="1">OFFSET('B1'!I$1,'B2'!$A75-1,0)</f>
        <v>为了简化运算，我们只关心矩阵第一行b零，记为b。</v>
      </c>
      <c r="C75" s="1">
        <f ca="1">OFFSET('B1'!J$1,'B2'!$A75-1,0)</f>
        <v>7.4784722222222223E-3</v>
      </c>
      <c r="D75" s="1">
        <f ca="1">OFFSET('B1'!K$1,'B2'!$A75-1,0)</f>
        <v>7.585879629629629E-3</v>
      </c>
      <c r="E75" t="str">
        <f t="shared" ca="1" si="9"/>
        <v>为了简化运算，我们只</v>
      </c>
      <c r="F75" t="str">
        <f t="shared" ca="1" si="8"/>
        <v>为了简化</v>
      </c>
      <c r="G75" t="str">
        <f t="shared" ca="1" si="10"/>
        <v>为了</v>
      </c>
      <c r="H75" t="str">
        <f t="shared" ca="1" si="11"/>
        <v>矩阵第一行b零，记为b。</v>
      </c>
      <c r="I75" t="str">
        <f t="shared" ca="1" si="6"/>
        <v>一行b零，记为b。</v>
      </c>
      <c r="J75" t="str">
        <f t="shared" ca="1" si="7"/>
        <v>b零，记为b。</v>
      </c>
      <c r="K75" t="str">
        <f t="shared" ca="1" si="12"/>
        <v>，记为b。</v>
      </c>
      <c r="L75" t="str">
        <f t="shared" ca="1" si="13"/>
        <v>为b。</v>
      </c>
    </row>
    <row r="76" spans="1:12" x14ac:dyDescent="0.3">
      <c r="A76">
        <f ca="1">MATCH(ROW(),'B1'!H:H,0)</f>
        <v>243</v>
      </c>
      <c r="B76" t="str">
        <f ca="1">OFFSET('B1'!I$1,'B2'!$A76-1,0)</f>
        <v>根据刚才k的定义，我们可以得到b等于kp。</v>
      </c>
      <c r="C76" s="1">
        <f ca="1">OFFSET('B1'!J$1,'B2'!$A76-1,0)</f>
        <v>7.585879629629629E-3</v>
      </c>
      <c r="D76" s="1">
        <f ca="1">OFFSET('B1'!K$1,'B2'!$A76-1,0)</f>
        <v>7.6400462962962967E-3</v>
      </c>
      <c r="E76" t="str">
        <f t="shared" ca="1" si="9"/>
        <v>根据刚才k的定义，我</v>
      </c>
      <c r="F76" t="str">
        <f t="shared" ca="1" si="8"/>
        <v>根据刚才</v>
      </c>
      <c r="G76" t="str">
        <f t="shared" ca="1" si="10"/>
        <v>根据</v>
      </c>
      <c r="H76" t="str">
        <f t="shared" ca="1" si="11"/>
        <v>我们可以得到b等于kp。</v>
      </c>
      <c r="I76" t="str">
        <f t="shared" ca="1" si="6"/>
        <v>以得到b等于kp。</v>
      </c>
      <c r="J76" t="str">
        <f t="shared" ca="1" si="7"/>
        <v>到b等于kp。</v>
      </c>
      <c r="K76" t="str">
        <f t="shared" ca="1" si="12"/>
        <v>等于kp。</v>
      </c>
      <c r="L76" t="str">
        <f t="shared" ca="1" si="13"/>
        <v>kp。</v>
      </c>
    </row>
    <row r="77" spans="1:12" x14ac:dyDescent="0.3">
      <c r="A77">
        <f ca="1">MATCH(ROW(),'B1'!H:H,0)</f>
        <v>247</v>
      </c>
      <c r="B77" t="str">
        <f ca="1">OFFSET('B1'!I$1,'B2'!$A77-1,0)</f>
        <v>为了求得P，我们可以将两边同时乘以K的逆矩阵，即为F，又称反克雷洛夫矩阵或结偶矩阵。</v>
      </c>
      <c r="C77" s="1">
        <f ca="1">OFFSET('B1'!J$1,'B2'!$A77-1,0)</f>
        <v>7.6400462962962967E-3</v>
      </c>
      <c r="D77" s="1">
        <f ca="1">OFFSET('B1'!K$1,'B2'!$A77-1,0)</f>
        <v>7.8511574074074074E-3</v>
      </c>
      <c r="E77" t="str">
        <f t="shared" ca="1" si="9"/>
        <v>为了求得P，我们可以</v>
      </c>
      <c r="F77" t="str">
        <f t="shared" ca="1" si="8"/>
        <v>为了求得</v>
      </c>
      <c r="G77" t="str">
        <f t="shared" ca="1" si="10"/>
        <v>为了</v>
      </c>
      <c r="H77" t="str">
        <f t="shared" ca="1" si="11"/>
        <v>克雷洛夫矩阵或结偶矩阵。</v>
      </c>
      <c r="I77" t="str">
        <f t="shared" ca="1" si="6"/>
        <v>夫矩阵或结偶矩阵。</v>
      </c>
      <c r="J77" t="str">
        <f t="shared" ca="1" si="7"/>
        <v>阵或结偶矩阵。</v>
      </c>
      <c r="K77" t="str">
        <f t="shared" ca="1" si="12"/>
        <v>结偶矩阵。</v>
      </c>
      <c r="L77" t="str">
        <f t="shared" ca="1" si="13"/>
        <v>矩阵。</v>
      </c>
    </row>
    <row r="78" spans="1:12" x14ac:dyDescent="0.3">
      <c r="A78">
        <f ca="1">MATCH(ROW(),'B1'!H:H,0)</f>
        <v>250</v>
      </c>
      <c r="B78" t="str">
        <f ca="1">OFFSET('B1'!I$1,'B2'!$A78-1,0)</f>
        <v>这个矩阵F也是下三角矩阵，并且和矩阵K看上去差不多，不过并不相同。</v>
      </c>
      <c r="C78" s="1">
        <f ca="1">OFFSET('B1'!J$1,'B2'!$A78-1,0)</f>
        <v>7.8525462962962967E-3</v>
      </c>
      <c r="D78" s="1">
        <f ca="1">OFFSET('B1'!K$1,'B2'!$A78-1,0)</f>
        <v>7.9942129629629634E-3</v>
      </c>
      <c r="E78" t="str">
        <f t="shared" ca="1" si="9"/>
        <v>这个矩阵F也是下三角</v>
      </c>
      <c r="F78" t="str">
        <f t="shared" ca="1" si="8"/>
        <v>这个矩阵</v>
      </c>
      <c r="G78" t="str">
        <f t="shared" ca="1" si="10"/>
        <v>这个</v>
      </c>
      <c r="H78" t="str">
        <f t="shared" ca="1" si="11"/>
        <v>去差不多，不过并不相同。</v>
      </c>
      <c r="I78" t="str">
        <f t="shared" ca="1" si="6"/>
        <v>多，不过并不相同。</v>
      </c>
      <c r="J78" t="str">
        <f t="shared" ca="1" si="7"/>
        <v>不过并不相同。</v>
      </c>
      <c r="K78" t="str">
        <f t="shared" ca="1" si="12"/>
        <v>并不相同。</v>
      </c>
      <c r="L78" t="str">
        <f t="shared" ca="1" si="13"/>
        <v>相同。</v>
      </c>
    </row>
    <row r="79" spans="1:12" x14ac:dyDescent="0.3">
      <c r="A79">
        <f ca="1">MATCH(ROW(),'B1'!H:H,0)</f>
        <v>252</v>
      </c>
      <c r="B79" t="str">
        <f ca="1">OFFSET('B1'!I$1,'B2'!$A79-1,0)</f>
        <v>事实上，这个矩阵F也满足类似的性质。</v>
      </c>
      <c r="C79" s="1">
        <f ca="1">OFFSET('B1'!J$1,'B2'!$A79-1,0)</f>
        <v>7.9951388888888884E-3</v>
      </c>
      <c r="D79" s="1">
        <f ca="1">OFFSET('B1'!K$1,'B2'!$A79-1,0)</f>
        <v>8.0932870370370377E-3</v>
      </c>
      <c r="E79" t="str">
        <f t="shared" ca="1" si="9"/>
        <v>事实上，这个矩阵F也</v>
      </c>
      <c r="F79" t="str">
        <f t="shared" ca="1" si="8"/>
        <v>事实上，</v>
      </c>
      <c r="G79" t="str">
        <f t="shared" ca="1" si="10"/>
        <v>事实</v>
      </c>
      <c r="H79" t="str">
        <f t="shared" ca="1" si="11"/>
        <v>矩阵F也满足类似的性质。</v>
      </c>
      <c r="I79" t="str">
        <f t="shared" ca="1" si="6"/>
        <v>也满足类似的性质。</v>
      </c>
      <c r="J79" t="str">
        <f t="shared" ca="1" si="7"/>
        <v>足类似的性质。</v>
      </c>
      <c r="K79" t="str">
        <f t="shared" ca="1" si="12"/>
        <v>似的性质。</v>
      </c>
      <c r="L79" t="str">
        <f t="shared" ca="1" si="13"/>
        <v>性质。</v>
      </c>
    </row>
    <row r="80" spans="1:12" x14ac:dyDescent="0.3">
      <c r="A80">
        <f ca="1">MATCH(ROW(),'B1'!H:H,0)</f>
        <v>255</v>
      </c>
      <c r="B80" t="str">
        <f ca="1">OFFSET('B1'!I$1,'B2'!$A80-1,0)</f>
        <v>使用这两个性质构造的矩阵K和F可以证明S等于KF为单位矩阵I，有兴趣的小伙伴可以自己试着证明一下。</v>
      </c>
      <c r="C80" s="1">
        <f ca="1">OFFSET('B1'!J$1,'B2'!$A80-1,0)</f>
        <v>8.0932870370370377E-3</v>
      </c>
      <c r="D80" s="1">
        <f ca="1">OFFSET('B1'!K$1,'B2'!$A80-1,0)</f>
        <v>8.1993055555555552E-3</v>
      </c>
      <c r="E80" t="str">
        <f t="shared" ca="1" si="9"/>
        <v>使用这两个性质构造的</v>
      </c>
      <c r="F80" t="str">
        <f t="shared" ca="1" si="8"/>
        <v>使用这两</v>
      </c>
      <c r="G80" t="str">
        <f t="shared" ca="1" si="10"/>
        <v>使用</v>
      </c>
      <c r="H80" t="str">
        <f t="shared" ca="1" si="11"/>
        <v>伴可以自己试着证明一下。</v>
      </c>
      <c r="I80" t="str">
        <f t="shared" ca="1" si="6"/>
        <v>自己试着证明一下。</v>
      </c>
      <c r="J80" t="str">
        <f t="shared" ca="1" si="7"/>
        <v>试着证明一下。</v>
      </c>
      <c r="K80" t="str">
        <f t="shared" ca="1" si="12"/>
        <v>证明一下。</v>
      </c>
      <c r="L80" t="str">
        <f t="shared" ca="1" si="13"/>
        <v>一下。</v>
      </c>
    </row>
    <row r="81" spans="1:12" x14ac:dyDescent="0.3">
      <c r="A81">
        <f ca="1">MATCH(ROW(),'B1'!H:H,0)</f>
        <v>257</v>
      </c>
      <c r="B81" t="str">
        <f ca="1">OFFSET('B1'!I$1,'B2'!$A81-1,0)</f>
        <v>提示矩阵S等于KF满足14偶校验约束，也就是满足以上递推公式。</v>
      </c>
      <c r="C81" s="1">
        <f ca="1">OFFSET('B1'!J$1,'B2'!$A81-1,0)</f>
        <v>8.200231481481482E-3</v>
      </c>
      <c r="D81" s="1">
        <f ca="1">OFFSET('B1'!K$1,'B2'!$A81-1,0)</f>
        <v>8.2372685185185188E-3</v>
      </c>
      <c r="E81" t="str">
        <f t="shared" ca="1" si="9"/>
        <v>提示矩阵S等于KF满</v>
      </c>
      <c r="F81" t="str">
        <f t="shared" ca="1" si="8"/>
        <v>提示矩阵</v>
      </c>
      <c r="G81" t="str">
        <f t="shared" ca="1" si="10"/>
        <v>提示</v>
      </c>
      <c r="H81" t="str">
        <f t="shared" ca="1" si="11"/>
        <v>也就是满足以上递推公式。</v>
      </c>
      <c r="I81" t="str">
        <f t="shared" ca="1" si="6"/>
        <v>满足以上递推公式。</v>
      </c>
      <c r="J81" t="str">
        <f t="shared" ca="1" si="7"/>
        <v>以上递推公式。</v>
      </c>
      <c r="K81" t="str">
        <f t="shared" ca="1" si="12"/>
        <v>递推公式。</v>
      </c>
      <c r="L81" t="str">
        <f t="shared" ca="1" si="13"/>
        <v>公式。</v>
      </c>
    </row>
    <row r="82" spans="1:12" x14ac:dyDescent="0.3">
      <c r="A82">
        <f ca="1">MATCH(ROW(),'B1'!H:H,0)</f>
        <v>260</v>
      </c>
      <c r="B82" t="str">
        <f ca="1">OFFSET('B1'!I$1,'B2'!$A82-1,0)</f>
        <v>这里说明一下矩阵F的每行对应多项式FNX，也就是上集视频解的数量章节中提到的OEIS中的斐波那契多项式。</v>
      </c>
      <c r="C82" s="1">
        <f ca="1">OFFSET('B1'!J$1,'B2'!$A82-1,0)</f>
        <v>8.2381944444444438E-3</v>
      </c>
      <c r="D82" s="1">
        <f ca="1">OFFSET('B1'!K$1,'B2'!$A82-1,0)</f>
        <v>8.3006944444444439E-3</v>
      </c>
      <c r="E82" t="str">
        <f t="shared" ca="1" si="9"/>
        <v>这里说明一下矩阵F的</v>
      </c>
      <c r="F82" t="str">
        <f t="shared" ca="1" si="8"/>
        <v>这里说明</v>
      </c>
      <c r="G82" t="str">
        <f t="shared" ca="1" si="10"/>
        <v>这里</v>
      </c>
      <c r="H82" t="str">
        <f t="shared" ca="1" si="11"/>
        <v>IS中的斐波那契多项式。</v>
      </c>
      <c r="I82" t="str">
        <f t="shared" ca="1" si="6"/>
        <v>的斐波那契多项式。</v>
      </c>
      <c r="J82" t="str">
        <f t="shared" ca="1" si="7"/>
        <v>波那契多项式。</v>
      </c>
      <c r="K82" t="str">
        <f t="shared" ca="1" si="12"/>
        <v>契多项式。</v>
      </c>
      <c r="L82" t="str">
        <f t="shared" ca="1" si="13"/>
        <v>项式。</v>
      </c>
    </row>
    <row r="83" spans="1:12" x14ac:dyDescent="0.3">
      <c r="A83">
        <f ca="1">MATCH(ROW(),'B1'!H:H,0)</f>
        <v>263</v>
      </c>
      <c r="B83" t="str">
        <f ca="1">OFFSET('B1'!I$1,'B2'!$A83-1,0)</f>
        <v>此外，刚才递推得到的矩阵C对应多项式CNX等价于解的数量章节中提到的FNX加1。</v>
      </c>
      <c r="C83" s="1">
        <f ca="1">OFFSET('B1'!J$1,'B2'!$A83-1,0)</f>
        <v>8.3006944444444439E-3</v>
      </c>
      <c r="D83" s="1">
        <f ca="1">OFFSET('B1'!K$1,'B2'!$A83-1,0)</f>
        <v>8.4025462962962968E-3</v>
      </c>
      <c r="E83" t="str">
        <f t="shared" ca="1" si="9"/>
        <v>此外，刚才递推得到的</v>
      </c>
      <c r="F83" t="str">
        <f t="shared" ca="1" si="8"/>
        <v>此外，刚</v>
      </c>
      <c r="G83" t="str">
        <f t="shared" ca="1" si="10"/>
        <v>此外</v>
      </c>
      <c r="H83" t="str">
        <f t="shared" ca="1" si="11"/>
        <v>章节中提到的FNX加1。</v>
      </c>
      <c r="I83" t="str">
        <f t="shared" ca="1" si="6"/>
        <v>提到的FNX加1。</v>
      </c>
      <c r="J83" t="str">
        <f t="shared" ca="1" si="7"/>
        <v>的FNX加1。</v>
      </c>
      <c r="K83" t="str">
        <f t="shared" ca="1" si="12"/>
        <v>NX加1。</v>
      </c>
      <c r="L83" t="str">
        <f t="shared" ca="1" si="13"/>
        <v>加1。</v>
      </c>
    </row>
    <row r="84" spans="1:12" x14ac:dyDescent="0.3">
      <c r="A84">
        <f ca="1">MATCH(ROW(),'B1'!H:H,0)</f>
        <v>272</v>
      </c>
      <c r="B84" t="str">
        <f ca="1">OFFSET('B1'!I$1,'B2'!$A84-1,0)</f>
        <v>这个证明也不难，可以由F和C的关系求出F和C的递推公式或者由递推公式反推，同时BN矩阵也可以表示为以上形式，这里的H加I等价于X加1，让我们继续求P，由于F和K互逆，于是我们有FB等于FKP等于P，将向量B和矩阵F相乘，我们便求出了P。</v>
      </c>
      <c r="C84" s="1">
        <f ca="1">OFFSET('B1'!J$1,'B2'!$A84-1,0)</f>
        <v>8.4039351851851862E-3</v>
      </c>
      <c r="D84" s="1">
        <f ca="1">OFFSET('B1'!K$1,'B2'!$A84-1,0)</f>
        <v>8.736805555555555E-3</v>
      </c>
      <c r="E84" t="str">
        <f t="shared" ca="1" si="9"/>
        <v>这个证明也不难，可以</v>
      </c>
      <c r="F84" t="str">
        <f t="shared" ca="1" si="8"/>
        <v>这个证明</v>
      </c>
      <c r="G84" t="str">
        <f t="shared" ca="1" si="10"/>
        <v>这个</v>
      </c>
      <c r="H84" t="str">
        <f t="shared" ca="1" si="11"/>
        <v>F相乘，我们便求出了P。</v>
      </c>
      <c r="I84" t="str">
        <f t="shared" ca="1" si="6"/>
        <v>，我们便求出了P。</v>
      </c>
      <c r="J84" t="str">
        <f t="shared" ca="1" si="7"/>
        <v>们便求出了P。</v>
      </c>
      <c r="K84" t="str">
        <f t="shared" ca="1" si="12"/>
        <v>求出了P。</v>
      </c>
      <c r="L84" t="str">
        <f t="shared" ca="1" si="13"/>
        <v>了P。</v>
      </c>
    </row>
    <row r="85" spans="1:12" x14ac:dyDescent="0.3">
      <c r="A85">
        <f ca="1">MATCH(ROW(),'B1'!H:H,0)</f>
        <v>275</v>
      </c>
      <c r="B85" t="str">
        <f ca="1">OFFSET('B1'!I$1,'B2'!$A85-1,0)</f>
        <v>为了和视频中演示的一致，由于B是竖着的，因此写为P等于FB。</v>
      </c>
      <c r="C85" s="1">
        <f ca="1">OFFSET('B1'!J$1,'B2'!$A85-1,0)</f>
        <v>8.736805555555555E-3</v>
      </c>
      <c r="D85" s="1">
        <f ca="1">OFFSET('B1'!K$1,'B2'!$A85-1,0)</f>
        <v>8.8284722222222219E-3</v>
      </c>
      <c r="E85" t="str">
        <f t="shared" ca="1" si="9"/>
        <v>为了和视频中演示的一</v>
      </c>
      <c r="F85" t="str">
        <f t="shared" ca="1" si="8"/>
        <v>为了和视</v>
      </c>
      <c r="G85" t="str">
        <f t="shared" ca="1" si="10"/>
        <v>为了</v>
      </c>
      <c r="H85" t="str">
        <f t="shared" ca="1" si="11"/>
        <v>的，因此写为P等于FB。</v>
      </c>
      <c r="I85" t="str">
        <f t="shared" ref="I85:I148" ca="1" si="14">RIGHT($B85,9)</f>
        <v>此写为P等于FB。</v>
      </c>
      <c r="J85" t="str">
        <f t="shared" ref="J85:J148" ca="1" si="15">RIGHT($B85,7)</f>
        <v>为P等于FB。</v>
      </c>
      <c r="K85" t="str">
        <f t="shared" ca="1" si="12"/>
        <v>等于FB。</v>
      </c>
      <c r="L85" t="str">
        <f t="shared" ca="1" si="13"/>
        <v>FB。</v>
      </c>
    </row>
    <row r="86" spans="1:12" x14ac:dyDescent="0.3">
      <c r="A86">
        <f ca="1">MATCH(ROW(),'B1'!H:H,0)</f>
        <v>277</v>
      </c>
      <c r="B86" t="str">
        <f ca="1">OFFSET('B1'!I$1,'B2'!$A86-1,0)</f>
        <v>对于矩阵乘法运算来说，则有P等于B撇撇F。</v>
      </c>
      <c r="C86" s="1">
        <f ca="1">OFFSET('B1'!J$1,'B2'!$A86-1,0)</f>
        <v>8.8303240740740755E-3</v>
      </c>
      <c r="D86" s="1">
        <f ca="1">OFFSET('B1'!K$1,'B2'!$A86-1,0)</f>
        <v>8.8803240740740735E-3</v>
      </c>
      <c r="E86" t="str">
        <f t="shared" ca="1" si="9"/>
        <v>对于矩阵乘法运算来说</v>
      </c>
      <c r="F86" t="str">
        <f t="shared" ca="1" si="8"/>
        <v>对于矩阵</v>
      </c>
      <c r="G86" t="str">
        <f t="shared" ca="1" si="10"/>
        <v>对于</v>
      </c>
      <c r="H86" t="str">
        <f t="shared" ca="1" si="11"/>
        <v>说，则有P等于B撇撇F。</v>
      </c>
      <c r="I86" t="str">
        <f t="shared" ca="1" si="14"/>
        <v>有P等于B撇撇F。</v>
      </c>
      <c r="J86" t="str">
        <f t="shared" ca="1" si="15"/>
        <v>等于B撇撇F。</v>
      </c>
      <c r="K86" t="str">
        <f t="shared" ca="1" si="12"/>
        <v>B撇撇F。</v>
      </c>
      <c r="L86" t="str">
        <f t="shared" ca="1" si="13"/>
        <v>撇F。</v>
      </c>
    </row>
    <row r="87" spans="1:12" x14ac:dyDescent="0.3">
      <c r="A87">
        <f ca="1">MATCH(ROW(),'B1'!H:H,0)</f>
        <v>279</v>
      </c>
      <c r="B87" t="str">
        <f ca="1">OFFSET('B1'!I$1,'B2'!$A87-1,0)</f>
        <v>这里省去了转置符号，将多项式PX写成矩阵的形式记为P。</v>
      </c>
      <c r="C87" s="1">
        <f ca="1">OFFSET('B1'!J$1,'B2'!$A87-1,0)</f>
        <v>8.8803240740740735E-3</v>
      </c>
      <c r="D87" s="1">
        <f ca="1">OFFSET('B1'!K$1,'B2'!$A87-1,0)</f>
        <v>8.9571759259259257E-3</v>
      </c>
      <c r="E87" t="str">
        <f t="shared" ca="1" si="9"/>
        <v>这里省去了转置符号，</v>
      </c>
      <c r="F87" t="str">
        <f t="shared" ca="1" si="8"/>
        <v>这里省去</v>
      </c>
      <c r="G87" t="str">
        <f t="shared" ca="1" si="10"/>
        <v>这里</v>
      </c>
      <c r="H87" t="str">
        <f t="shared" ca="1" si="11"/>
        <v>X写成矩阵的形式记为P。</v>
      </c>
      <c r="I87" t="str">
        <f t="shared" ca="1" si="14"/>
        <v>矩阵的形式记为P。</v>
      </c>
      <c r="J87" t="str">
        <f t="shared" ca="1" si="15"/>
        <v>的形式记为P。</v>
      </c>
      <c r="K87" t="str">
        <f t="shared" ca="1" si="12"/>
        <v>式记为P。</v>
      </c>
      <c r="L87" t="str">
        <f t="shared" ca="1" si="13"/>
        <v>为P。</v>
      </c>
    </row>
    <row r="88" spans="1:12" x14ac:dyDescent="0.3">
      <c r="A88">
        <f ca="1">MATCH(ROW(),'B1'!H:H,0)</f>
        <v>282</v>
      </c>
      <c r="B88" t="str">
        <f ca="1">OFFSET('B1'!I$1,'B2'!$A88-1,0)</f>
        <v>有了P等于FB之后，后续的计算我们都不需要用到完整的B，而只需要B的第一行及向量B。</v>
      </c>
      <c r="C88" s="1">
        <f ca="1">OFFSET('B1'!J$1,'B2'!$A88-1,0)</f>
        <v>8.9581018518518525E-3</v>
      </c>
      <c r="D88" s="1">
        <f ca="1">OFFSET('B1'!K$1,'B2'!$A88-1,0)</f>
        <v>9.0409722222222228E-3</v>
      </c>
      <c r="E88" t="str">
        <f t="shared" ca="1" si="9"/>
        <v>有了P等于FB之后，</v>
      </c>
      <c r="F88" t="str">
        <f t="shared" ca="1" si="8"/>
        <v>有了P等</v>
      </c>
      <c r="G88" t="str">
        <f t="shared" ca="1" si="10"/>
        <v>有了</v>
      </c>
      <c r="H88" t="str">
        <f t="shared" ca="1" si="11"/>
        <v>需要B的第一行及向量B。</v>
      </c>
      <c r="I88" t="str">
        <f t="shared" ca="1" si="14"/>
        <v>的第一行及向量B。</v>
      </c>
      <c r="J88" t="str">
        <f t="shared" ca="1" si="15"/>
        <v>一行及向量B。</v>
      </c>
      <c r="K88" t="str">
        <f t="shared" ca="1" si="12"/>
        <v>及向量B。</v>
      </c>
      <c r="L88" t="str">
        <f t="shared" ca="1" si="13"/>
        <v>量B。</v>
      </c>
    </row>
    <row r="89" spans="1:12" x14ac:dyDescent="0.3">
      <c r="A89">
        <f ca="1">MATCH(ROW(),'B1'!H:H,0)</f>
        <v>285</v>
      </c>
      <c r="B89" t="str">
        <f ca="1">OFFSET('B1'!I$1,'B2'!$A89-1,0)</f>
        <v>这是因为问题已经从BX等于Y转化为了PHX等于Y，因此在前面说到的生成矩阵也只需要计算向量B，也就是矩阵B撇。</v>
      </c>
      <c r="C89" s="1">
        <f ca="1">OFFSET('B1'!J$1,'B2'!$A89-1,0)</f>
        <v>9.0414351851851853E-3</v>
      </c>
      <c r="D89" s="1">
        <f ca="1">OFFSET('B1'!K$1,'B2'!$A89-1,0)</f>
        <v>9.1391203703703704E-3</v>
      </c>
      <c r="E89" t="str">
        <f t="shared" ca="1" si="9"/>
        <v>这是因为问题已经从B</v>
      </c>
      <c r="F89" t="str">
        <f t="shared" ca="1" si="8"/>
        <v>这是因为</v>
      </c>
      <c r="G89" t="str">
        <f t="shared" ca="1" si="10"/>
        <v>这是</v>
      </c>
      <c r="H89" t="str">
        <f t="shared" ca="1" si="11"/>
        <v>向量B，也就是矩阵B撇。</v>
      </c>
      <c r="I89" t="str">
        <f t="shared" ca="1" si="14"/>
        <v>，也就是矩阵B撇。</v>
      </c>
      <c r="J89" t="str">
        <f t="shared" ca="1" si="15"/>
        <v>就是矩阵B撇。</v>
      </c>
      <c r="K89" t="str">
        <f t="shared" ca="1" si="12"/>
        <v>矩阵B撇。</v>
      </c>
      <c r="L89" t="str">
        <f t="shared" ca="1" si="13"/>
        <v>B撇。</v>
      </c>
    </row>
    <row r="90" spans="1:12" x14ac:dyDescent="0.3">
      <c r="A90">
        <f ca="1">MATCH(ROW(),'B1'!H:H,0)</f>
        <v>287</v>
      </c>
      <c r="B90" t="str">
        <f ca="1">OFFSET('B1'!I$1,'B2'!$A90-1,0)</f>
        <v>由于在不同N的情况下计算B的公式是一样的，我们可以把N减一情况下算出的B直接用于计算N的情况。</v>
      </c>
      <c r="C90" s="1">
        <f ca="1">OFFSET('B1'!J$1,'B2'!$A90-1,0)</f>
        <v>9.1395833333333329E-3</v>
      </c>
      <c r="D90" s="1">
        <f ca="1">OFFSET('B1'!K$1,'B2'!$A90-1,0)</f>
        <v>9.1951388888888898E-3</v>
      </c>
      <c r="E90" t="str">
        <f t="shared" ca="1" si="9"/>
        <v>由于在不同N的情况下</v>
      </c>
      <c r="F90" t="str">
        <f t="shared" ca="1" si="8"/>
        <v>由于在不</v>
      </c>
      <c r="G90" t="str">
        <f t="shared" ca="1" si="10"/>
        <v>由于</v>
      </c>
      <c r="H90" t="str">
        <f t="shared" ca="1" si="11"/>
        <v>B直接用于计算N的情况。</v>
      </c>
      <c r="I90" t="str">
        <f t="shared" ca="1" si="14"/>
        <v>用于计算N的情况。</v>
      </c>
      <c r="J90" t="str">
        <f t="shared" ca="1" si="15"/>
        <v>计算N的情况。</v>
      </c>
      <c r="K90" t="str">
        <f t="shared" ca="1" si="12"/>
        <v>N的情况。</v>
      </c>
      <c r="L90" t="str">
        <f t="shared" ca="1" si="13"/>
        <v>情况。</v>
      </c>
    </row>
    <row r="91" spans="1:12" x14ac:dyDescent="0.3">
      <c r="A91">
        <f ca="1">MATCH(ROW(),'B1'!H:H,0)</f>
        <v>289</v>
      </c>
      <c r="B91" t="str">
        <f ca="1">OFFSET('B1'!I$1,'B2'!$A91-1,0)</f>
        <v>这样如果我们是从N等于0开始计算的，我们只需要open的时间复杂度便可求出B。</v>
      </c>
      <c r="C91" s="1">
        <f ca="1">OFFSET('B1'!J$1,'B2'!$A91-1,0)</f>
        <v>9.1951388888888898E-3</v>
      </c>
      <c r="D91" s="1">
        <f ca="1">OFFSET('B1'!K$1,'B2'!$A91-1,0)</f>
        <v>9.2571759259259256E-3</v>
      </c>
      <c r="E91" t="str">
        <f t="shared" ca="1" si="9"/>
        <v>这样如果我们是从N等</v>
      </c>
      <c r="F91" t="str">
        <f t="shared" ca="1" si="8"/>
        <v>这样如果</v>
      </c>
      <c r="G91" t="str">
        <f t="shared" ca="1" si="10"/>
        <v>这样</v>
      </c>
      <c r="H91" t="str">
        <f t="shared" ca="1" si="11"/>
        <v>的时间复杂度便可求出B。</v>
      </c>
      <c r="I91" t="str">
        <f t="shared" ca="1" si="14"/>
        <v>复杂度便可求出B。</v>
      </c>
      <c r="J91" t="str">
        <f t="shared" ca="1" si="15"/>
        <v>度便可求出B。</v>
      </c>
      <c r="K91" t="str">
        <f t="shared" ca="1" si="12"/>
        <v>可求出B。</v>
      </c>
      <c r="L91" t="str">
        <f t="shared" ca="1" si="13"/>
        <v>出B。</v>
      </c>
    </row>
    <row r="92" spans="1:12" x14ac:dyDescent="0.3">
      <c r="A92">
        <f ca="1">MATCH(ROW(),'B1'!H:H,0)</f>
        <v>293</v>
      </c>
      <c r="B92" t="str">
        <f ca="1">OFFSET('B1'!I$1,'B2'!$A92-1,0)</f>
        <v>同样计算K和F也是如此，因为每行之间有递推公式，如果从N等于0开始计算，也可以在ON时间内求出。</v>
      </c>
      <c r="C92" s="1">
        <f ca="1">OFFSET('B1'!J$1,'B2'!$A92-1,0)</f>
        <v>9.258564814814815E-3</v>
      </c>
      <c r="D92" s="1">
        <f ca="1">OFFSET('B1'!K$1,'B2'!$A92-1,0)</f>
        <v>9.3581018518518501E-3</v>
      </c>
      <c r="E92" t="str">
        <f t="shared" ca="1" si="9"/>
        <v>同样计算K和F也是如</v>
      </c>
      <c r="F92" t="str">
        <f t="shared" ca="1" si="8"/>
        <v>同样计算</v>
      </c>
      <c r="G92" t="str">
        <f t="shared" ca="1" si="10"/>
        <v>同样</v>
      </c>
      <c r="H92" t="str">
        <f t="shared" ca="1" si="11"/>
        <v>也可以在ON时间内求出。</v>
      </c>
      <c r="I92" t="str">
        <f t="shared" ca="1" si="14"/>
        <v>在ON时间内求出。</v>
      </c>
      <c r="J92" t="str">
        <f t="shared" ca="1" si="15"/>
        <v>N时间内求出。</v>
      </c>
      <c r="K92" t="str">
        <f t="shared" ca="1" si="12"/>
        <v>间内求出。</v>
      </c>
      <c r="L92" t="str">
        <f t="shared" ca="1" si="13"/>
        <v>求出。</v>
      </c>
    </row>
    <row r="93" spans="1:12" x14ac:dyDescent="0.3">
      <c r="A93">
        <f ca="1">MATCH(ROW(),'B1'!H:H,0)</f>
        <v>297</v>
      </c>
      <c r="B93" t="str">
        <f ca="1">OFFSET('B1'!I$1,'B2'!$A93-1,0)</f>
        <v>如果需要直接计算特定N，可以用其他方法优化到ON乘logN，因为这里的算法不涉及这个优化，因此就不展开了。</v>
      </c>
      <c r="C93" s="1">
        <f ca="1">OFFSET('B1'!J$1,'B2'!$A93-1,0)</f>
        <v>9.3576388888888893E-3</v>
      </c>
      <c r="D93" s="1">
        <f ca="1">OFFSET('B1'!K$1,'B2'!$A93-1,0)</f>
        <v>9.4673611111111122E-3</v>
      </c>
      <c r="E93" t="str">
        <f t="shared" ca="1" si="9"/>
        <v>如果需要直接计算特定</v>
      </c>
      <c r="F93" t="str">
        <f t="shared" ca="1" si="8"/>
        <v>如果需要</v>
      </c>
      <c r="G93" t="str">
        <f t="shared" ca="1" si="10"/>
        <v>如果</v>
      </c>
      <c r="H93" t="str">
        <f t="shared" ca="1" si="11"/>
        <v>个优化，因此就不展开了。</v>
      </c>
      <c r="I93" t="str">
        <f t="shared" ca="1" si="14"/>
        <v>，因此就不展开了。</v>
      </c>
      <c r="J93" t="str">
        <f t="shared" ca="1" si="15"/>
        <v>此就不展开了。</v>
      </c>
      <c r="K93" t="str">
        <f t="shared" ca="1" si="12"/>
        <v>不展开了。</v>
      </c>
      <c r="L93" t="str">
        <f t="shared" ca="1" si="13"/>
        <v>开了。</v>
      </c>
    </row>
    <row r="94" spans="1:12" x14ac:dyDescent="0.3">
      <c r="A94">
        <f ca="1">MATCH(ROW(),'B1'!H:H,0)</f>
        <v>299</v>
      </c>
      <c r="B94" t="str">
        <f ca="1">OFFSET('B1'!I$1,'B2'!$A94-1,0)</f>
        <v>为了求出P等于FB，我们需要将向量和矩阵相乘。</v>
      </c>
      <c r="C94" s="1">
        <f ca="1">OFFSET('B1'!J$1,'B2'!$A94-1,0)</f>
        <v>9.4687499999999997E-3</v>
      </c>
      <c r="D94" s="1">
        <f ca="1">OFFSET('B1'!K$1,'B2'!$A94-1,0)</f>
        <v>9.5196759259259262E-3</v>
      </c>
      <c r="E94" t="str">
        <f t="shared" ca="1" si="9"/>
        <v>为了求出P等于FB，</v>
      </c>
      <c r="F94" t="str">
        <f t="shared" ca="1" si="8"/>
        <v>为了求出</v>
      </c>
      <c r="G94" t="str">
        <f t="shared" ca="1" si="10"/>
        <v>为了</v>
      </c>
      <c r="H94" t="str">
        <f t="shared" ca="1" si="11"/>
        <v>们需要将向量和矩阵相乘。</v>
      </c>
      <c r="I94" t="str">
        <f t="shared" ca="1" si="14"/>
        <v>将向量和矩阵相乘。</v>
      </c>
      <c r="J94" t="str">
        <f t="shared" ca="1" si="15"/>
        <v>量和矩阵相乘。</v>
      </c>
      <c r="K94" t="str">
        <f t="shared" ca="1" si="12"/>
        <v>矩阵相乘。</v>
      </c>
      <c r="L94" t="str">
        <f t="shared" ca="1" si="13"/>
        <v>相乘。</v>
      </c>
    </row>
    <row r="95" spans="1:12" x14ac:dyDescent="0.3">
      <c r="A95">
        <f ca="1">MATCH(ROW(),'B1'!H:H,0)</f>
        <v>303</v>
      </c>
      <c r="B95" t="str">
        <f ca="1">OFFSET('B1'!I$1,'B2'!$A95-1,0)</f>
        <v>一般情况下，其时间复杂度是ON的二次方，因为矩阵F是有递推规律的，理论上使用FFT等算法可以把乘法优化到ON乘logN。</v>
      </c>
      <c r="C95" s="1">
        <f ca="1">OFFSET('B1'!J$1,'B2'!$A95-1,0)</f>
        <v>9.5196759259259262E-3</v>
      </c>
      <c r="D95" s="1">
        <f ca="1">OFFSET('B1'!K$1,'B2'!$A95-1,0)</f>
        <v>9.6141203703703701E-3</v>
      </c>
      <c r="E95" t="str">
        <f t="shared" ca="1" si="9"/>
        <v>一般情况下，其时间复</v>
      </c>
      <c r="F95" t="str">
        <f t="shared" ca="1" si="8"/>
        <v>一般情况</v>
      </c>
      <c r="G95" t="str">
        <f t="shared" ca="1" si="10"/>
        <v>一般</v>
      </c>
      <c r="H95" t="str">
        <f t="shared" ca="1" si="11"/>
        <v>法优化到ON乘logN。</v>
      </c>
      <c r="I95" t="str">
        <f t="shared" ca="1" si="14"/>
        <v>到ON乘logN。</v>
      </c>
      <c r="J95" t="str">
        <f t="shared" ca="1" si="15"/>
        <v>N乘logN。</v>
      </c>
      <c r="K95" t="str">
        <f t="shared" ca="1" si="12"/>
        <v>logN。</v>
      </c>
      <c r="L95" t="str">
        <f t="shared" ca="1" si="13"/>
        <v>gN。</v>
      </c>
    </row>
    <row r="96" spans="1:12" x14ac:dyDescent="0.3">
      <c r="A96">
        <f ca="1">MATCH(ROW(),'B1'!H:H,0)</f>
        <v>307</v>
      </c>
      <c r="B96" t="str">
        <f ca="1">OFFSET('B1'!I$1,'B2'!$A96-1,0)</f>
        <v>另一方面，这里在计算P的时候，我们将B撇撇的对角线去除了，即P等于B撇撇F。</v>
      </c>
      <c r="C96" s="1">
        <f ca="1">OFFSET('B1'!J$1,'B2'!$A96-1,0)</f>
        <v>9.6155092592592594E-3</v>
      </c>
      <c r="D96" s="1">
        <f ca="1">OFFSET('B1'!K$1,'B2'!$A96-1,0)</f>
        <v>9.7622685185185191E-3</v>
      </c>
      <c r="E96" t="str">
        <f t="shared" ca="1" si="9"/>
        <v>另一方面，这里在计算</v>
      </c>
      <c r="F96" t="str">
        <f t="shared" ca="1" si="8"/>
        <v>另一方面</v>
      </c>
      <c r="G96" t="str">
        <f t="shared" ca="1" si="10"/>
        <v>另一</v>
      </c>
      <c r="H96" t="str">
        <f t="shared" ca="1" si="11"/>
        <v>除了，即P等于B撇撇F。</v>
      </c>
      <c r="I96" t="str">
        <f t="shared" ca="1" si="14"/>
        <v>即P等于B撇撇F。</v>
      </c>
      <c r="J96" t="str">
        <f t="shared" ca="1" si="15"/>
        <v>等于B撇撇F。</v>
      </c>
      <c r="K96" t="str">
        <f t="shared" ca="1" si="12"/>
        <v>B撇撇F。</v>
      </c>
      <c r="L96" t="str">
        <f t="shared" ca="1" si="13"/>
        <v>撇F。</v>
      </c>
    </row>
    <row r="97" spans="1:12" x14ac:dyDescent="0.3">
      <c r="A97">
        <f ca="1">MATCH(ROW(),'B1'!H:H,0)</f>
        <v>309</v>
      </c>
      <c r="B97" t="str">
        <f ca="1">OFFSET('B1'!I$1,'B2'!$A97-1,0)</f>
        <v>假如我们保留B撇撇的对角线，则有C等于B撇F。</v>
      </c>
      <c r="C97" s="1">
        <f ca="1">OFFSET('B1'!J$1,'B2'!$A97-1,0)</f>
        <v>9.7631944444444441E-3</v>
      </c>
      <c r="D97" s="1">
        <f ca="1">OFFSET('B1'!K$1,'B2'!$A97-1,0)</f>
        <v>9.8062500000000007E-3</v>
      </c>
      <c r="E97" t="str">
        <f t="shared" ca="1" si="9"/>
        <v>假如我们保留B撇撇的</v>
      </c>
      <c r="F97" t="str">
        <f t="shared" ca="1" si="8"/>
        <v>假如我们</v>
      </c>
      <c r="G97" t="str">
        <f t="shared" ca="1" si="10"/>
        <v>假如</v>
      </c>
      <c r="H97" t="str">
        <f t="shared" ca="1" si="11"/>
        <v>角线，则有C等于B撇F。</v>
      </c>
      <c r="I97" t="str">
        <f t="shared" ca="1" si="14"/>
        <v>则有C等于B撇F。</v>
      </c>
      <c r="J97" t="str">
        <f t="shared" ca="1" si="15"/>
        <v>C等于B撇F。</v>
      </c>
      <c r="K97" t="str">
        <f t="shared" ca="1" si="12"/>
        <v>于B撇F。</v>
      </c>
      <c r="L97" t="str">
        <f t="shared" ca="1" si="13"/>
        <v>撇F。</v>
      </c>
    </row>
    <row r="98" spans="1:12" x14ac:dyDescent="0.3">
      <c r="A98">
        <f ca="1">MATCH(ROW(),'B1'!H:H,0)</f>
        <v>311</v>
      </c>
      <c r="B98" t="str">
        <f ca="1">OFFSET('B1'!I$1,'B2'!$A98-1,0)</f>
        <v>为了证明这一点，我们假定B撇F等于C撇得出以上递推公式。</v>
      </c>
      <c r="C98" s="1">
        <f ca="1">OFFSET('B1'!J$1,'B2'!$A98-1,0)</f>
        <v>9.8062500000000007E-3</v>
      </c>
      <c r="D98" s="1">
        <f ca="1">OFFSET('B1'!K$1,'B2'!$A98-1,0)</f>
        <v>9.841435185185184E-3</v>
      </c>
      <c r="E98" t="str">
        <f t="shared" ca="1" si="9"/>
        <v>为了证明这一点，我们</v>
      </c>
      <c r="F98" t="str">
        <f t="shared" ca="1" si="8"/>
        <v>为了证明</v>
      </c>
      <c r="G98" t="str">
        <f t="shared" ca="1" si="10"/>
        <v>为了</v>
      </c>
      <c r="H98" t="str">
        <f t="shared" ca="1" si="11"/>
        <v>于C撇得出以上递推公式。</v>
      </c>
      <c r="I98" t="str">
        <f t="shared" ca="1" si="14"/>
        <v>得出以上递推公式。</v>
      </c>
      <c r="J98" t="str">
        <f t="shared" ca="1" si="15"/>
        <v>以上递推公式。</v>
      </c>
      <c r="K98" t="str">
        <f t="shared" ca="1" si="12"/>
        <v>递推公式。</v>
      </c>
      <c r="L98" t="str">
        <f t="shared" ca="1" si="13"/>
        <v>公式。</v>
      </c>
    </row>
    <row r="99" spans="1:12" x14ac:dyDescent="0.3">
      <c r="A99">
        <f ca="1">MATCH(ROW(),'B1'!H:H,0)</f>
        <v>314</v>
      </c>
      <c r="B99" t="str">
        <f ca="1">OFFSET('B1'!I$1,'B2'!$A99-1,0)</f>
        <v>由于C撇的递推公式和C是相同的，因此这里的C撇就是C，即C撇等于C等于B撇F。</v>
      </c>
      <c r="C99" s="1">
        <f ca="1">OFFSET('B1'!J$1,'B2'!$A99-1,0)</f>
        <v>9.841435185185184E-3</v>
      </c>
      <c r="D99" s="1">
        <f ca="1">OFFSET('B1'!K$1,'B2'!$A99-1,0)</f>
        <v>9.954398148148148E-3</v>
      </c>
      <c r="E99" t="str">
        <f t="shared" ca="1" si="9"/>
        <v>由于C撇的递推公式和</v>
      </c>
      <c r="F99" t="str">
        <f t="shared" ca="1" si="8"/>
        <v>由于C撇</v>
      </c>
      <c r="G99" t="str">
        <f t="shared" ca="1" si="10"/>
        <v>由于</v>
      </c>
      <c r="H99" t="str">
        <f t="shared" ca="1" si="11"/>
        <v>即C撇等于C等于B撇F。</v>
      </c>
      <c r="I99" t="str">
        <f t="shared" ca="1" si="14"/>
        <v>等于C等于B撇F。</v>
      </c>
      <c r="J99" t="str">
        <f t="shared" ca="1" si="15"/>
        <v>C等于B撇F。</v>
      </c>
      <c r="K99" t="str">
        <f t="shared" ca="1" si="12"/>
        <v>于B撇F。</v>
      </c>
      <c r="L99" t="str">
        <f t="shared" ca="1" si="13"/>
        <v>撇F。</v>
      </c>
    </row>
    <row r="100" spans="1:12" x14ac:dyDescent="0.3">
      <c r="A100">
        <f ca="1">MATCH(ROW(),'B1'!H:H,0)</f>
        <v>316</v>
      </c>
      <c r="B100" t="str">
        <f ca="1">OFFSET('B1'!I$1,'B2'!$A100-1,0)</f>
        <v>由于C等于B撇F，我们可以推得P等于C加F。</v>
      </c>
      <c r="C100" s="1">
        <f ca="1">OFFSET('B1'!J$1,'B2'!$A100-1,0)</f>
        <v>9.954398148148148E-3</v>
      </c>
      <c r="D100" s="1">
        <f ca="1">OFFSET('B1'!K$1,'B2'!$A100-1,0)</f>
        <v>9.9942129629629634E-3</v>
      </c>
      <c r="E100" t="str">
        <f t="shared" ca="1" si="9"/>
        <v>由于C等于B撇F，我</v>
      </c>
      <c r="F100" t="str">
        <f t="shared" ca="1" si="8"/>
        <v>由于C等</v>
      </c>
      <c r="G100" t="str">
        <f t="shared" ca="1" si="10"/>
        <v>由于</v>
      </c>
      <c r="H100" t="str">
        <f t="shared" ca="1" si="11"/>
        <v>们可以推得P等于C加F。</v>
      </c>
      <c r="I100" t="str">
        <f t="shared" ca="1" si="14"/>
        <v>推得P等于C加F。</v>
      </c>
      <c r="J100" t="str">
        <f t="shared" ca="1" si="15"/>
        <v>P等于C加F。</v>
      </c>
      <c r="K100" t="str">
        <f t="shared" ca="1" si="12"/>
        <v>于C加F。</v>
      </c>
      <c r="L100" t="str">
        <f t="shared" ca="1" si="13"/>
        <v>加F。</v>
      </c>
    </row>
    <row r="101" spans="1:12" x14ac:dyDescent="0.3">
      <c r="A101">
        <f ca="1">MATCH(ROW(),'B1'!H:H,0)</f>
        <v>319</v>
      </c>
      <c r="B101" t="str">
        <f ca="1">OFFSET('B1'!I$1,'B2'!$A101-1,0)</f>
        <v>因此，我们可以计算出C和F叠加后直接求得P，无需使用矩阵乘法。</v>
      </c>
      <c r="C101" s="1">
        <f ca="1">OFFSET('B1'!J$1,'B2'!$A101-1,0)</f>
        <v>9.9946759259259259E-3</v>
      </c>
      <c r="D101" s="1">
        <f ca="1">OFFSET('B1'!K$1,'B2'!$A101-1,0)</f>
        <v>1.0055324074074074E-2</v>
      </c>
      <c r="E101" t="str">
        <f t="shared" ca="1" si="9"/>
        <v>因此，我们可以计算出</v>
      </c>
      <c r="F101" t="str">
        <f t="shared" ca="1" si="8"/>
        <v>因此，我</v>
      </c>
      <c r="G101" t="str">
        <f t="shared" ca="1" si="10"/>
        <v>因此</v>
      </c>
      <c r="H101" t="str">
        <f t="shared" ca="1" si="11"/>
        <v>得P，无需使用矩阵乘法。</v>
      </c>
      <c r="I101" t="str">
        <f t="shared" ca="1" si="14"/>
        <v>无需使用矩阵乘法。</v>
      </c>
      <c r="J101" t="str">
        <f t="shared" ca="1" si="15"/>
        <v>使用矩阵乘法。</v>
      </c>
      <c r="K101" t="str">
        <f t="shared" ca="1" si="12"/>
        <v>矩阵乘法。</v>
      </c>
      <c r="L101" t="str">
        <f t="shared" ca="1" si="13"/>
        <v>乘法。</v>
      </c>
    </row>
    <row r="102" spans="1:12" x14ac:dyDescent="0.3">
      <c r="A102">
        <f ca="1">MATCH(ROW(),'B1'!H:H,0)</f>
        <v>321</v>
      </c>
      <c r="B102" t="str">
        <f ca="1">OFFSET('B1'!I$1,'B2'!$A102-1,0)</f>
        <v>同时，由于P等于C加F。</v>
      </c>
      <c r="C102" s="1">
        <f ca="1">OFFSET('B1'!J$1,'B2'!$A102-1,0)</f>
        <v>1.0056712962962963E-2</v>
      </c>
      <c r="D102" s="1">
        <f ca="1">OFFSET('B1'!K$1,'B2'!$A102-1,0)</f>
        <v>1.0093287037037036E-2</v>
      </c>
      <c r="E102" t="str">
        <f t="shared" ca="1" si="9"/>
        <v>同时，由于P等于C加</v>
      </c>
      <c r="F102" t="str">
        <f t="shared" ca="1" si="8"/>
        <v>同时，由</v>
      </c>
      <c r="G102" t="str">
        <f t="shared" ca="1" si="10"/>
        <v>同时</v>
      </c>
      <c r="H102" t="str">
        <f t="shared" ca="1" si="11"/>
        <v>同时，由于P等于C加F。</v>
      </c>
      <c r="I102" t="str">
        <f t="shared" ca="1" si="14"/>
        <v>由于P等于C加F。</v>
      </c>
      <c r="J102" t="str">
        <f t="shared" ca="1" si="15"/>
        <v>P等于C加F。</v>
      </c>
      <c r="K102" t="str">
        <f t="shared" ca="1" si="12"/>
        <v>于C加F。</v>
      </c>
      <c r="L102" t="str">
        <f t="shared" ca="1" si="13"/>
        <v>加F。</v>
      </c>
    </row>
    <row r="103" spans="1:12" x14ac:dyDescent="0.3">
      <c r="A103">
        <f ca="1">MATCH(ROW(),'B1'!H:H,0)</f>
        <v>323</v>
      </c>
      <c r="B103" t="str">
        <f ca="1">OFFSET('B1'!I$1,'B2'!$A103-1,0)</f>
        <v>P也可以写成这个递推公式，从而无需BC或F直接在ON的时间内由P的递推公式推得。</v>
      </c>
      <c r="C103" s="1">
        <f ca="1">OFFSET('B1'!J$1,'B2'!$A103-1,0)</f>
        <v>1.0094675925925925E-2</v>
      </c>
      <c r="D103" s="1">
        <f ca="1">OFFSET('B1'!K$1,'B2'!$A103-1,0)</f>
        <v>1.0150231481481482E-2</v>
      </c>
      <c r="E103" t="str">
        <f t="shared" ca="1" si="9"/>
        <v>P也可以写成这个递推</v>
      </c>
      <c r="F103" t="str">
        <f t="shared" ca="1" si="8"/>
        <v>P也可以</v>
      </c>
      <c r="G103" t="str">
        <f t="shared" ca="1" si="10"/>
        <v>P也</v>
      </c>
      <c r="H103" t="str">
        <f t="shared" ca="1" si="11"/>
        <v>间内由P的递推公式推得。</v>
      </c>
      <c r="I103" t="str">
        <f t="shared" ca="1" si="14"/>
        <v>P的递推公式推得。</v>
      </c>
      <c r="J103" t="str">
        <f t="shared" ca="1" si="15"/>
        <v>递推公式推得。</v>
      </c>
      <c r="K103" t="str">
        <f t="shared" ca="1" si="12"/>
        <v>公式推得。</v>
      </c>
      <c r="L103" t="str">
        <f t="shared" ca="1" si="13"/>
        <v>推得。</v>
      </c>
    </row>
    <row r="104" spans="1:12" x14ac:dyDescent="0.3">
      <c r="A104">
        <f ca="1">MATCH(ROW(),'B1'!H:H,0)</f>
        <v>325</v>
      </c>
      <c r="B104" t="str">
        <f ca="1">OFFSET('B1'!I$1,'B2'!$A104-1,0)</f>
        <v>由于这个证明较长，因此这里就不展示出来了。</v>
      </c>
      <c r="C104" s="1">
        <f ca="1">OFFSET('B1'!J$1,'B2'!$A104-1,0)</f>
        <v>1.0151157407407407E-2</v>
      </c>
      <c r="D104" s="1">
        <f ca="1">OFFSET('B1'!K$1,'B2'!$A104-1,0)</f>
        <v>1.022800925925926E-2</v>
      </c>
      <c r="E104" t="str">
        <f t="shared" ca="1" si="9"/>
        <v>由于这个证明较长，因</v>
      </c>
      <c r="F104" t="str">
        <f t="shared" ca="1" si="8"/>
        <v>由于这个</v>
      </c>
      <c r="G104" t="str">
        <f t="shared" ca="1" si="10"/>
        <v>由于</v>
      </c>
      <c r="H104" t="str">
        <f t="shared" ca="1" si="11"/>
        <v>因此这里就不展示出来了。</v>
      </c>
      <c r="I104" t="str">
        <f t="shared" ca="1" si="14"/>
        <v>里就不展示出来了。</v>
      </c>
      <c r="J104" t="str">
        <f t="shared" ca="1" si="15"/>
        <v>不展示出来了。</v>
      </c>
      <c r="K104" t="str">
        <f t="shared" ca="1" si="12"/>
        <v>示出来了。</v>
      </c>
      <c r="L104" t="str">
        <f t="shared" ca="1" si="13"/>
        <v>来了。</v>
      </c>
    </row>
    <row r="105" spans="1:12" x14ac:dyDescent="0.3">
      <c r="A105" t="e">
        <f ca="1">MATCH(ROW(),'B1'!H:H,0)</f>
        <v>#N/A</v>
      </c>
      <c r="B105" t="e">
        <f ca="1">OFFSET('B1'!I$1,'B2'!$A105-1,0)</f>
        <v>#N/A</v>
      </c>
      <c r="C105" s="1" t="e">
        <f ca="1">OFFSET('B1'!J$1,'B2'!$A105-1,0)</f>
        <v>#N/A</v>
      </c>
      <c r="D105" s="1" t="e">
        <f ca="1">OFFSET('B1'!K$1,'B2'!$A105-1,0)</f>
        <v>#N/A</v>
      </c>
      <c r="E105" t="e">
        <f t="shared" ca="1" si="9"/>
        <v>#N/A</v>
      </c>
      <c r="F105" t="e">
        <f t="shared" ca="1" si="8"/>
        <v>#N/A</v>
      </c>
      <c r="G105" t="e">
        <f t="shared" ca="1" si="10"/>
        <v>#N/A</v>
      </c>
      <c r="H105" t="e">
        <f t="shared" ca="1" si="11"/>
        <v>#N/A</v>
      </c>
      <c r="I105" t="e">
        <f t="shared" ca="1" si="14"/>
        <v>#N/A</v>
      </c>
      <c r="J105" t="e">
        <f t="shared" ca="1" si="15"/>
        <v>#N/A</v>
      </c>
      <c r="K105" t="e">
        <f t="shared" ca="1" si="12"/>
        <v>#N/A</v>
      </c>
      <c r="L105" t="e">
        <f t="shared" ca="1" si="13"/>
        <v>#N/A</v>
      </c>
    </row>
    <row r="106" spans="1:12" x14ac:dyDescent="0.3">
      <c r="A106" t="e">
        <f ca="1">MATCH(ROW(),'B1'!H:H,0)</f>
        <v>#N/A</v>
      </c>
      <c r="B106" t="e">
        <f ca="1">OFFSET('B1'!I$1,'B2'!$A106-1,0)</f>
        <v>#N/A</v>
      </c>
      <c r="C106" s="1" t="e">
        <f ca="1">OFFSET('B1'!J$1,'B2'!$A106-1,0)</f>
        <v>#N/A</v>
      </c>
      <c r="D106" s="1" t="e">
        <f ca="1">OFFSET('B1'!K$1,'B2'!$A106-1,0)</f>
        <v>#N/A</v>
      </c>
      <c r="E106" t="e">
        <f t="shared" ca="1" si="9"/>
        <v>#N/A</v>
      </c>
      <c r="F106" t="e">
        <f t="shared" ca="1" si="8"/>
        <v>#N/A</v>
      </c>
      <c r="G106" t="e">
        <f t="shared" ca="1" si="10"/>
        <v>#N/A</v>
      </c>
      <c r="H106" t="e">
        <f t="shared" ca="1" si="11"/>
        <v>#N/A</v>
      </c>
      <c r="I106" t="e">
        <f t="shared" ca="1" si="14"/>
        <v>#N/A</v>
      </c>
      <c r="J106" t="e">
        <f t="shared" ca="1" si="15"/>
        <v>#N/A</v>
      </c>
      <c r="K106" t="e">
        <f t="shared" ca="1" si="12"/>
        <v>#N/A</v>
      </c>
      <c r="L106" t="e">
        <f t="shared" ca="1" si="13"/>
        <v>#N/A</v>
      </c>
    </row>
    <row r="107" spans="1:12" x14ac:dyDescent="0.3">
      <c r="A107" t="e">
        <f ca="1">MATCH(ROW(),'B1'!H:H,0)</f>
        <v>#N/A</v>
      </c>
      <c r="B107" t="e">
        <f ca="1">OFFSET('B1'!I$1,'B2'!$A107-1,0)</f>
        <v>#N/A</v>
      </c>
      <c r="C107" s="1" t="e">
        <f ca="1">OFFSET('B1'!J$1,'B2'!$A107-1,0)</f>
        <v>#N/A</v>
      </c>
      <c r="D107" s="1" t="e">
        <f ca="1">OFFSET('B1'!K$1,'B2'!$A107-1,0)</f>
        <v>#N/A</v>
      </c>
      <c r="E107" t="e">
        <f t="shared" ca="1" si="9"/>
        <v>#N/A</v>
      </c>
      <c r="F107" t="e">
        <f t="shared" ca="1" si="8"/>
        <v>#N/A</v>
      </c>
      <c r="G107" t="e">
        <f t="shared" ca="1" si="10"/>
        <v>#N/A</v>
      </c>
      <c r="H107" t="e">
        <f t="shared" ca="1" si="11"/>
        <v>#N/A</v>
      </c>
      <c r="I107" t="e">
        <f t="shared" ca="1" si="14"/>
        <v>#N/A</v>
      </c>
      <c r="J107" t="e">
        <f t="shared" ca="1" si="15"/>
        <v>#N/A</v>
      </c>
      <c r="K107" t="e">
        <f t="shared" ca="1" si="12"/>
        <v>#N/A</v>
      </c>
      <c r="L107" t="e">
        <f t="shared" ca="1" si="13"/>
        <v>#N/A</v>
      </c>
    </row>
    <row r="108" spans="1:12" x14ac:dyDescent="0.3">
      <c r="A108" t="e">
        <f ca="1">MATCH(ROW(),'B1'!H:H,0)</f>
        <v>#N/A</v>
      </c>
      <c r="B108" t="e">
        <f ca="1">OFFSET('B1'!I$1,'B2'!$A108-1,0)</f>
        <v>#N/A</v>
      </c>
      <c r="C108" s="1" t="e">
        <f ca="1">OFFSET('B1'!J$1,'B2'!$A108-1,0)</f>
        <v>#N/A</v>
      </c>
      <c r="D108" s="1" t="e">
        <f ca="1">OFFSET('B1'!K$1,'B2'!$A108-1,0)</f>
        <v>#N/A</v>
      </c>
      <c r="E108" t="e">
        <f t="shared" ca="1" si="9"/>
        <v>#N/A</v>
      </c>
      <c r="F108" t="e">
        <f t="shared" ca="1" si="8"/>
        <v>#N/A</v>
      </c>
      <c r="G108" t="e">
        <f t="shared" ca="1" si="10"/>
        <v>#N/A</v>
      </c>
      <c r="H108" t="e">
        <f t="shared" ca="1" si="11"/>
        <v>#N/A</v>
      </c>
      <c r="I108" t="e">
        <f t="shared" ca="1" si="14"/>
        <v>#N/A</v>
      </c>
      <c r="J108" t="e">
        <f t="shared" ca="1" si="15"/>
        <v>#N/A</v>
      </c>
      <c r="K108" t="e">
        <f t="shared" ca="1" si="12"/>
        <v>#N/A</v>
      </c>
      <c r="L108" t="e">
        <f t="shared" ca="1" si="13"/>
        <v>#N/A</v>
      </c>
    </row>
    <row r="109" spans="1:12" x14ac:dyDescent="0.3">
      <c r="A109" t="e">
        <f ca="1">MATCH(ROW(),'B1'!H:H,0)</f>
        <v>#N/A</v>
      </c>
      <c r="B109" t="e">
        <f ca="1">OFFSET('B1'!I$1,'B2'!$A109-1,0)</f>
        <v>#N/A</v>
      </c>
      <c r="C109" s="1" t="e">
        <f ca="1">OFFSET('B1'!J$1,'B2'!$A109-1,0)</f>
        <v>#N/A</v>
      </c>
      <c r="D109" s="1" t="e">
        <f ca="1">OFFSET('B1'!K$1,'B2'!$A109-1,0)</f>
        <v>#N/A</v>
      </c>
      <c r="E109" t="e">
        <f t="shared" ca="1" si="9"/>
        <v>#N/A</v>
      </c>
      <c r="F109" t="e">
        <f t="shared" ca="1" si="8"/>
        <v>#N/A</v>
      </c>
      <c r="G109" t="e">
        <f t="shared" ca="1" si="10"/>
        <v>#N/A</v>
      </c>
      <c r="H109" t="e">
        <f t="shared" ca="1" si="11"/>
        <v>#N/A</v>
      </c>
      <c r="I109" t="e">
        <f t="shared" ca="1" si="14"/>
        <v>#N/A</v>
      </c>
      <c r="J109" t="e">
        <f t="shared" ca="1" si="15"/>
        <v>#N/A</v>
      </c>
      <c r="K109" t="e">
        <f t="shared" ca="1" si="12"/>
        <v>#N/A</v>
      </c>
      <c r="L109" t="e">
        <f t="shared" ca="1" si="13"/>
        <v>#N/A</v>
      </c>
    </row>
    <row r="110" spans="1:12" x14ac:dyDescent="0.3">
      <c r="A110" t="e">
        <f ca="1">MATCH(ROW(),'B1'!H:H,0)</f>
        <v>#N/A</v>
      </c>
      <c r="B110" t="e">
        <f ca="1">OFFSET('B1'!I$1,'B2'!$A110-1,0)</f>
        <v>#N/A</v>
      </c>
      <c r="C110" s="1" t="e">
        <f ca="1">OFFSET('B1'!J$1,'B2'!$A110-1,0)</f>
        <v>#N/A</v>
      </c>
      <c r="D110" s="1" t="e">
        <f ca="1">OFFSET('B1'!K$1,'B2'!$A110-1,0)</f>
        <v>#N/A</v>
      </c>
      <c r="E110" t="e">
        <f t="shared" ca="1" si="9"/>
        <v>#N/A</v>
      </c>
      <c r="F110" t="e">
        <f t="shared" ca="1" si="8"/>
        <v>#N/A</v>
      </c>
      <c r="G110" t="e">
        <f t="shared" ca="1" si="10"/>
        <v>#N/A</v>
      </c>
      <c r="H110" t="e">
        <f t="shared" ca="1" si="11"/>
        <v>#N/A</v>
      </c>
      <c r="I110" t="e">
        <f t="shared" ca="1" si="14"/>
        <v>#N/A</v>
      </c>
      <c r="J110" t="e">
        <f t="shared" ca="1" si="15"/>
        <v>#N/A</v>
      </c>
      <c r="K110" t="e">
        <f t="shared" ca="1" si="12"/>
        <v>#N/A</v>
      </c>
      <c r="L110" t="e">
        <f t="shared" ca="1" si="13"/>
        <v>#N/A</v>
      </c>
    </row>
    <row r="111" spans="1:12" x14ac:dyDescent="0.3">
      <c r="A111" t="e">
        <f ca="1">MATCH(ROW(),'B1'!H:H,0)</f>
        <v>#N/A</v>
      </c>
      <c r="B111" t="e">
        <f ca="1">OFFSET('B1'!I$1,'B2'!$A111-1,0)</f>
        <v>#N/A</v>
      </c>
      <c r="C111" s="1" t="e">
        <f ca="1">OFFSET('B1'!J$1,'B2'!$A111-1,0)</f>
        <v>#N/A</v>
      </c>
      <c r="D111" s="1" t="e">
        <f ca="1">OFFSET('B1'!K$1,'B2'!$A111-1,0)</f>
        <v>#N/A</v>
      </c>
      <c r="E111" t="e">
        <f t="shared" ca="1" si="9"/>
        <v>#N/A</v>
      </c>
      <c r="F111" t="e">
        <f t="shared" ca="1" si="8"/>
        <v>#N/A</v>
      </c>
      <c r="G111" t="e">
        <f t="shared" ca="1" si="10"/>
        <v>#N/A</v>
      </c>
      <c r="H111" t="e">
        <f t="shared" ca="1" si="11"/>
        <v>#N/A</v>
      </c>
      <c r="I111" t="e">
        <f t="shared" ca="1" si="14"/>
        <v>#N/A</v>
      </c>
      <c r="J111" t="e">
        <f t="shared" ca="1" si="15"/>
        <v>#N/A</v>
      </c>
      <c r="K111" t="e">
        <f t="shared" ca="1" si="12"/>
        <v>#N/A</v>
      </c>
      <c r="L111" t="e">
        <f t="shared" ca="1" si="13"/>
        <v>#N/A</v>
      </c>
    </row>
    <row r="112" spans="1:12" x14ac:dyDescent="0.3">
      <c r="A112" t="e">
        <f ca="1">MATCH(ROW(),'B1'!H:H,0)</f>
        <v>#N/A</v>
      </c>
      <c r="B112" t="e">
        <f ca="1">OFFSET('B1'!I$1,'B2'!$A112-1,0)</f>
        <v>#N/A</v>
      </c>
      <c r="C112" s="1" t="e">
        <f ca="1">OFFSET('B1'!J$1,'B2'!$A112-1,0)</f>
        <v>#N/A</v>
      </c>
      <c r="D112" s="1" t="e">
        <f ca="1">OFFSET('B1'!K$1,'B2'!$A112-1,0)</f>
        <v>#N/A</v>
      </c>
      <c r="E112" t="e">
        <f t="shared" ca="1" si="9"/>
        <v>#N/A</v>
      </c>
      <c r="F112" t="e">
        <f t="shared" ca="1" si="8"/>
        <v>#N/A</v>
      </c>
      <c r="G112" t="e">
        <f t="shared" ca="1" si="10"/>
        <v>#N/A</v>
      </c>
      <c r="H112" t="e">
        <f t="shared" ca="1" si="11"/>
        <v>#N/A</v>
      </c>
      <c r="I112" t="e">
        <f t="shared" ca="1" si="14"/>
        <v>#N/A</v>
      </c>
      <c r="J112" t="e">
        <f t="shared" ca="1" si="15"/>
        <v>#N/A</v>
      </c>
      <c r="K112" t="e">
        <f t="shared" ca="1" si="12"/>
        <v>#N/A</v>
      </c>
      <c r="L112" t="e">
        <f t="shared" ca="1" si="13"/>
        <v>#N/A</v>
      </c>
    </row>
    <row r="113" spans="1:12" x14ac:dyDescent="0.3">
      <c r="A113" t="e">
        <f ca="1">MATCH(ROW(),'B1'!H:H,0)</f>
        <v>#N/A</v>
      </c>
      <c r="B113" t="e">
        <f ca="1">OFFSET('B1'!I$1,'B2'!$A113-1,0)</f>
        <v>#N/A</v>
      </c>
      <c r="C113" s="1" t="e">
        <f ca="1">OFFSET('B1'!J$1,'B2'!$A113-1,0)</f>
        <v>#N/A</v>
      </c>
      <c r="D113" s="1" t="e">
        <f ca="1">OFFSET('B1'!K$1,'B2'!$A113-1,0)</f>
        <v>#N/A</v>
      </c>
      <c r="E113" t="e">
        <f t="shared" ca="1" si="9"/>
        <v>#N/A</v>
      </c>
      <c r="F113" t="e">
        <f t="shared" ca="1" si="8"/>
        <v>#N/A</v>
      </c>
      <c r="G113" t="e">
        <f t="shared" ca="1" si="10"/>
        <v>#N/A</v>
      </c>
      <c r="H113" t="e">
        <f t="shared" ca="1" si="11"/>
        <v>#N/A</v>
      </c>
      <c r="I113" t="e">
        <f t="shared" ca="1" si="14"/>
        <v>#N/A</v>
      </c>
      <c r="J113" t="e">
        <f t="shared" ca="1" si="15"/>
        <v>#N/A</v>
      </c>
      <c r="K113" t="e">
        <f t="shared" ca="1" si="12"/>
        <v>#N/A</v>
      </c>
      <c r="L113" t="e">
        <f t="shared" ca="1" si="13"/>
        <v>#N/A</v>
      </c>
    </row>
    <row r="114" spans="1:12" x14ac:dyDescent="0.3">
      <c r="A114" t="e">
        <f ca="1">MATCH(ROW(),'B1'!H:H,0)</f>
        <v>#N/A</v>
      </c>
      <c r="B114" t="e">
        <f ca="1">OFFSET('B1'!I$1,'B2'!$A114-1,0)</f>
        <v>#N/A</v>
      </c>
      <c r="C114" s="1" t="e">
        <f ca="1">OFFSET('B1'!J$1,'B2'!$A114-1,0)</f>
        <v>#N/A</v>
      </c>
      <c r="D114" s="1" t="e">
        <f ca="1">OFFSET('B1'!K$1,'B2'!$A114-1,0)</f>
        <v>#N/A</v>
      </c>
      <c r="E114" t="e">
        <f t="shared" ca="1" si="9"/>
        <v>#N/A</v>
      </c>
      <c r="F114" t="e">
        <f t="shared" ca="1" si="8"/>
        <v>#N/A</v>
      </c>
      <c r="G114" t="e">
        <f t="shared" ca="1" si="10"/>
        <v>#N/A</v>
      </c>
      <c r="H114" t="e">
        <f t="shared" ca="1" si="11"/>
        <v>#N/A</v>
      </c>
      <c r="I114" t="e">
        <f t="shared" ca="1" si="14"/>
        <v>#N/A</v>
      </c>
      <c r="J114" t="e">
        <f t="shared" ca="1" si="15"/>
        <v>#N/A</v>
      </c>
      <c r="K114" t="e">
        <f t="shared" ca="1" si="12"/>
        <v>#N/A</v>
      </c>
      <c r="L114" t="e">
        <f t="shared" ca="1" si="13"/>
        <v>#N/A</v>
      </c>
    </row>
    <row r="115" spans="1:12" x14ac:dyDescent="0.3">
      <c r="A115" t="e">
        <f ca="1">MATCH(ROW(),'B1'!H:H,0)</f>
        <v>#N/A</v>
      </c>
      <c r="B115" t="e">
        <f ca="1">OFFSET('B1'!I$1,'B2'!$A115-1,0)</f>
        <v>#N/A</v>
      </c>
      <c r="C115" s="1" t="e">
        <f ca="1">OFFSET('B1'!J$1,'B2'!$A115-1,0)</f>
        <v>#N/A</v>
      </c>
      <c r="D115" s="1" t="e">
        <f ca="1">OFFSET('B1'!K$1,'B2'!$A115-1,0)</f>
        <v>#N/A</v>
      </c>
      <c r="E115" t="e">
        <f t="shared" ca="1" si="9"/>
        <v>#N/A</v>
      </c>
      <c r="F115" t="e">
        <f t="shared" ca="1" si="8"/>
        <v>#N/A</v>
      </c>
      <c r="G115" t="e">
        <f t="shared" ca="1" si="10"/>
        <v>#N/A</v>
      </c>
      <c r="H115" t="e">
        <f t="shared" ca="1" si="11"/>
        <v>#N/A</v>
      </c>
      <c r="I115" t="e">
        <f t="shared" ca="1" si="14"/>
        <v>#N/A</v>
      </c>
      <c r="J115" t="e">
        <f t="shared" ca="1" si="15"/>
        <v>#N/A</v>
      </c>
      <c r="K115" t="e">
        <f t="shared" ca="1" si="12"/>
        <v>#N/A</v>
      </c>
      <c r="L115" t="e">
        <f t="shared" ca="1" si="13"/>
        <v>#N/A</v>
      </c>
    </row>
    <row r="116" spans="1:12" x14ac:dyDescent="0.3">
      <c r="A116" t="e">
        <f ca="1">MATCH(ROW(),'B1'!H:H,0)</f>
        <v>#N/A</v>
      </c>
      <c r="B116" t="e">
        <f ca="1">OFFSET('B1'!I$1,'B2'!$A116-1,0)</f>
        <v>#N/A</v>
      </c>
      <c r="C116" s="1" t="e">
        <f ca="1">OFFSET('B1'!J$1,'B2'!$A116-1,0)</f>
        <v>#N/A</v>
      </c>
      <c r="D116" s="1" t="e">
        <f ca="1">OFFSET('B1'!K$1,'B2'!$A116-1,0)</f>
        <v>#N/A</v>
      </c>
      <c r="E116" t="e">
        <f t="shared" ca="1" si="9"/>
        <v>#N/A</v>
      </c>
      <c r="F116" t="e">
        <f t="shared" ca="1" si="8"/>
        <v>#N/A</v>
      </c>
      <c r="G116" t="e">
        <f t="shared" ca="1" si="10"/>
        <v>#N/A</v>
      </c>
      <c r="H116" t="e">
        <f t="shared" ca="1" si="11"/>
        <v>#N/A</v>
      </c>
      <c r="I116" t="e">
        <f t="shared" ca="1" si="14"/>
        <v>#N/A</v>
      </c>
      <c r="J116" t="e">
        <f t="shared" ca="1" si="15"/>
        <v>#N/A</v>
      </c>
      <c r="K116" t="e">
        <f t="shared" ca="1" si="12"/>
        <v>#N/A</v>
      </c>
      <c r="L116" t="e">
        <f t="shared" ca="1" si="13"/>
        <v>#N/A</v>
      </c>
    </row>
    <row r="117" spans="1:12" x14ac:dyDescent="0.3">
      <c r="A117" t="e">
        <f ca="1">MATCH(ROW(),'B1'!H:H,0)</f>
        <v>#N/A</v>
      </c>
      <c r="B117" t="e">
        <f ca="1">OFFSET('B1'!I$1,'B2'!$A117-1,0)</f>
        <v>#N/A</v>
      </c>
      <c r="C117" s="1" t="e">
        <f ca="1">OFFSET('B1'!J$1,'B2'!$A117-1,0)</f>
        <v>#N/A</v>
      </c>
      <c r="D117" s="1" t="e">
        <f ca="1">OFFSET('B1'!K$1,'B2'!$A117-1,0)</f>
        <v>#N/A</v>
      </c>
      <c r="E117" t="e">
        <f t="shared" ca="1" si="9"/>
        <v>#N/A</v>
      </c>
      <c r="F117" t="e">
        <f t="shared" ca="1" si="8"/>
        <v>#N/A</v>
      </c>
      <c r="G117" t="e">
        <f t="shared" ca="1" si="10"/>
        <v>#N/A</v>
      </c>
      <c r="H117" t="e">
        <f t="shared" ca="1" si="11"/>
        <v>#N/A</v>
      </c>
      <c r="I117" t="e">
        <f t="shared" ca="1" si="14"/>
        <v>#N/A</v>
      </c>
      <c r="J117" t="e">
        <f t="shared" ca="1" si="15"/>
        <v>#N/A</v>
      </c>
      <c r="K117" t="e">
        <f t="shared" ca="1" si="12"/>
        <v>#N/A</v>
      </c>
      <c r="L117" t="e">
        <f t="shared" ca="1" si="13"/>
        <v>#N/A</v>
      </c>
    </row>
    <row r="118" spans="1:12" x14ac:dyDescent="0.3">
      <c r="A118" t="e">
        <f ca="1">MATCH(ROW(),'B1'!H:H,0)</f>
        <v>#N/A</v>
      </c>
      <c r="B118" t="e">
        <f ca="1">OFFSET('B1'!I$1,'B2'!$A118-1,0)</f>
        <v>#N/A</v>
      </c>
      <c r="C118" s="1" t="e">
        <f ca="1">OFFSET('B1'!J$1,'B2'!$A118-1,0)</f>
        <v>#N/A</v>
      </c>
      <c r="D118" s="1" t="e">
        <f ca="1">OFFSET('B1'!K$1,'B2'!$A118-1,0)</f>
        <v>#N/A</v>
      </c>
      <c r="E118" t="e">
        <f t="shared" ca="1" si="9"/>
        <v>#N/A</v>
      </c>
      <c r="F118" t="e">
        <f t="shared" ca="1" si="8"/>
        <v>#N/A</v>
      </c>
      <c r="G118" t="e">
        <f t="shared" ca="1" si="10"/>
        <v>#N/A</v>
      </c>
      <c r="H118" t="e">
        <f t="shared" ca="1" si="11"/>
        <v>#N/A</v>
      </c>
      <c r="I118" t="e">
        <f t="shared" ca="1" si="14"/>
        <v>#N/A</v>
      </c>
      <c r="J118" t="e">
        <f t="shared" ca="1" si="15"/>
        <v>#N/A</v>
      </c>
      <c r="K118" t="e">
        <f t="shared" ca="1" si="12"/>
        <v>#N/A</v>
      </c>
      <c r="L118" t="e">
        <f t="shared" ca="1" si="13"/>
        <v>#N/A</v>
      </c>
    </row>
    <row r="119" spans="1:12" x14ac:dyDescent="0.3">
      <c r="A119" t="e">
        <f ca="1">MATCH(ROW(),'B1'!H:H,0)</f>
        <v>#N/A</v>
      </c>
      <c r="B119" t="e">
        <f ca="1">OFFSET('B1'!I$1,'B2'!$A119-1,0)</f>
        <v>#N/A</v>
      </c>
      <c r="C119" s="1" t="e">
        <f ca="1">OFFSET('B1'!J$1,'B2'!$A119-1,0)</f>
        <v>#N/A</v>
      </c>
      <c r="D119" s="1" t="e">
        <f ca="1">OFFSET('B1'!K$1,'B2'!$A119-1,0)</f>
        <v>#N/A</v>
      </c>
      <c r="E119" t="e">
        <f t="shared" ca="1" si="9"/>
        <v>#N/A</v>
      </c>
      <c r="F119" t="e">
        <f t="shared" ca="1" si="8"/>
        <v>#N/A</v>
      </c>
      <c r="G119" t="e">
        <f t="shared" ca="1" si="10"/>
        <v>#N/A</v>
      </c>
      <c r="H119" t="e">
        <f t="shared" ca="1" si="11"/>
        <v>#N/A</v>
      </c>
      <c r="I119" t="e">
        <f t="shared" ca="1" si="14"/>
        <v>#N/A</v>
      </c>
      <c r="J119" t="e">
        <f t="shared" ca="1" si="15"/>
        <v>#N/A</v>
      </c>
      <c r="K119" t="e">
        <f t="shared" ca="1" si="12"/>
        <v>#N/A</v>
      </c>
      <c r="L119" t="e">
        <f t="shared" ca="1" si="13"/>
        <v>#N/A</v>
      </c>
    </row>
    <row r="120" spans="1:12" x14ac:dyDescent="0.3">
      <c r="A120" t="e">
        <f ca="1">MATCH(ROW(),'B1'!H:H,0)</f>
        <v>#N/A</v>
      </c>
      <c r="B120" t="e">
        <f ca="1">OFFSET('B1'!I$1,'B2'!$A120-1,0)</f>
        <v>#N/A</v>
      </c>
      <c r="C120" s="1" t="e">
        <f ca="1">OFFSET('B1'!J$1,'B2'!$A120-1,0)</f>
        <v>#N/A</v>
      </c>
      <c r="D120" s="1" t="e">
        <f ca="1">OFFSET('B1'!K$1,'B2'!$A120-1,0)</f>
        <v>#N/A</v>
      </c>
      <c r="E120" t="e">
        <f t="shared" ca="1" si="9"/>
        <v>#N/A</v>
      </c>
      <c r="F120" t="e">
        <f t="shared" ca="1" si="8"/>
        <v>#N/A</v>
      </c>
      <c r="G120" t="e">
        <f t="shared" ca="1" si="10"/>
        <v>#N/A</v>
      </c>
      <c r="H120" t="e">
        <f t="shared" ca="1" si="11"/>
        <v>#N/A</v>
      </c>
      <c r="I120" t="e">
        <f t="shared" ca="1" si="14"/>
        <v>#N/A</v>
      </c>
      <c r="J120" t="e">
        <f t="shared" ca="1" si="15"/>
        <v>#N/A</v>
      </c>
      <c r="K120" t="e">
        <f t="shared" ca="1" si="12"/>
        <v>#N/A</v>
      </c>
      <c r="L120" t="e">
        <f t="shared" ca="1" si="13"/>
        <v>#N/A</v>
      </c>
    </row>
    <row r="121" spans="1:12" x14ac:dyDescent="0.3">
      <c r="A121" t="e">
        <f ca="1">MATCH(ROW(),'B1'!H:H,0)</f>
        <v>#N/A</v>
      </c>
      <c r="B121" t="e">
        <f ca="1">OFFSET('B1'!I$1,'B2'!$A121-1,0)</f>
        <v>#N/A</v>
      </c>
      <c r="C121" s="1" t="e">
        <f ca="1">OFFSET('B1'!J$1,'B2'!$A121-1,0)</f>
        <v>#N/A</v>
      </c>
      <c r="D121" s="1" t="e">
        <f ca="1">OFFSET('B1'!K$1,'B2'!$A121-1,0)</f>
        <v>#N/A</v>
      </c>
      <c r="E121" t="e">
        <f t="shared" ca="1" si="9"/>
        <v>#N/A</v>
      </c>
      <c r="F121" t="e">
        <f t="shared" ca="1" si="8"/>
        <v>#N/A</v>
      </c>
      <c r="G121" t="e">
        <f t="shared" ca="1" si="10"/>
        <v>#N/A</v>
      </c>
      <c r="H121" t="e">
        <f t="shared" ca="1" si="11"/>
        <v>#N/A</v>
      </c>
      <c r="I121" t="e">
        <f t="shared" ca="1" si="14"/>
        <v>#N/A</v>
      </c>
      <c r="J121" t="e">
        <f t="shared" ca="1" si="15"/>
        <v>#N/A</v>
      </c>
      <c r="K121" t="e">
        <f t="shared" ca="1" si="12"/>
        <v>#N/A</v>
      </c>
      <c r="L121" t="e">
        <f t="shared" ca="1" si="13"/>
        <v>#N/A</v>
      </c>
    </row>
    <row r="122" spans="1:12" x14ac:dyDescent="0.3">
      <c r="A122" t="e">
        <f ca="1">MATCH(ROW(),'B1'!H:H,0)</f>
        <v>#N/A</v>
      </c>
      <c r="B122" t="e">
        <f ca="1">OFFSET('B1'!I$1,'B2'!$A122-1,0)</f>
        <v>#N/A</v>
      </c>
      <c r="C122" s="1" t="e">
        <f ca="1">OFFSET('B1'!J$1,'B2'!$A122-1,0)</f>
        <v>#N/A</v>
      </c>
      <c r="D122" s="1" t="e">
        <f ca="1">OFFSET('B1'!K$1,'B2'!$A122-1,0)</f>
        <v>#N/A</v>
      </c>
      <c r="E122" t="e">
        <f t="shared" ca="1" si="9"/>
        <v>#N/A</v>
      </c>
      <c r="F122" t="e">
        <f t="shared" ca="1" si="8"/>
        <v>#N/A</v>
      </c>
      <c r="G122" t="e">
        <f t="shared" ca="1" si="10"/>
        <v>#N/A</v>
      </c>
      <c r="H122" t="e">
        <f t="shared" ca="1" si="11"/>
        <v>#N/A</v>
      </c>
      <c r="I122" t="e">
        <f t="shared" ca="1" si="14"/>
        <v>#N/A</v>
      </c>
      <c r="J122" t="e">
        <f t="shared" ca="1" si="15"/>
        <v>#N/A</v>
      </c>
      <c r="K122" t="e">
        <f t="shared" ca="1" si="12"/>
        <v>#N/A</v>
      </c>
      <c r="L122" t="e">
        <f t="shared" ca="1" si="13"/>
        <v>#N/A</v>
      </c>
    </row>
    <row r="123" spans="1:12" x14ac:dyDescent="0.3">
      <c r="A123" t="e">
        <f ca="1">MATCH(ROW(),'B1'!H:H,0)</f>
        <v>#N/A</v>
      </c>
      <c r="B123" t="e">
        <f ca="1">OFFSET('B1'!I$1,'B2'!$A123-1,0)</f>
        <v>#N/A</v>
      </c>
      <c r="C123" s="1" t="e">
        <f ca="1">OFFSET('B1'!J$1,'B2'!$A123-1,0)</f>
        <v>#N/A</v>
      </c>
      <c r="D123" s="1" t="e">
        <f ca="1">OFFSET('B1'!K$1,'B2'!$A123-1,0)</f>
        <v>#N/A</v>
      </c>
      <c r="E123" t="e">
        <f t="shared" ca="1" si="9"/>
        <v>#N/A</v>
      </c>
      <c r="F123" t="e">
        <f t="shared" ca="1" si="8"/>
        <v>#N/A</v>
      </c>
      <c r="G123" t="e">
        <f t="shared" ca="1" si="10"/>
        <v>#N/A</v>
      </c>
      <c r="H123" t="e">
        <f t="shared" ca="1" si="11"/>
        <v>#N/A</v>
      </c>
      <c r="I123" t="e">
        <f t="shared" ca="1" si="14"/>
        <v>#N/A</v>
      </c>
      <c r="J123" t="e">
        <f t="shared" ca="1" si="15"/>
        <v>#N/A</v>
      </c>
      <c r="K123" t="e">
        <f t="shared" ca="1" si="12"/>
        <v>#N/A</v>
      </c>
      <c r="L123" t="e">
        <f t="shared" ca="1" si="13"/>
        <v>#N/A</v>
      </c>
    </row>
    <row r="124" spans="1:12" x14ac:dyDescent="0.3">
      <c r="A124" t="e">
        <f ca="1">MATCH(ROW(),'B1'!H:H,0)</f>
        <v>#N/A</v>
      </c>
      <c r="B124" t="e">
        <f ca="1">OFFSET('B1'!I$1,'B2'!$A124-1,0)</f>
        <v>#N/A</v>
      </c>
      <c r="C124" s="1" t="e">
        <f ca="1">OFFSET('B1'!J$1,'B2'!$A124-1,0)</f>
        <v>#N/A</v>
      </c>
      <c r="D124" s="1" t="e">
        <f ca="1">OFFSET('B1'!K$1,'B2'!$A124-1,0)</f>
        <v>#N/A</v>
      </c>
      <c r="E124" t="e">
        <f t="shared" ca="1" si="9"/>
        <v>#N/A</v>
      </c>
      <c r="F124" t="e">
        <f t="shared" ca="1" si="8"/>
        <v>#N/A</v>
      </c>
      <c r="G124" t="e">
        <f t="shared" ca="1" si="10"/>
        <v>#N/A</v>
      </c>
      <c r="H124" t="e">
        <f t="shared" ca="1" si="11"/>
        <v>#N/A</v>
      </c>
      <c r="I124" t="e">
        <f t="shared" ca="1" si="14"/>
        <v>#N/A</v>
      </c>
      <c r="J124" t="e">
        <f t="shared" ca="1" si="15"/>
        <v>#N/A</v>
      </c>
      <c r="K124" t="e">
        <f t="shared" ca="1" si="12"/>
        <v>#N/A</v>
      </c>
      <c r="L124" t="e">
        <f t="shared" ca="1" si="13"/>
        <v>#N/A</v>
      </c>
    </row>
    <row r="125" spans="1:12" x14ac:dyDescent="0.3">
      <c r="A125" t="e">
        <f ca="1">MATCH(ROW(),'B1'!H:H,0)</f>
        <v>#N/A</v>
      </c>
      <c r="B125" t="e">
        <f ca="1">OFFSET('B1'!I$1,'B2'!$A125-1,0)</f>
        <v>#N/A</v>
      </c>
      <c r="C125" s="1" t="e">
        <f ca="1">OFFSET('B1'!J$1,'B2'!$A125-1,0)</f>
        <v>#N/A</v>
      </c>
      <c r="D125" s="1" t="e">
        <f ca="1">OFFSET('B1'!K$1,'B2'!$A125-1,0)</f>
        <v>#N/A</v>
      </c>
      <c r="E125" t="e">
        <f t="shared" ca="1" si="9"/>
        <v>#N/A</v>
      </c>
      <c r="F125" t="e">
        <f t="shared" ca="1" si="8"/>
        <v>#N/A</v>
      </c>
      <c r="G125" t="e">
        <f t="shared" ca="1" si="10"/>
        <v>#N/A</v>
      </c>
      <c r="H125" t="e">
        <f t="shared" ca="1" si="11"/>
        <v>#N/A</v>
      </c>
      <c r="I125" t="e">
        <f t="shared" ca="1" si="14"/>
        <v>#N/A</v>
      </c>
      <c r="J125" t="e">
        <f t="shared" ca="1" si="15"/>
        <v>#N/A</v>
      </c>
      <c r="K125" t="e">
        <f t="shared" ca="1" si="12"/>
        <v>#N/A</v>
      </c>
      <c r="L125" t="e">
        <f t="shared" ca="1" si="13"/>
        <v>#N/A</v>
      </c>
    </row>
    <row r="126" spans="1:12" x14ac:dyDescent="0.3">
      <c r="A126" t="e">
        <f ca="1">MATCH(ROW(),'B1'!H:H,0)</f>
        <v>#N/A</v>
      </c>
      <c r="B126" t="e">
        <f ca="1">OFFSET('B1'!I$1,'B2'!$A126-1,0)</f>
        <v>#N/A</v>
      </c>
      <c r="C126" s="1" t="e">
        <f ca="1">OFFSET('B1'!J$1,'B2'!$A126-1,0)</f>
        <v>#N/A</v>
      </c>
      <c r="D126" s="1" t="e">
        <f ca="1">OFFSET('B1'!K$1,'B2'!$A126-1,0)</f>
        <v>#N/A</v>
      </c>
      <c r="E126" t="e">
        <f t="shared" ca="1" si="9"/>
        <v>#N/A</v>
      </c>
      <c r="F126" t="e">
        <f t="shared" ca="1" si="8"/>
        <v>#N/A</v>
      </c>
      <c r="G126" t="e">
        <f t="shared" ca="1" si="10"/>
        <v>#N/A</v>
      </c>
      <c r="H126" t="e">
        <f t="shared" ca="1" si="11"/>
        <v>#N/A</v>
      </c>
      <c r="I126" t="e">
        <f t="shared" ca="1" si="14"/>
        <v>#N/A</v>
      </c>
      <c r="J126" t="e">
        <f t="shared" ca="1" si="15"/>
        <v>#N/A</v>
      </c>
      <c r="K126" t="e">
        <f t="shared" ca="1" si="12"/>
        <v>#N/A</v>
      </c>
      <c r="L126" t="e">
        <f t="shared" ca="1" si="13"/>
        <v>#N/A</v>
      </c>
    </row>
    <row r="127" spans="1:12" x14ac:dyDescent="0.3">
      <c r="A127" t="e">
        <f ca="1">MATCH(ROW(),'B1'!H:H,0)</f>
        <v>#N/A</v>
      </c>
      <c r="B127" t="e">
        <f ca="1">OFFSET('B1'!I$1,'B2'!$A127-1,0)</f>
        <v>#N/A</v>
      </c>
      <c r="C127" s="1" t="e">
        <f ca="1">OFFSET('B1'!J$1,'B2'!$A127-1,0)</f>
        <v>#N/A</v>
      </c>
      <c r="D127" s="1" t="e">
        <f ca="1">OFFSET('B1'!K$1,'B2'!$A127-1,0)</f>
        <v>#N/A</v>
      </c>
      <c r="E127" t="e">
        <f t="shared" ca="1" si="9"/>
        <v>#N/A</v>
      </c>
      <c r="F127" t="e">
        <f t="shared" ca="1" si="8"/>
        <v>#N/A</v>
      </c>
      <c r="G127" t="e">
        <f t="shared" ca="1" si="10"/>
        <v>#N/A</v>
      </c>
      <c r="H127" t="e">
        <f t="shared" ca="1" si="11"/>
        <v>#N/A</v>
      </c>
      <c r="I127" t="e">
        <f t="shared" ca="1" si="14"/>
        <v>#N/A</v>
      </c>
      <c r="J127" t="e">
        <f t="shared" ca="1" si="15"/>
        <v>#N/A</v>
      </c>
      <c r="K127" t="e">
        <f t="shared" ca="1" si="12"/>
        <v>#N/A</v>
      </c>
      <c r="L127" t="e">
        <f t="shared" ca="1" si="13"/>
        <v>#N/A</v>
      </c>
    </row>
    <row r="128" spans="1:12" x14ac:dyDescent="0.3">
      <c r="A128" t="e">
        <f ca="1">MATCH(ROW(),'B1'!H:H,0)</f>
        <v>#N/A</v>
      </c>
      <c r="B128" t="e">
        <f ca="1">OFFSET('B1'!I$1,'B2'!$A128-1,0)</f>
        <v>#N/A</v>
      </c>
      <c r="C128" s="1" t="e">
        <f ca="1">OFFSET('B1'!J$1,'B2'!$A128-1,0)</f>
        <v>#N/A</v>
      </c>
      <c r="D128" s="1" t="e">
        <f ca="1">OFFSET('B1'!K$1,'B2'!$A128-1,0)</f>
        <v>#N/A</v>
      </c>
      <c r="E128" t="e">
        <f t="shared" ca="1" si="9"/>
        <v>#N/A</v>
      </c>
      <c r="F128" t="e">
        <f t="shared" ca="1" si="8"/>
        <v>#N/A</v>
      </c>
      <c r="G128" t="e">
        <f t="shared" ca="1" si="10"/>
        <v>#N/A</v>
      </c>
      <c r="H128" t="e">
        <f t="shared" ca="1" si="11"/>
        <v>#N/A</v>
      </c>
      <c r="I128" t="e">
        <f t="shared" ca="1" si="14"/>
        <v>#N/A</v>
      </c>
      <c r="J128" t="e">
        <f t="shared" ca="1" si="15"/>
        <v>#N/A</v>
      </c>
      <c r="K128" t="e">
        <f t="shared" ca="1" si="12"/>
        <v>#N/A</v>
      </c>
      <c r="L128" t="e">
        <f t="shared" ca="1" si="13"/>
        <v>#N/A</v>
      </c>
    </row>
    <row r="129" spans="1:12" x14ac:dyDescent="0.3">
      <c r="A129" t="e">
        <f ca="1">MATCH(ROW(),'B1'!H:H,0)</f>
        <v>#N/A</v>
      </c>
      <c r="B129" t="e">
        <f ca="1">OFFSET('B1'!I$1,'B2'!$A129-1,0)</f>
        <v>#N/A</v>
      </c>
      <c r="C129" s="1" t="e">
        <f ca="1">OFFSET('B1'!J$1,'B2'!$A129-1,0)</f>
        <v>#N/A</v>
      </c>
      <c r="D129" s="1" t="e">
        <f ca="1">OFFSET('B1'!K$1,'B2'!$A129-1,0)</f>
        <v>#N/A</v>
      </c>
      <c r="E129" t="e">
        <f t="shared" ca="1" si="9"/>
        <v>#N/A</v>
      </c>
      <c r="F129" t="e">
        <f t="shared" ref="F129:F168" ca="1" si="16">LEFT($B129,4)</f>
        <v>#N/A</v>
      </c>
      <c r="G129" t="e">
        <f t="shared" ca="1" si="10"/>
        <v>#N/A</v>
      </c>
      <c r="H129" t="e">
        <f t="shared" ca="1" si="11"/>
        <v>#N/A</v>
      </c>
      <c r="I129" t="e">
        <f t="shared" ca="1" si="14"/>
        <v>#N/A</v>
      </c>
      <c r="J129" t="e">
        <f t="shared" ca="1" si="15"/>
        <v>#N/A</v>
      </c>
      <c r="K129" t="e">
        <f t="shared" ca="1" si="12"/>
        <v>#N/A</v>
      </c>
      <c r="L129" t="e">
        <f t="shared" ca="1" si="13"/>
        <v>#N/A</v>
      </c>
    </row>
    <row r="130" spans="1:12" x14ac:dyDescent="0.3">
      <c r="A130" t="e">
        <f ca="1">MATCH(ROW(),'B1'!H:H,0)</f>
        <v>#N/A</v>
      </c>
      <c r="B130" t="e">
        <f ca="1">OFFSET('B1'!I$1,'B2'!$A130-1,0)</f>
        <v>#N/A</v>
      </c>
      <c r="C130" s="1" t="e">
        <f ca="1">OFFSET('B1'!J$1,'B2'!$A130-1,0)</f>
        <v>#N/A</v>
      </c>
      <c r="D130" s="1" t="e">
        <f ca="1">OFFSET('B1'!K$1,'B2'!$A130-1,0)</f>
        <v>#N/A</v>
      </c>
      <c r="E130" t="e">
        <f t="shared" ref="E130:E168" ca="1" si="17">LEFT($B130,10)</f>
        <v>#N/A</v>
      </c>
      <c r="F130" t="e">
        <f t="shared" ca="1" si="16"/>
        <v>#N/A</v>
      </c>
      <c r="G130" t="e">
        <f t="shared" ref="G130:G168" ca="1" si="18">LEFT($B130,2)</f>
        <v>#N/A</v>
      </c>
      <c r="H130" t="e">
        <f t="shared" ref="H130:H168" ca="1" si="19">RIGHT($B130,12)</f>
        <v>#N/A</v>
      </c>
      <c r="I130" t="e">
        <f t="shared" ca="1" si="14"/>
        <v>#N/A</v>
      </c>
      <c r="J130" t="e">
        <f t="shared" ca="1" si="15"/>
        <v>#N/A</v>
      </c>
      <c r="K130" t="e">
        <f t="shared" ref="K130:K168" ca="1" si="20">RIGHT($B130,5)</f>
        <v>#N/A</v>
      </c>
      <c r="L130" t="e">
        <f t="shared" ref="L130:L168" ca="1" si="21">RIGHT($B130,3)</f>
        <v>#N/A</v>
      </c>
    </row>
    <row r="131" spans="1:12" x14ac:dyDescent="0.3">
      <c r="A131" t="e">
        <f ca="1">MATCH(ROW(),'B1'!H:H,0)</f>
        <v>#N/A</v>
      </c>
      <c r="B131" t="e">
        <f ca="1">OFFSET('B1'!I$1,'B2'!$A131-1,0)</f>
        <v>#N/A</v>
      </c>
      <c r="C131" s="1" t="e">
        <f ca="1">OFFSET('B1'!J$1,'B2'!$A131-1,0)</f>
        <v>#N/A</v>
      </c>
      <c r="D131" s="1" t="e">
        <f ca="1">OFFSET('B1'!K$1,'B2'!$A131-1,0)</f>
        <v>#N/A</v>
      </c>
      <c r="E131" t="e">
        <f t="shared" ca="1" si="17"/>
        <v>#N/A</v>
      </c>
      <c r="F131" t="e">
        <f t="shared" ca="1" si="16"/>
        <v>#N/A</v>
      </c>
      <c r="G131" t="e">
        <f t="shared" ca="1" si="18"/>
        <v>#N/A</v>
      </c>
      <c r="H131" t="e">
        <f t="shared" ca="1" si="19"/>
        <v>#N/A</v>
      </c>
      <c r="I131" t="e">
        <f t="shared" ca="1" si="14"/>
        <v>#N/A</v>
      </c>
      <c r="J131" t="e">
        <f t="shared" ca="1" si="15"/>
        <v>#N/A</v>
      </c>
      <c r="K131" t="e">
        <f t="shared" ca="1" si="20"/>
        <v>#N/A</v>
      </c>
      <c r="L131" t="e">
        <f t="shared" ca="1" si="21"/>
        <v>#N/A</v>
      </c>
    </row>
    <row r="132" spans="1:12" x14ac:dyDescent="0.3">
      <c r="A132" t="e">
        <f ca="1">MATCH(ROW(),'B1'!H:H,0)</f>
        <v>#N/A</v>
      </c>
      <c r="B132" t="e">
        <f ca="1">OFFSET('B1'!I$1,'B2'!$A132-1,0)</f>
        <v>#N/A</v>
      </c>
      <c r="C132" s="1" t="e">
        <f ca="1">OFFSET('B1'!J$1,'B2'!$A132-1,0)</f>
        <v>#N/A</v>
      </c>
      <c r="D132" s="1" t="e">
        <f ca="1">OFFSET('B1'!K$1,'B2'!$A132-1,0)</f>
        <v>#N/A</v>
      </c>
      <c r="E132" t="e">
        <f t="shared" ca="1" si="17"/>
        <v>#N/A</v>
      </c>
      <c r="F132" t="e">
        <f t="shared" ca="1" si="16"/>
        <v>#N/A</v>
      </c>
      <c r="G132" t="e">
        <f t="shared" ca="1" si="18"/>
        <v>#N/A</v>
      </c>
      <c r="H132" t="e">
        <f t="shared" ca="1" si="19"/>
        <v>#N/A</v>
      </c>
      <c r="I132" t="e">
        <f t="shared" ca="1" si="14"/>
        <v>#N/A</v>
      </c>
      <c r="J132" t="e">
        <f t="shared" ca="1" si="15"/>
        <v>#N/A</v>
      </c>
      <c r="K132" t="e">
        <f t="shared" ca="1" si="20"/>
        <v>#N/A</v>
      </c>
      <c r="L132" t="e">
        <f t="shared" ca="1" si="21"/>
        <v>#N/A</v>
      </c>
    </row>
    <row r="133" spans="1:12" x14ac:dyDescent="0.3">
      <c r="A133" t="e">
        <f ca="1">MATCH(ROW(),'B1'!H:H,0)</f>
        <v>#N/A</v>
      </c>
      <c r="B133" t="e">
        <f ca="1">OFFSET('B1'!I$1,'B2'!$A133-1,0)</f>
        <v>#N/A</v>
      </c>
      <c r="C133" s="1" t="e">
        <f ca="1">OFFSET('B1'!J$1,'B2'!$A133-1,0)</f>
        <v>#N/A</v>
      </c>
      <c r="D133" s="1" t="e">
        <f ca="1">OFFSET('B1'!K$1,'B2'!$A133-1,0)</f>
        <v>#N/A</v>
      </c>
      <c r="E133" t="e">
        <f t="shared" ca="1" si="17"/>
        <v>#N/A</v>
      </c>
      <c r="F133" t="e">
        <f t="shared" ca="1" si="16"/>
        <v>#N/A</v>
      </c>
      <c r="G133" t="e">
        <f t="shared" ca="1" si="18"/>
        <v>#N/A</v>
      </c>
      <c r="H133" t="e">
        <f t="shared" ca="1" si="19"/>
        <v>#N/A</v>
      </c>
      <c r="I133" t="e">
        <f t="shared" ca="1" si="14"/>
        <v>#N/A</v>
      </c>
      <c r="J133" t="e">
        <f t="shared" ca="1" si="15"/>
        <v>#N/A</v>
      </c>
      <c r="K133" t="e">
        <f t="shared" ca="1" si="20"/>
        <v>#N/A</v>
      </c>
      <c r="L133" t="e">
        <f t="shared" ca="1" si="21"/>
        <v>#N/A</v>
      </c>
    </row>
    <row r="134" spans="1:12" x14ac:dyDescent="0.3">
      <c r="A134" t="e">
        <f ca="1">MATCH(ROW(),'B1'!H:H,0)</f>
        <v>#N/A</v>
      </c>
      <c r="B134" t="e">
        <f ca="1">OFFSET('B1'!I$1,'B2'!$A134-1,0)</f>
        <v>#N/A</v>
      </c>
      <c r="C134" s="1" t="e">
        <f ca="1">OFFSET('B1'!J$1,'B2'!$A134-1,0)</f>
        <v>#N/A</v>
      </c>
      <c r="D134" s="1" t="e">
        <f ca="1">OFFSET('B1'!K$1,'B2'!$A134-1,0)</f>
        <v>#N/A</v>
      </c>
      <c r="E134" t="e">
        <f t="shared" ca="1" si="17"/>
        <v>#N/A</v>
      </c>
      <c r="F134" t="e">
        <f t="shared" ca="1" si="16"/>
        <v>#N/A</v>
      </c>
      <c r="G134" t="e">
        <f t="shared" ca="1" si="18"/>
        <v>#N/A</v>
      </c>
      <c r="H134" t="e">
        <f t="shared" ca="1" si="19"/>
        <v>#N/A</v>
      </c>
      <c r="I134" t="e">
        <f t="shared" ca="1" si="14"/>
        <v>#N/A</v>
      </c>
      <c r="J134" t="e">
        <f t="shared" ca="1" si="15"/>
        <v>#N/A</v>
      </c>
      <c r="K134" t="e">
        <f t="shared" ca="1" si="20"/>
        <v>#N/A</v>
      </c>
      <c r="L134" t="e">
        <f t="shared" ca="1" si="21"/>
        <v>#N/A</v>
      </c>
    </row>
    <row r="135" spans="1:12" x14ac:dyDescent="0.3">
      <c r="A135" t="e">
        <f ca="1">MATCH(ROW(),'B1'!H:H,0)</f>
        <v>#N/A</v>
      </c>
      <c r="B135" t="e">
        <f ca="1">OFFSET('B1'!I$1,'B2'!$A135-1,0)</f>
        <v>#N/A</v>
      </c>
      <c r="C135" s="1" t="e">
        <f ca="1">OFFSET('B1'!J$1,'B2'!$A135-1,0)</f>
        <v>#N/A</v>
      </c>
      <c r="D135" s="1" t="e">
        <f ca="1">OFFSET('B1'!K$1,'B2'!$A135-1,0)</f>
        <v>#N/A</v>
      </c>
      <c r="E135" t="e">
        <f t="shared" ca="1" si="17"/>
        <v>#N/A</v>
      </c>
      <c r="F135" t="e">
        <f t="shared" ca="1" si="16"/>
        <v>#N/A</v>
      </c>
      <c r="G135" t="e">
        <f t="shared" ca="1" si="18"/>
        <v>#N/A</v>
      </c>
      <c r="H135" t="e">
        <f t="shared" ca="1" si="19"/>
        <v>#N/A</v>
      </c>
      <c r="I135" t="e">
        <f t="shared" ca="1" si="14"/>
        <v>#N/A</v>
      </c>
      <c r="J135" t="e">
        <f t="shared" ca="1" si="15"/>
        <v>#N/A</v>
      </c>
      <c r="K135" t="e">
        <f t="shared" ca="1" si="20"/>
        <v>#N/A</v>
      </c>
      <c r="L135" t="e">
        <f t="shared" ca="1" si="21"/>
        <v>#N/A</v>
      </c>
    </row>
    <row r="136" spans="1:12" x14ac:dyDescent="0.3">
      <c r="A136" t="e">
        <f ca="1">MATCH(ROW(),'B1'!H:H,0)</f>
        <v>#N/A</v>
      </c>
      <c r="B136" t="e">
        <f ca="1">OFFSET('B1'!I$1,'B2'!$A136-1,0)</f>
        <v>#N/A</v>
      </c>
      <c r="C136" s="1" t="e">
        <f ca="1">OFFSET('B1'!J$1,'B2'!$A136-1,0)</f>
        <v>#N/A</v>
      </c>
      <c r="D136" s="1" t="e">
        <f ca="1">OFFSET('B1'!K$1,'B2'!$A136-1,0)</f>
        <v>#N/A</v>
      </c>
      <c r="E136" t="e">
        <f t="shared" ca="1" si="17"/>
        <v>#N/A</v>
      </c>
      <c r="F136" t="e">
        <f t="shared" ca="1" si="16"/>
        <v>#N/A</v>
      </c>
      <c r="G136" t="e">
        <f t="shared" ca="1" si="18"/>
        <v>#N/A</v>
      </c>
      <c r="H136" t="e">
        <f t="shared" ca="1" si="19"/>
        <v>#N/A</v>
      </c>
      <c r="I136" t="e">
        <f t="shared" ca="1" si="14"/>
        <v>#N/A</v>
      </c>
      <c r="J136" t="e">
        <f t="shared" ca="1" si="15"/>
        <v>#N/A</v>
      </c>
      <c r="K136" t="e">
        <f t="shared" ca="1" si="20"/>
        <v>#N/A</v>
      </c>
      <c r="L136" t="e">
        <f t="shared" ca="1" si="21"/>
        <v>#N/A</v>
      </c>
    </row>
    <row r="137" spans="1:12" x14ac:dyDescent="0.3">
      <c r="A137" t="e">
        <f ca="1">MATCH(ROW(),'B1'!H:H,0)</f>
        <v>#N/A</v>
      </c>
      <c r="B137" t="e">
        <f ca="1">OFFSET('B1'!I$1,'B2'!$A137-1,0)</f>
        <v>#N/A</v>
      </c>
      <c r="C137" s="1" t="e">
        <f ca="1">OFFSET('B1'!J$1,'B2'!$A137-1,0)</f>
        <v>#N/A</v>
      </c>
      <c r="D137" s="1" t="e">
        <f ca="1">OFFSET('B1'!K$1,'B2'!$A137-1,0)</f>
        <v>#N/A</v>
      </c>
      <c r="E137" t="e">
        <f t="shared" ca="1" si="17"/>
        <v>#N/A</v>
      </c>
      <c r="F137" t="e">
        <f t="shared" ca="1" si="16"/>
        <v>#N/A</v>
      </c>
      <c r="G137" t="e">
        <f t="shared" ca="1" si="18"/>
        <v>#N/A</v>
      </c>
      <c r="H137" t="e">
        <f t="shared" ca="1" si="19"/>
        <v>#N/A</v>
      </c>
      <c r="I137" t="e">
        <f t="shared" ca="1" si="14"/>
        <v>#N/A</v>
      </c>
      <c r="J137" t="e">
        <f t="shared" ca="1" si="15"/>
        <v>#N/A</v>
      </c>
      <c r="K137" t="e">
        <f t="shared" ca="1" si="20"/>
        <v>#N/A</v>
      </c>
      <c r="L137" t="e">
        <f t="shared" ca="1" si="21"/>
        <v>#N/A</v>
      </c>
    </row>
    <row r="138" spans="1:12" x14ac:dyDescent="0.3">
      <c r="A138" t="e">
        <f ca="1">MATCH(ROW(),'B1'!H:H,0)</f>
        <v>#N/A</v>
      </c>
      <c r="B138" t="e">
        <f ca="1">OFFSET('B1'!I$1,'B2'!$A138-1,0)</f>
        <v>#N/A</v>
      </c>
      <c r="C138" s="1" t="e">
        <f ca="1">OFFSET('B1'!J$1,'B2'!$A138-1,0)</f>
        <v>#N/A</v>
      </c>
      <c r="D138" s="1" t="e">
        <f ca="1">OFFSET('B1'!K$1,'B2'!$A138-1,0)</f>
        <v>#N/A</v>
      </c>
      <c r="E138" t="e">
        <f t="shared" ca="1" si="17"/>
        <v>#N/A</v>
      </c>
      <c r="F138" t="e">
        <f t="shared" ca="1" si="16"/>
        <v>#N/A</v>
      </c>
      <c r="G138" t="e">
        <f t="shared" ca="1" si="18"/>
        <v>#N/A</v>
      </c>
      <c r="H138" t="e">
        <f t="shared" ca="1" si="19"/>
        <v>#N/A</v>
      </c>
      <c r="I138" t="e">
        <f t="shared" ca="1" si="14"/>
        <v>#N/A</v>
      </c>
      <c r="J138" t="e">
        <f t="shared" ca="1" si="15"/>
        <v>#N/A</v>
      </c>
      <c r="K138" t="e">
        <f t="shared" ca="1" si="20"/>
        <v>#N/A</v>
      </c>
      <c r="L138" t="e">
        <f t="shared" ca="1" si="21"/>
        <v>#N/A</v>
      </c>
    </row>
    <row r="139" spans="1:12" x14ac:dyDescent="0.3">
      <c r="A139" t="e">
        <f ca="1">MATCH(ROW(),'B1'!H:H,0)</f>
        <v>#N/A</v>
      </c>
      <c r="B139" t="e">
        <f ca="1">OFFSET('B1'!I$1,'B2'!$A139-1,0)</f>
        <v>#N/A</v>
      </c>
      <c r="C139" s="1" t="e">
        <f ca="1">OFFSET('B1'!J$1,'B2'!$A139-1,0)</f>
        <v>#N/A</v>
      </c>
      <c r="D139" s="1" t="e">
        <f ca="1">OFFSET('B1'!K$1,'B2'!$A139-1,0)</f>
        <v>#N/A</v>
      </c>
      <c r="E139" t="e">
        <f t="shared" ca="1" si="17"/>
        <v>#N/A</v>
      </c>
      <c r="F139" t="e">
        <f t="shared" ca="1" si="16"/>
        <v>#N/A</v>
      </c>
      <c r="G139" t="e">
        <f t="shared" ca="1" si="18"/>
        <v>#N/A</v>
      </c>
      <c r="H139" t="e">
        <f t="shared" ca="1" si="19"/>
        <v>#N/A</v>
      </c>
      <c r="I139" t="e">
        <f t="shared" ca="1" si="14"/>
        <v>#N/A</v>
      </c>
      <c r="J139" t="e">
        <f t="shared" ca="1" si="15"/>
        <v>#N/A</v>
      </c>
      <c r="K139" t="e">
        <f t="shared" ca="1" si="20"/>
        <v>#N/A</v>
      </c>
      <c r="L139" t="e">
        <f t="shared" ca="1" si="21"/>
        <v>#N/A</v>
      </c>
    </row>
    <row r="140" spans="1:12" x14ac:dyDescent="0.3">
      <c r="A140" t="e">
        <f ca="1">MATCH(ROW(),'B1'!H:H,0)</f>
        <v>#N/A</v>
      </c>
      <c r="B140" t="e">
        <f ca="1">OFFSET('B1'!I$1,'B2'!$A140-1,0)</f>
        <v>#N/A</v>
      </c>
      <c r="C140" s="1" t="e">
        <f ca="1">OFFSET('B1'!J$1,'B2'!$A140-1,0)</f>
        <v>#N/A</v>
      </c>
      <c r="D140" s="1" t="e">
        <f ca="1">OFFSET('B1'!K$1,'B2'!$A140-1,0)</f>
        <v>#N/A</v>
      </c>
      <c r="E140" t="e">
        <f t="shared" ca="1" si="17"/>
        <v>#N/A</v>
      </c>
      <c r="F140" t="e">
        <f t="shared" ca="1" si="16"/>
        <v>#N/A</v>
      </c>
      <c r="G140" t="e">
        <f t="shared" ca="1" si="18"/>
        <v>#N/A</v>
      </c>
      <c r="H140" t="e">
        <f t="shared" ca="1" si="19"/>
        <v>#N/A</v>
      </c>
      <c r="I140" t="e">
        <f t="shared" ca="1" si="14"/>
        <v>#N/A</v>
      </c>
      <c r="J140" t="e">
        <f t="shared" ca="1" si="15"/>
        <v>#N/A</v>
      </c>
      <c r="K140" t="e">
        <f t="shared" ca="1" si="20"/>
        <v>#N/A</v>
      </c>
      <c r="L140" t="e">
        <f t="shared" ca="1" si="21"/>
        <v>#N/A</v>
      </c>
    </row>
    <row r="141" spans="1:12" x14ac:dyDescent="0.3">
      <c r="A141" t="e">
        <f ca="1">MATCH(ROW(),'B1'!H:H,0)</f>
        <v>#N/A</v>
      </c>
      <c r="B141" t="e">
        <f ca="1">OFFSET('B1'!I$1,'B2'!$A141-1,0)</f>
        <v>#N/A</v>
      </c>
      <c r="C141" s="1" t="e">
        <f ca="1">OFFSET('B1'!J$1,'B2'!$A141-1,0)</f>
        <v>#N/A</v>
      </c>
      <c r="D141" s="1" t="e">
        <f ca="1">OFFSET('B1'!K$1,'B2'!$A141-1,0)</f>
        <v>#N/A</v>
      </c>
      <c r="E141" t="e">
        <f t="shared" ca="1" si="17"/>
        <v>#N/A</v>
      </c>
      <c r="F141" t="e">
        <f t="shared" ca="1" si="16"/>
        <v>#N/A</v>
      </c>
      <c r="G141" t="e">
        <f t="shared" ca="1" si="18"/>
        <v>#N/A</v>
      </c>
      <c r="H141" t="e">
        <f t="shared" ca="1" si="19"/>
        <v>#N/A</v>
      </c>
      <c r="I141" t="e">
        <f t="shared" ca="1" si="14"/>
        <v>#N/A</v>
      </c>
      <c r="J141" t="e">
        <f t="shared" ca="1" si="15"/>
        <v>#N/A</v>
      </c>
      <c r="K141" t="e">
        <f t="shared" ca="1" si="20"/>
        <v>#N/A</v>
      </c>
      <c r="L141" t="e">
        <f t="shared" ca="1" si="21"/>
        <v>#N/A</v>
      </c>
    </row>
    <row r="142" spans="1:12" x14ac:dyDescent="0.3">
      <c r="A142" t="e">
        <f ca="1">MATCH(ROW(),'B1'!H:H,0)</f>
        <v>#N/A</v>
      </c>
      <c r="B142" t="e">
        <f ca="1">OFFSET('B1'!I$1,'B2'!$A142-1,0)</f>
        <v>#N/A</v>
      </c>
      <c r="C142" s="1" t="e">
        <f ca="1">OFFSET('B1'!J$1,'B2'!$A142-1,0)</f>
        <v>#N/A</v>
      </c>
      <c r="D142" s="1" t="e">
        <f ca="1">OFFSET('B1'!K$1,'B2'!$A142-1,0)</f>
        <v>#N/A</v>
      </c>
      <c r="E142" t="e">
        <f t="shared" ca="1" si="17"/>
        <v>#N/A</v>
      </c>
      <c r="F142" t="e">
        <f t="shared" ca="1" si="16"/>
        <v>#N/A</v>
      </c>
      <c r="G142" t="e">
        <f t="shared" ca="1" si="18"/>
        <v>#N/A</v>
      </c>
      <c r="H142" t="e">
        <f t="shared" ca="1" si="19"/>
        <v>#N/A</v>
      </c>
      <c r="I142" t="e">
        <f t="shared" ca="1" si="14"/>
        <v>#N/A</v>
      </c>
      <c r="J142" t="e">
        <f t="shared" ca="1" si="15"/>
        <v>#N/A</v>
      </c>
      <c r="K142" t="e">
        <f t="shared" ca="1" si="20"/>
        <v>#N/A</v>
      </c>
      <c r="L142" t="e">
        <f t="shared" ca="1" si="21"/>
        <v>#N/A</v>
      </c>
    </row>
    <row r="143" spans="1:12" x14ac:dyDescent="0.3">
      <c r="A143" t="e">
        <f ca="1">MATCH(ROW(),'B1'!H:H,0)</f>
        <v>#N/A</v>
      </c>
      <c r="B143" t="e">
        <f ca="1">OFFSET('B1'!I$1,'B2'!$A143-1,0)</f>
        <v>#N/A</v>
      </c>
      <c r="C143" s="1" t="e">
        <f ca="1">OFFSET('B1'!J$1,'B2'!$A143-1,0)</f>
        <v>#N/A</v>
      </c>
      <c r="D143" s="1" t="e">
        <f ca="1">OFFSET('B1'!K$1,'B2'!$A143-1,0)</f>
        <v>#N/A</v>
      </c>
      <c r="E143" t="e">
        <f t="shared" ca="1" si="17"/>
        <v>#N/A</v>
      </c>
      <c r="F143" t="e">
        <f t="shared" ca="1" si="16"/>
        <v>#N/A</v>
      </c>
      <c r="G143" t="e">
        <f t="shared" ca="1" si="18"/>
        <v>#N/A</v>
      </c>
      <c r="H143" t="e">
        <f t="shared" ca="1" si="19"/>
        <v>#N/A</v>
      </c>
      <c r="I143" t="e">
        <f t="shared" ca="1" si="14"/>
        <v>#N/A</v>
      </c>
      <c r="J143" t="e">
        <f t="shared" ca="1" si="15"/>
        <v>#N/A</v>
      </c>
      <c r="K143" t="e">
        <f t="shared" ca="1" si="20"/>
        <v>#N/A</v>
      </c>
      <c r="L143" t="e">
        <f t="shared" ca="1" si="21"/>
        <v>#N/A</v>
      </c>
    </row>
    <row r="144" spans="1:12" x14ac:dyDescent="0.3">
      <c r="A144" t="e">
        <f ca="1">MATCH(ROW(),'B1'!H:H,0)</f>
        <v>#N/A</v>
      </c>
      <c r="B144" t="e">
        <f ca="1">OFFSET('B1'!I$1,'B2'!$A144-1,0)</f>
        <v>#N/A</v>
      </c>
      <c r="C144" s="1" t="e">
        <f ca="1">OFFSET('B1'!J$1,'B2'!$A144-1,0)</f>
        <v>#N/A</v>
      </c>
      <c r="D144" s="1" t="e">
        <f ca="1">OFFSET('B1'!K$1,'B2'!$A144-1,0)</f>
        <v>#N/A</v>
      </c>
      <c r="E144" t="e">
        <f t="shared" ca="1" si="17"/>
        <v>#N/A</v>
      </c>
      <c r="F144" t="e">
        <f t="shared" ca="1" si="16"/>
        <v>#N/A</v>
      </c>
      <c r="G144" t="e">
        <f t="shared" ca="1" si="18"/>
        <v>#N/A</v>
      </c>
      <c r="H144" t="e">
        <f t="shared" ca="1" si="19"/>
        <v>#N/A</v>
      </c>
      <c r="I144" t="e">
        <f t="shared" ca="1" si="14"/>
        <v>#N/A</v>
      </c>
      <c r="J144" t="e">
        <f t="shared" ca="1" si="15"/>
        <v>#N/A</v>
      </c>
      <c r="K144" t="e">
        <f t="shared" ca="1" si="20"/>
        <v>#N/A</v>
      </c>
      <c r="L144" t="e">
        <f t="shared" ca="1" si="21"/>
        <v>#N/A</v>
      </c>
    </row>
    <row r="145" spans="1:12" x14ac:dyDescent="0.3">
      <c r="A145" t="e">
        <f ca="1">MATCH(ROW(),'B1'!H:H,0)</f>
        <v>#N/A</v>
      </c>
      <c r="B145" t="e">
        <f ca="1">OFFSET('B1'!I$1,'B2'!$A145-1,0)</f>
        <v>#N/A</v>
      </c>
      <c r="C145" s="1" t="e">
        <f ca="1">OFFSET('B1'!J$1,'B2'!$A145-1,0)</f>
        <v>#N/A</v>
      </c>
      <c r="D145" s="1" t="e">
        <f ca="1">OFFSET('B1'!K$1,'B2'!$A145-1,0)</f>
        <v>#N/A</v>
      </c>
      <c r="E145" t="e">
        <f t="shared" ca="1" si="17"/>
        <v>#N/A</v>
      </c>
      <c r="F145" t="e">
        <f t="shared" ca="1" si="16"/>
        <v>#N/A</v>
      </c>
      <c r="G145" t="e">
        <f t="shared" ca="1" si="18"/>
        <v>#N/A</v>
      </c>
      <c r="H145" t="e">
        <f t="shared" ca="1" si="19"/>
        <v>#N/A</v>
      </c>
      <c r="I145" t="e">
        <f t="shared" ca="1" si="14"/>
        <v>#N/A</v>
      </c>
      <c r="J145" t="e">
        <f t="shared" ca="1" si="15"/>
        <v>#N/A</v>
      </c>
      <c r="K145" t="e">
        <f t="shared" ca="1" si="20"/>
        <v>#N/A</v>
      </c>
      <c r="L145" t="e">
        <f t="shared" ca="1" si="21"/>
        <v>#N/A</v>
      </c>
    </row>
    <row r="146" spans="1:12" x14ac:dyDescent="0.3">
      <c r="A146" t="e">
        <f ca="1">MATCH(ROW(),'B1'!H:H,0)</f>
        <v>#N/A</v>
      </c>
      <c r="B146" t="e">
        <f ca="1">OFFSET('B1'!I$1,'B2'!$A146-1,0)</f>
        <v>#N/A</v>
      </c>
      <c r="C146" s="1" t="e">
        <f ca="1">OFFSET('B1'!J$1,'B2'!$A146-1,0)</f>
        <v>#N/A</v>
      </c>
      <c r="D146" s="1" t="e">
        <f ca="1">OFFSET('B1'!K$1,'B2'!$A146-1,0)</f>
        <v>#N/A</v>
      </c>
      <c r="E146" t="e">
        <f t="shared" ca="1" si="17"/>
        <v>#N/A</v>
      </c>
      <c r="F146" t="e">
        <f t="shared" ca="1" si="16"/>
        <v>#N/A</v>
      </c>
      <c r="G146" t="e">
        <f t="shared" ca="1" si="18"/>
        <v>#N/A</v>
      </c>
      <c r="H146" t="e">
        <f t="shared" ca="1" si="19"/>
        <v>#N/A</v>
      </c>
      <c r="I146" t="e">
        <f t="shared" ca="1" si="14"/>
        <v>#N/A</v>
      </c>
      <c r="J146" t="e">
        <f t="shared" ca="1" si="15"/>
        <v>#N/A</v>
      </c>
      <c r="K146" t="e">
        <f t="shared" ca="1" si="20"/>
        <v>#N/A</v>
      </c>
      <c r="L146" t="e">
        <f t="shared" ca="1" si="21"/>
        <v>#N/A</v>
      </c>
    </row>
    <row r="147" spans="1:12" x14ac:dyDescent="0.3">
      <c r="A147" t="e">
        <f ca="1">MATCH(ROW(),'B1'!H:H,0)</f>
        <v>#N/A</v>
      </c>
      <c r="B147" t="e">
        <f ca="1">OFFSET('B1'!I$1,'B2'!$A147-1,0)</f>
        <v>#N/A</v>
      </c>
      <c r="C147" s="1" t="e">
        <f ca="1">OFFSET('B1'!J$1,'B2'!$A147-1,0)</f>
        <v>#N/A</v>
      </c>
      <c r="D147" s="1" t="e">
        <f ca="1">OFFSET('B1'!K$1,'B2'!$A147-1,0)</f>
        <v>#N/A</v>
      </c>
      <c r="E147" t="e">
        <f t="shared" ca="1" si="17"/>
        <v>#N/A</v>
      </c>
      <c r="F147" t="e">
        <f t="shared" ca="1" si="16"/>
        <v>#N/A</v>
      </c>
      <c r="G147" t="e">
        <f t="shared" ca="1" si="18"/>
        <v>#N/A</v>
      </c>
      <c r="H147" t="e">
        <f t="shared" ca="1" si="19"/>
        <v>#N/A</v>
      </c>
      <c r="I147" t="e">
        <f t="shared" ca="1" si="14"/>
        <v>#N/A</v>
      </c>
      <c r="J147" t="e">
        <f t="shared" ca="1" si="15"/>
        <v>#N/A</v>
      </c>
      <c r="K147" t="e">
        <f t="shared" ca="1" si="20"/>
        <v>#N/A</v>
      </c>
      <c r="L147" t="e">
        <f t="shared" ca="1" si="21"/>
        <v>#N/A</v>
      </c>
    </row>
    <row r="148" spans="1:12" x14ac:dyDescent="0.3">
      <c r="A148" t="e">
        <f ca="1">MATCH(ROW(),'B1'!H:H,0)</f>
        <v>#N/A</v>
      </c>
      <c r="B148" t="e">
        <f ca="1">OFFSET('B1'!I$1,'B2'!$A148-1,0)</f>
        <v>#N/A</v>
      </c>
      <c r="C148" s="1" t="e">
        <f ca="1">OFFSET('B1'!J$1,'B2'!$A148-1,0)</f>
        <v>#N/A</v>
      </c>
      <c r="D148" s="1" t="e">
        <f ca="1">OFFSET('B1'!K$1,'B2'!$A148-1,0)</f>
        <v>#N/A</v>
      </c>
      <c r="E148" t="e">
        <f t="shared" ca="1" si="17"/>
        <v>#N/A</v>
      </c>
      <c r="F148" t="e">
        <f t="shared" ca="1" si="16"/>
        <v>#N/A</v>
      </c>
      <c r="G148" t="e">
        <f t="shared" ca="1" si="18"/>
        <v>#N/A</v>
      </c>
      <c r="H148" t="e">
        <f t="shared" ca="1" si="19"/>
        <v>#N/A</v>
      </c>
      <c r="I148" t="e">
        <f t="shared" ca="1" si="14"/>
        <v>#N/A</v>
      </c>
      <c r="J148" t="e">
        <f t="shared" ca="1" si="15"/>
        <v>#N/A</v>
      </c>
      <c r="K148" t="e">
        <f t="shared" ca="1" si="20"/>
        <v>#N/A</v>
      </c>
      <c r="L148" t="e">
        <f t="shared" ca="1" si="21"/>
        <v>#N/A</v>
      </c>
    </row>
    <row r="149" spans="1:12" x14ac:dyDescent="0.3">
      <c r="A149" t="e">
        <f ca="1">MATCH(ROW(),'B1'!H:H,0)</f>
        <v>#N/A</v>
      </c>
      <c r="B149" t="e">
        <f ca="1">OFFSET('B1'!I$1,'B2'!$A149-1,0)</f>
        <v>#N/A</v>
      </c>
      <c r="C149" s="1" t="e">
        <f ca="1">OFFSET('B1'!J$1,'B2'!$A149-1,0)</f>
        <v>#N/A</v>
      </c>
      <c r="D149" s="1" t="e">
        <f ca="1">OFFSET('B1'!K$1,'B2'!$A149-1,0)</f>
        <v>#N/A</v>
      </c>
      <c r="E149" t="e">
        <f t="shared" ca="1" si="17"/>
        <v>#N/A</v>
      </c>
      <c r="F149" t="e">
        <f t="shared" ca="1" si="16"/>
        <v>#N/A</v>
      </c>
      <c r="G149" t="e">
        <f t="shared" ca="1" si="18"/>
        <v>#N/A</v>
      </c>
      <c r="H149" t="e">
        <f t="shared" ca="1" si="19"/>
        <v>#N/A</v>
      </c>
      <c r="I149" t="e">
        <f t="shared" ref="I149:I168" ca="1" si="22">RIGHT($B149,9)</f>
        <v>#N/A</v>
      </c>
      <c r="J149" t="e">
        <f t="shared" ref="J149:J168" ca="1" si="23">RIGHT($B149,7)</f>
        <v>#N/A</v>
      </c>
      <c r="K149" t="e">
        <f t="shared" ca="1" si="20"/>
        <v>#N/A</v>
      </c>
      <c r="L149" t="e">
        <f t="shared" ca="1" si="21"/>
        <v>#N/A</v>
      </c>
    </row>
    <row r="150" spans="1:12" x14ac:dyDescent="0.3">
      <c r="A150" t="e">
        <f ca="1">MATCH(ROW(),'B1'!H:H,0)</f>
        <v>#N/A</v>
      </c>
      <c r="B150" t="e">
        <f ca="1">OFFSET('B1'!I$1,'B2'!$A150-1,0)</f>
        <v>#N/A</v>
      </c>
      <c r="C150" s="1" t="e">
        <f ca="1">OFFSET('B1'!J$1,'B2'!$A150-1,0)</f>
        <v>#N/A</v>
      </c>
      <c r="D150" s="1" t="e">
        <f ca="1">OFFSET('B1'!K$1,'B2'!$A150-1,0)</f>
        <v>#N/A</v>
      </c>
      <c r="E150" t="e">
        <f t="shared" ca="1" si="17"/>
        <v>#N/A</v>
      </c>
      <c r="F150" t="e">
        <f t="shared" ca="1" si="16"/>
        <v>#N/A</v>
      </c>
      <c r="G150" t="e">
        <f t="shared" ca="1" si="18"/>
        <v>#N/A</v>
      </c>
      <c r="H150" t="e">
        <f t="shared" ca="1" si="19"/>
        <v>#N/A</v>
      </c>
      <c r="I150" t="e">
        <f t="shared" ca="1" si="22"/>
        <v>#N/A</v>
      </c>
      <c r="J150" t="e">
        <f t="shared" ca="1" si="23"/>
        <v>#N/A</v>
      </c>
      <c r="K150" t="e">
        <f t="shared" ca="1" si="20"/>
        <v>#N/A</v>
      </c>
      <c r="L150" t="e">
        <f t="shared" ca="1" si="21"/>
        <v>#N/A</v>
      </c>
    </row>
    <row r="151" spans="1:12" x14ac:dyDescent="0.3">
      <c r="A151" t="e">
        <f ca="1">MATCH(ROW(),'B1'!H:H,0)</f>
        <v>#N/A</v>
      </c>
      <c r="B151" t="e">
        <f ca="1">OFFSET('B1'!I$1,'B2'!$A151-1,0)</f>
        <v>#N/A</v>
      </c>
      <c r="C151" s="1" t="e">
        <f ca="1">OFFSET('B1'!J$1,'B2'!$A151-1,0)</f>
        <v>#N/A</v>
      </c>
      <c r="D151" s="1" t="e">
        <f ca="1">OFFSET('B1'!K$1,'B2'!$A151-1,0)</f>
        <v>#N/A</v>
      </c>
      <c r="E151" t="e">
        <f t="shared" ca="1" si="17"/>
        <v>#N/A</v>
      </c>
      <c r="F151" t="e">
        <f t="shared" ca="1" si="16"/>
        <v>#N/A</v>
      </c>
      <c r="G151" t="e">
        <f t="shared" ca="1" si="18"/>
        <v>#N/A</v>
      </c>
      <c r="H151" t="e">
        <f t="shared" ca="1" si="19"/>
        <v>#N/A</v>
      </c>
      <c r="I151" t="e">
        <f t="shared" ca="1" si="22"/>
        <v>#N/A</v>
      </c>
      <c r="J151" t="e">
        <f t="shared" ca="1" si="23"/>
        <v>#N/A</v>
      </c>
      <c r="K151" t="e">
        <f t="shared" ca="1" si="20"/>
        <v>#N/A</v>
      </c>
      <c r="L151" t="e">
        <f t="shared" ca="1" si="21"/>
        <v>#N/A</v>
      </c>
    </row>
    <row r="152" spans="1:12" x14ac:dyDescent="0.3">
      <c r="A152" t="e">
        <f ca="1">MATCH(ROW(),'B1'!H:H,0)</f>
        <v>#N/A</v>
      </c>
      <c r="B152" t="e">
        <f ca="1">OFFSET('B1'!I$1,'B2'!$A152-1,0)</f>
        <v>#N/A</v>
      </c>
      <c r="C152" s="1" t="e">
        <f ca="1">OFFSET('B1'!J$1,'B2'!$A152-1,0)</f>
        <v>#N/A</v>
      </c>
      <c r="D152" s="1" t="e">
        <f ca="1">OFFSET('B1'!K$1,'B2'!$A152-1,0)</f>
        <v>#N/A</v>
      </c>
      <c r="E152" t="e">
        <f t="shared" ca="1" si="17"/>
        <v>#N/A</v>
      </c>
      <c r="F152" t="e">
        <f t="shared" ca="1" si="16"/>
        <v>#N/A</v>
      </c>
      <c r="G152" t="e">
        <f t="shared" ca="1" si="18"/>
        <v>#N/A</v>
      </c>
      <c r="H152" t="e">
        <f t="shared" ca="1" si="19"/>
        <v>#N/A</v>
      </c>
      <c r="I152" t="e">
        <f t="shared" ca="1" si="22"/>
        <v>#N/A</v>
      </c>
      <c r="J152" t="e">
        <f t="shared" ca="1" si="23"/>
        <v>#N/A</v>
      </c>
      <c r="K152" t="e">
        <f t="shared" ca="1" si="20"/>
        <v>#N/A</v>
      </c>
      <c r="L152" t="e">
        <f t="shared" ca="1" si="21"/>
        <v>#N/A</v>
      </c>
    </row>
    <row r="153" spans="1:12" x14ac:dyDescent="0.3">
      <c r="A153" t="e">
        <f ca="1">MATCH(ROW(),'B1'!H:H,0)</f>
        <v>#N/A</v>
      </c>
      <c r="B153" t="e">
        <f ca="1">OFFSET('B1'!I$1,'B2'!$A153-1,0)</f>
        <v>#N/A</v>
      </c>
      <c r="C153" s="1" t="e">
        <f ca="1">OFFSET('B1'!J$1,'B2'!$A153-1,0)</f>
        <v>#N/A</v>
      </c>
      <c r="D153" s="1" t="e">
        <f ca="1">OFFSET('B1'!K$1,'B2'!$A153-1,0)</f>
        <v>#N/A</v>
      </c>
      <c r="E153" t="e">
        <f t="shared" ca="1" si="17"/>
        <v>#N/A</v>
      </c>
      <c r="F153" t="e">
        <f t="shared" ca="1" si="16"/>
        <v>#N/A</v>
      </c>
      <c r="G153" t="e">
        <f t="shared" ca="1" si="18"/>
        <v>#N/A</v>
      </c>
      <c r="H153" t="e">
        <f t="shared" ca="1" si="19"/>
        <v>#N/A</v>
      </c>
      <c r="I153" t="e">
        <f t="shared" ca="1" si="22"/>
        <v>#N/A</v>
      </c>
      <c r="J153" t="e">
        <f t="shared" ca="1" si="23"/>
        <v>#N/A</v>
      </c>
      <c r="K153" t="e">
        <f t="shared" ca="1" si="20"/>
        <v>#N/A</v>
      </c>
      <c r="L153" t="e">
        <f t="shared" ca="1" si="21"/>
        <v>#N/A</v>
      </c>
    </row>
    <row r="154" spans="1:12" x14ac:dyDescent="0.3">
      <c r="A154" t="e">
        <f ca="1">MATCH(ROW(),'B1'!H:H,0)</f>
        <v>#N/A</v>
      </c>
      <c r="B154" t="e">
        <f ca="1">OFFSET('B1'!I$1,'B2'!$A154-1,0)</f>
        <v>#N/A</v>
      </c>
      <c r="C154" s="1" t="e">
        <f ca="1">OFFSET('B1'!J$1,'B2'!$A154-1,0)</f>
        <v>#N/A</v>
      </c>
      <c r="D154" s="1" t="e">
        <f ca="1">OFFSET('B1'!K$1,'B2'!$A154-1,0)</f>
        <v>#N/A</v>
      </c>
      <c r="E154" t="e">
        <f t="shared" ca="1" si="17"/>
        <v>#N/A</v>
      </c>
      <c r="F154" t="e">
        <f t="shared" ca="1" si="16"/>
        <v>#N/A</v>
      </c>
      <c r="G154" t="e">
        <f t="shared" ca="1" si="18"/>
        <v>#N/A</v>
      </c>
      <c r="H154" t="e">
        <f t="shared" ca="1" si="19"/>
        <v>#N/A</v>
      </c>
      <c r="I154" t="e">
        <f t="shared" ca="1" si="22"/>
        <v>#N/A</v>
      </c>
      <c r="J154" t="e">
        <f t="shared" ca="1" si="23"/>
        <v>#N/A</v>
      </c>
      <c r="K154" t="e">
        <f t="shared" ca="1" si="20"/>
        <v>#N/A</v>
      </c>
      <c r="L154" t="e">
        <f t="shared" ca="1" si="21"/>
        <v>#N/A</v>
      </c>
    </row>
    <row r="155" spans="1:12" x14ac:dyDescent="0.3">
      <c r="A155" t="e">
        <f ca="1">MATCH(ROW(),'B1'!H:H,0)</f>
        <v>#N/A</v>
      </c>
      <c r="B155" t="e">
        <f ca="1">OFFSET('B1'!I$1,'B2'!$A155-1,0)</f>
        <v>#N/A</v>
      </c>
      <c r="C155" s="1" t="e">
        <f ca="1">OFFSET('B1'!J$1,'B2'!$A155-1,0)</f>
        <v>#N/A</v>
      </c>
      <c r="D155" s="1" t="e">
        <f ca="1">OFFSET('B1'!K$1,'B2'!$A155-1,0)</f>
        <v>#N/A</v>
      </c>
      <c r="E155" t="e">
        <f t="shared" ca="1" si="17"/>
        <v>#N/A</v>
      </c>
      <c r="F155" t="e">
        <f t="shared" ca="1" si="16"/>
        <v>#N/A</v>
      </c>
      <c r="G155" t="e">
        <f t="shared" ca="1" si="18"/>
        <v>#N/A</v>
      </c>
      <c r="H155" t="e">
        <f t="shared" ca="1" si="19"/>
        <v>#N/A</v>
      </c>
      <c r="I155" t="e">
        <f t="shared" ca="1" si="22"/>
        <v>#N/A</v>
      </c>
      <c r="J155" t="e">
        <f t="shared" ca="1" si="23"/>
        <v>#N/A</v>
      </c>
      <c r="K155" t="e">
        <f t="shared" ca="1" si="20"/>
        <v>#N/A</v>
      </c>
      <c r="L155" t="e">
        <f t="shared" ca="1" si="21"/>
        <v>#N/A</v>
      </c>
    </row>
    <row r="156" spans="1:12" x14ac:dyDescent="0.3">
      <c r="A156" t="e">
        <f ca="1">MATCH(ROW(),'B1'!H:H,0)</f>
        <v>#N/A</v>
      </c>
      <c r="B156" t="e">
        <f ca="1">OFFSET('B1'!I$1,'B2'!$A156-1,0)</f>
        <v>#N/A</v>
      </c>
      <c r="C156" s="1" t="e">
        <f ca="1">OFFSET('B1'!J$1,'B2'!$A156-1,0)</f>
        <v>#N/A</v>
      </c>
      <c r="D156" s="1" t="e">
        <f ca="1">OFFSET('B1'!K$1,'B2'!$A156-1,0)</f>
        <v>#N/A</v>
      </c>
      <c r="E156" t="e">
        <f t="shared" ca="1" si="17"/>
        <v>#N/A</v>
      </c>
      <c r="F156" t="e">
        <f t="shared" ca="1" si="16"/>
        <v>#N/A</v>
      </c>
      <c r="G156" t="e">
        <f t="shared" ca="1" si="18"/>
        <v>#N/A</v>
      </c>
      <c r="H156" t="e">
        <f t="shared" ca="1" si="19"/>
        <v>#N/A</v>
      </c>
      <c r="I156" t="e">
        <f t="shared" ca="1" si="22"/>
        <v>#N/A</v>
      </c>
      <c r="J156" t="e">
        <f t="shared" ca="1" si="23"/>
        <v>#N/A</v>
      </c>
      <c r="K156" t="e">
        <f t="shared" ca="1" si="20"/>
        <v>#N/A</v>
      </c>
      <c r="L156" t="e">
        <f t="shared" ca="1" si="21"/>
        <v>#N/A</v>
      </c>
    </row>
    <row r="157" spans="1:12" x14ac:dyDescent="0.3">
      <c r="A157" t="e">
        <f ca="1">MATCH(ROW(),'B1'!H:H,0)</f>
        <v>#N/A</v>
      </c>
      <c r="B157" t="e">
        <f ca="1">OFFSET('B1'!I$1,'B2'!$A157-1,0)</f>
        <v>#N/A</v>
      </c>
      <c r="C157" s="1" t="e">
        <f ca="1">OFFSET('B1'!J$1,'B2'!$A157-1,0)</f>
        <v>#N/A</v>
      </c>
      <c r="D157" s="1" t="e">
        <f ca="1">OFFSET('B1'!K$1,'B2'!$A157-1,0)</f>
        <v>#N/A</v>
      </c>
      <c r="E157" t="e">
        <f t="shared" ca="1" si="17"/>
        <v>#N/A</v>
      </c>
      <c r="F157" t="e">
        <f t="shared" ca="1" si="16"/>
        <v>#N/A</v>
      </c>
      <c r="G157" t="e">
        <f t="shared" ca="1" si="18"/>
        <v>#N/A</v>
      </c>
      <c r="H157" t="e">
        <f t="shared" ca="1" si="19"/>
        <v>#N/A</v>
      </c>
      <c r="I157" t="e">
        <f t="shared" ca="1" si="22"/>
        <v>#N/A</v>
      </c>
      <c r="J157" t="e">
        <f t="shared" ca="1" si="23"/>
        <v>#N/A</v>
      </c>
      <c r="K157" t="e">
        <f t="shared" ca="1" si="20"/>
        <v>#N/A</v>
      </c>
      <c r="L157" t="e">
        <f t="shared" ca="1" si="21"/>
        <v>#N/A</v>
      </c>
    </row>
    <row r="158" spans="1:12" x14ac:dyDescent="0.3">
      <c r="A158" t="e">
        <f ca="1">MATCH(ROW(),'B1'!H:H,0)</f>
        <v>#N/A</v>
      </c>
      <c r="B158" t="e">
        <f ca="1">OFFSET('B1'!I$1,'B2'!$A158-1,0)</f>
        <v>#N/A</v>
      </c>
      <c r="C158" s="1" t="e">
        <f ca="1">OFFSET('B1'!J$1,'B2'!$A158-1,0)</f>
        <v>#N/A</v>
      </c>
      <c r="D158" s="1" t="e">
        <f ca="1">OFFSET('B1'!K$1,'B2'!$A158-1,0)</f>
        <v>#N/A</v>
      </c>
      <c r="E158" t="e">
        <f t="shared" ca="1" si="17"/>
        <v>#N/A</v>
      </c>
      <c r="F158" t="e">
        <f t="shared" ca="1" si="16"/>
        <v>#N/A</v>
      </c>
      <c r="G158" t="e">
        <f t="shared" ca="1" si="18"/>
        <v>#N/A</v>
      </c>
      <c r="H158" t="e">
        <f t="shared" ca="1" si="19"/>
        <v>#N/A</v>
      </c>
      <c r="I158" t="e">
        <f t="shared" ca="1" si="22"/>
        <v>#N/A</v>
      </c>
      <c r="J158" t="e">
        <f t="shared" ca="1" si="23"/>
        <v>#N/A</v>
      </c>
      <c r="K158" t="e">
        <f t="shared" ca="1" si="20"/>
        <v>#N/A</v>
      </c>
      <c r="L158" t="e">
        <f t="shared" ca="1" si="21"/>
        <v>#N/A</v>
      </c>
    </row>
    <row r="159" spans="1:12" x14ac:dyDescent="0.3">
      <c r="A159" t="e">
        <f ca="1">MATCH(ROW(),'B1'!H:H,0)</f>
        <v>#N/A</v>
      </c>
      <c r="B159" t="e">
        <f ca="1">OFFSET('B1'!I$1,'B2'!$A159-1,0)</f>
        <v>#N/A</v>
      </c>
      <c r="C159" s="1" t="e">
        <f ca="1">OFFSET('B1'!J$1,'B2'!$A159-1,0)</f>
        <v>#N/A</v>
      </c>
      <c r="D159" s="1" t="e">
        <f ca="1">OFFSET('B1'!K$1,'B2'!$A159-1,0)</f>
        <v>#N/A</v>
      </c>
      <c r="E159" t="e">
        <f t="shared" ca="1" si="17"/>
        <v>#N/A</v>
      </c>
      <c r="F159" t="e">
        <f t="shared" ca="1" si="16"/>
        <v>#N/A</v>
      </c>
      <c r="G159" t="e">
        <f t="shared" ca="1" si="18"/>
        <v>#N/A</v>
      </c>
      <c r="H159" t="e">
        <f t="shared" ca="1" si="19"/>
        <v>#N/A</v>
      </c>
      <c r="I159" t="e">
        <f t="shared" ca="1" si="22"/>
        <v>#N/A</v>
      </c>
      <c r="J159" t="e">
        <f t="shared" ca="1" si="23"/>
        <v>#N/A</v>
      </c>
      <c r="K159" t="e">
        <f t="shared" ca="1" si="20"/>
        <v>#N/A</v>
      </c>
      <c r="L159" t="e">
        <f t="shared" ca="1" si="21"/>
        <v>#N/A</v>
      </c>
    </row>
    <row r="160" spans="1:12" x14ac:dyDescent="0.3">
      <c r="A160" t="e">
        <f ca="1">MATCH(ROW(),'B1'!H:H,0)</f>
        <v>#N/A</v>
      </c>
      <c r="B160" t="e">
        <f ca="1">OFFSET('B1'!I$1,'B2'!$A160-1,0)</f>
        <v>#N/A</v>
      </c>
      <c r="C160" s="1" t="e">
        <f ca="1">OFFSET('B1'!J$1,'B2'!$A160-1,0)</f>
        <v>#N/A</v>
      </c>
      <c r="D160" s="1" t="e">
        <f ca="1">OFFSET('B1'!K$1,'B2'!$A160-1,0)</f>
        <v>#N/A</v>
      </c>
      <c r="E160" t="e">
        <f t="shared" ca="1" si="17"/>
        <v>#N/A</v>
      </c>
      <c r="F160" t="e">
        <f t="shared" ca="1" si="16"/>
        <v>#N/A</v>
      </c>
      <c r="G160" t="e">
        <f t="shared" ca="1" si="18"/>
        <v>#N/A</v>
      </c>
      <c r="H160" t="e">
        <f t="shared" ca="1" si="19"/>
        <v>#N/A</v>
      </c>
      <c r="I160" t="e">
        <f t="shared" ca="1" si="22"/>
        <v>#N/A</v>
      </c>
      <c r="J160" t="e">
        <f t="shared" ca="1" si="23"/>
        <v>#N/A</v>
      </c>
      <c r="K160" t="e">
        <f t="shared" ca="1" si="20"/>
        <v>#N/A</v>
      </c>
      <c r="L160" t="e">
        <f t="shared" ca="1" si="21"/>
        <v>#N/A</v>
      </c>
    </row>
    <row r="161" spans="1:12" x14ac:dyDescent="0.3">
      <c r="A161" t="e">
        <f ca="1">MATCH(ROW(),'B1'!H:H,0)</f>
        <v>#N/A</v>
      </c>
      <c r="B161" t="e">
        <f ca="1">OFFSET('B1'!I$1,'B2'!$A161-1,0)</f>
        <v>#N/A</v>
      </c>
      <c r="C161" s="1" t="e">
        <f ca="1">OFFSET('B1'!J$1,'B2'!$A161-1,0)</f>
        <v>#N/A</v>
      </c>
      <c r="D161" s="1" t="e">
        <f ca="1">OFFSET('B1'!K$1,'B2'!$A161-1,0)</f>
        <v>#N/A</v>
      </c>
      <c r="E161" t="e">
        <f t="shared" ca="1" si="17"/>
        <v>#N/A</v>
      </c>
      <c r="F161" t="e">
        <f t="shared" ca="1" si="16"/>
        <v>#N/A</v>
      </c>
      <c r="G161" t="e">
        <f t="shared" ca="1" si="18"/>
        <v>#N/A</v>
      </c>
      <c r="H161" t="e">
        <f t="shared" ca="1" si="19"/>
        <v>#N/A</v>
      </c>
      <c r="I161" t="e">
        <f t="shared" ca="1" si="22"/>
        <v>#N/A</v>
      </c>
      <c r="J161" t="e">
        <f t="shared" ca="1" si="23"/>
        <v>#N/A</v>
      </c>
      <c r="K161" t="e">
        <f t="shared" ca="1" si="20"/>
        <v>#N/A</v>
      </c>
      <c r="L161" t="e">
        <f t="shared" ca="1" si="21"/>
        <v>#N/A</v>
      </c>
    </row>
    <row r="162" spans="1:12" x14ac:dyDescent="0.3">
      <c r="A162" t="e">
        <f ca="1">MATCH(ROW(),'B1'!H:H,0)</f>
        <v>#N/A</v>
      </c>
      <c r="B162" t="e">
        <f ca="1">OFFSET('B1'!I$1,'B2'!$A162-1,0)</f>
        <v>#N/A</v>
      </c>
      <c r="C162" s="1" t="e">
        <f ca="1">OFFSET('B1'!J$1,'B2'!$A162-1,0)</f>
        <v>#N/A</v>
      </c>
      <c r="D162" s="1" t="e">
        <f ca="1">OFFSET('B1'!K$1,'B2'!$A162-1,0)</f>
        <v>#N/A</v>
      </c>
      <c r="E162" t="e">
        <f t="shared" ca="1" si="17"/>
        <v>#N/A</v>
      </c>
      <c r="F162" t="e">
        <f t="shared" ca="1" si="16"/>
        <v>#N/A</v>
      </c>
      <c r="G162" t="e">
        <f t="shared" ca="1" si="18"/>
        <v>#N/A</v>
      </c>
      <c r="H162" t="e">
        <f t="shared" ca="1" si="19"/>
        <v>#N/A</v>
      </c>
      <c r="I162" t="e">
        <f t="shared" ca="1" si="22"/>
        <v>#N/A</v>
      </c>
      <c r="J162" t="e">
        <f t="shared" ca="1" si="23"/>
        <v>#N/A</v>
      </c>
      <c r="K162" t="e">
        <f t="shared" ca="1" si="20"/>
        <v>#N/A</v>
      </c>
      <c r="L162" t="e">
        <f t="shared" ca="1" si="21"/>
        <v>#N/A</v>
      </c>
    </row>
    <row r="163" spans="1:12" x14ac:dyDescent="0.3">
      <c r="A163" t="e">
        <f ca="1">MATCH(ROW(),'B1'!H:H,0)</f>
        <v>#N/A</v>
      </c>
      <c r="B163" t="e">
        <f ca="1">OFFSET('B1'!I$1,'B2'!$A163-1,0)</f>
        <v>#N/A</v>
      </c>
      <c r="C163" s="1" t="e">
        <f ca="1">OFFSET('B1'!J$1,'B2'!$A163-1,0)</f>
        <v>#N/A</v>
      </c>
      <c r="D163" s="1" t="e">
        <f ca="1">OFFSET('B1'!K$1,'B2'!$A163-1,0)</f>
        <v>#N/A</v>
      </c>
      <c r="E163" t="e">
        <f t="shared" ca="1" si="17"/>
        <v>#N/A</v>
      </c>
      <c r="F163" t="e">
        <f t="shared" ca="1" si="16"/>
        <v>#N/A</v>
      </c>
      <c r="G163" t="e">
        <f t="shared" ca="1" si="18"/>
        <v>#N/A</v>
      </c>
      <c r="H163" t="e">
        <f t="shared" ca="1" si="19"/>
        <v>#N/A</v>
      </c>
      <c r="I163" t="e">
        <f t="shared" ca="1" si="22"/>
        <v>#N/A</v>
      </c>
      <c r="J163" t="e">
        <f t="shared" ca="1" si="23"/>
        <v>#N/A</v>
      </c>
      <c r="K163" t="e">
        <f t="shared" ca="1" si="20"/>
        <v>#N/A</v>
      </c>
      <c r="L163" t="e">
        <f t="shared" ca="1" si="21"/>
        <v>#N/A</v>
      </c>
    </row>
    <row r="164" spans="1:12" x14ac:dyDescent="0.3">
      <c r="A164" t="e">
        <f ca="1">MATCH(ROW(),'B1'!H:H,0)</f>
        <v>#N/A</v>
      </c>
      <c r="B164" t="e">
        <f ca="1">OFFSET('B1'!I$1,'B2'!$A164-1,0)</f>
        <v>#N/A</v>
      </c>
      <c r="C164" s="1" t="e">
        <f ca="1">OFFSET('B1'!J$1,'B2'!$A164-1,0)</f>
        <v>#N/A</v>
      </c>
      <c r="D164" s="1" t="e">
        <f ca="1">OFFSET('B1'!K$1,'B2'!$A164-1,0)</f>
        <v>#N/A</v>
      </c>
      <c r="E164" t="e">
        <f t="shared" ca="1" si="17"/>
        <v>#N/A</v>
      </c>
      <c r="F164" t="e">
        <f t="shared" ca="1" si="16"/>
        <v>#N/A</v>
      </c>
      <c r="G164" t="e">
        <f t="shared" ca="1" si="18"/>
        <v>#N/A</v>
      </c>
      <c r="H164" t="e">
        <f t="shared" ca="1" si="19"/>
        <v>#N/A</v>
      </c>
      <c r="I164" t="e">
        <f t="shared" ca="1" si="22"/>
        <v>#N/A</v>
      </c>
      <c r="J164" t="e">
        <f t="shared" ca="1" si="23"/>
        <v>#N/A</v>
      </c>
      <c r="K164" t="e">
        <f t="shared" ca="1" si="20"/>
        <v>#N/A</v>
      </c>
      <c r="L164" t="e">
        <f t="shared" ca="1" si="21"/>
        <v>#N/A</v>
      </c>
    </row>
    <row r="165" spans="1:12" x14ac:dyDescent="0.3">
      <c r="A165" t="e">
        <f ca="1">MATCH(ROW(),'B1'!H:H,0)</f>
        <v>#N/A</v>
      </c>
      <c r="B165" t="e">
        <f ca="1">OFFSET('B1'!I$1,'B2'!$A165-1,0)</f>
        <v>#N/A</v>
      </c>
      <c r="C165" s="1" t="e">
        <f ca="1">OFFSET('B1'!J$1,'B2'!$A165-1,0)</f>
        <v>#N/A</v>
      </c>
      <c r="D165" s="1" t="e">
        <f ca="1">OFFSET('B1'!K$1,'B2'!$A165-1,0)</f>
        <v>#N/A</v>
      </c>
      <c r="E165" t="e">
        <f t="shared" ca="1" si="17"/>
        <v>#N/A</v>
      </c>
      <c r="F165" t="e">
        <f t="shared" ca="1" si="16"/>
        <v>#N/A</v>
      </c>
      <c r="G165" t="e">
        <f t="shared" ca="1" si="18"/>
        <v>#N/A</v>
      </c>
      <c r="H165" t="e">
        <f t="shared" ca="1" si="19"/>
        <v>#N/A</v>
      </c>
      <c r="I165" t="e">
        <f t="shared" ca="1" si="22"/>
        <v>#N/A</v>
      </c>
      <c r="J165" t="e">
        <f t="shared" ca="1" si="23"/>
        <v>#N/A</v>
      </c>
      <c r="K165" t="e">
        <f t="shared" ca="1" si="20"/>
        <v>#N/A</v>
      </c>
      <c r="L165" t="e">
        <f t="shared" ca="1" si="21"/>
        <v>#N/A</v>
      </c>
    </row>
    <row r="166" spans="1:12" x14ac:dyDescent="0.3">
      <c r="A166" t="e">
        <f ca="1">MATCH(ROW(),'B1'!H:H,0)</f>
        <v>#N/A</v>
      </c>
      <c r="B166" t="e">
        <f ca="1">OFFSET('B1'!I$1,'B2'!$A166-1,0)</f>
        <v>#N/A</v>
      </c>
      <c r="C166" s="1" t="e">
        <f ca="1">OFFSET('B1'!J$1,'B2'!$A166-1,0)</f>
        <v>#N/A</v>
      </c>
      <c r="D166" s="1" t="e">
        <f ca="1">OFFSET('B1'!K$1,'B2'!$A166-1,0)</f>
        <v>#N/A</v>
      </c>
      <c r="E166" t="e">
        <f t="shared" ca="1" si="17"/>
        <v>#N/A</v>
      </c>
      <c r="F166" t="e">
        <f t="shared" ca="1" si="16"/>
        <v>#N/A</v>
      </c>
      <c r="G166" t="e">
        <f t="shared" ca="1" si="18"/>
        <v>#N/A</v>
      </c>
      <c r="H166" t="e">
        <f t="shared" ca="1" si="19"/>
        <v>#N/A</v>
      </c>
      <c r="I166" t="e">
        <f t="shared" ca="1" si="22"/>
        <v>#N/A</v>
      </c>
      <c r="J166" t="e">
        <f t="shared" ca="1" si="23"/>
        <v>#N/A</v>
      </c>
      <c r="K166" t="e">
        <f t="shared" ca="1" si="20"/>
        <v>#N/A</v>
      </c>
      <c r="L166" t="e">
        <f t="shared" ca="1" si="21"/>
        <v>#N/A</v>
      </c>
    </row>
    <row r="167" spans="1:12" x14ac:dyDescent="0.3">
      <c r="A167" t="e">
        <f ca="1">MATCH(ROW(),'B1'!H:H,0)</f>
        <v>#N/A</v>
      </c>
      <c r="B167" t="e">
        <f ca="1">OFFSET('B1'!I$1,'B2'!$A167-1,0)</f>
        <v>#N/A</v>
      </c>
      <c r="C167" s="1" t="e">
        <f ca="1">OFFSET('B1'!J$1,'B2'!$A167-1,0)</f>
        <v>#N/A</v>
      </c>
      <c r="D167" s="1" t="e">
        <f ca="1">OFFSET('B1'!K$1,'B2'!$A167-1,0)</f>
        <v>#N/A</v>
      </c>
      <c r="E167" t="e">
        <f t="shared" ca="1" si="17"/>
        <v>#N/A</v>
      </c>
      <c r="F167" t="e">
        <f t="shared" ca="1" si="16"/>
        <v>#N/A</v>
      </c>
      <c r="G167" t="e">
        <f t="shared" ca="1" si="18"/>
        <v>#N/A</v>
      </c>
      <c r="H167" t="e">
        <f t="shared" ca="1" si="19"/>
        <v>#N/A</v>
      </c>
      <c r="I167" t="e">
        <f t="shared" ca="1" si="22"/>
        <v>#N/A</v>
      </c>
      <c r="J167" t="e">
        <f t="shared" ca="1" si="23"/>
        <v>#N/A</v>
      </c>
      <c r="K167" t="e">
        <f t="shared" ca="1" si="20"/>
        <v>#N/A</v>
      </c>
      <c r="L167" t="e">
        <f t="shared" ca="1" si="21"/>
        <v>#N/A</v>
      </c>
    </row>
    <row r="168" spans="1:12" x14ac:dyDescent="0.3">
      <c r="A168" t="e">
        <f ca="1">MATCH(ROW(),'B1'!H:H,0)</f>
        <v>#N/A</v>
      </c>
      <c r="B168" t="e">
        <f ca="1">OFFSET('B1'!I$1,'B2'!$A168-1,0)</f>
        <v>#N/A</v>
      </c>
      <c r="C168" s="1" t="e">
        <f ca="1">OFFSET('B1'!J$1,'B2'!$A168-1,0)</f>
        <v>#N/A</v>
      </c>
      <c r="D168" s="1" t="e">
        <f ca="1">OFFSET('B1'!K$1,'B2'!$A168-1,0)</f>
        <v>#N/A</v>
      </c>
      <c r="E168" t="e">
        <f t="shared" ca="1" si="17"/>
        <v>#N/A</v>
      </c>
      <c r="F168" t="e">
        <f t="shared" ca="1" si="16"/>
        <v>#N/A</v>
      </c>
      <c r="G168" t="e">
        <f t="shared" ca="1" si="18"/>
        <v>#N/A</v>
      </c>
      <c r="H168" t="e">
        <f t="shared" ca="1" si="19"/>
        <v>#N/A</v>
      </c>
      <c r="I168" t="e">
        <f t="shared" ca="1" si="22"/>
        <v>#N/A</v>
      </c>
      <c r="J168" t="e">
        <f t="shared" ca="1" si="23"/>
        <v>#N/A</v>
      </c>
      <c r="K168" t="e">
        <f t="shared" ca="1" si="20"/>
        <v>#N/A</v>
      </c>
      <c r="L168" t="e">
        <f t="shared" ca="1" si="21"/>
        <v>#N/A</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9BBE6-0624-4151-A714-AB7168387203}">
  <sheetPr codeName="Sheet3"/>
  <dimension ref="A1:AG204"/>
  <sheetViews>
    <sheetView workbookViewId="0">
      <selection activeCell="T1" sqref="T1"/>
    </sheetView>
  </sheetViews>
  <sheetFormatPr defaultRowHeight="14" x14ac:dyDescent="0.3"/>
  <cols>
    <col min="1" max="1" width="35.5" customWidth="1"/>
    <col min="2" max="9" width="9" style="2"/>
    <col min="10" max="19" width="3.75" style="9" customWidth="1"/>
    <col min="20" max="21" width="8.33203125" style="3" customWidth="1"/>
    <col min="22" max="22" width="8.33203125" style="16" customWidth="1"/>
    <col min="23" max="23" width="8.33203125" style="4" customWidth="1"/>
    <col min="24" max="25" width="8.33203125" style="5" customWidth="1"/>
    <col min="26" max="26" width="8.33203125" style="8" customWidth="1"/>
    <col min="27" max="27" width="9" style="12"/>
    <col min="28" max="28" width="9" style="13"/>
    <col min="29" max="29" width="7" style="14" bestFit="1" customWidth="1"/>
    <col min="30" max="30" width="7" style="10" customWidth="1"/>
    <col min="31" max="31" width="9" style="3"/>
  </cols>
  <sheetData>
    <row r="1" spans="1:33" x14ac:dyDescent="0.3">
      <c r="A1" t="s">
        <v>722</v>
      </c>
      <c r="B1" s="2" t="str">
        <f>LEFT($A1,10)</f>
        <v>在上集视频的《首行叠</v>
      </c>
      <c r="C1" s="2" t="str">
        <f>LEFT($A1,4)</f>
        <v>在上集视</v>
      </c>
      <c r="D1" s="2" t="str">
        <f>LEFT($A1,2)</f>
        <v>在上</v>
      </c>
      <c r="E1" s="2" t="str">
        <f>RIGHT($A1,12)</f>
        <v>这个递推公式是怎么来的。</v>
      </c>
      <c r="F1" s="2" t="str">
        <f>RIGHT($A1,5)</f>
        <v>怎么来的。</v>
      </c>
      <c r="G1" s="2" t="str">
        <f>RIGHT($A1,5)</f>
        <v>怎么来的。</v>
      </c>
      <c r="H1" s="2" t="str">
        <f>RIGHT($A1,5)</f>
        <v>怎么来的。</v>
      </c>
      <c r="I1" s="2" t="str">
        <f>RIGHT($A1,3)</f>
        <v>来的。</v>
      </c>
      <c r="J1" s="9" t="e">
        <f ca="1">MATCH(B1,'B2'!E:E,0)</f>
        <v>#N/A</v>
      </c>
      <c r="K1" s="9">
        <f ca="1">IF(ISERROR(J1),MATCH(C1,'B2'!F:F,0),J1)</f>
        <v>1</v>
      </c>
      <c r="L1" s="9">
        <f ca="1">IF(ISERROR(K1),MATCH(D1,'B2'!G:G,0),K1)</f>
        <v>1</v>
      </c>
      <c r="M1" s="9">
        <f ca="1">IF(ISERROR(L1),MATCH(E1,'B2'!H:H,0),L1)</f>
        <v>1</v>
      </c>
      <c r="O1" s="9">
        <f ca="1">MATCH(E1,'B2'!H:H,0)</f>
        <v>2</v>
      </c>
      <c r="P1" s="9">
        <f ca="1">IF(ISERROR(O1),MATCH(H1,'B2'!K:K,0),O1)</f>
        <v>2</v>
      </c>
      <c r="Q1" s="9">
        <f ca="1">IF(ISERROR(P1),MATCH(I1,'B2'!L:L,0),P1)</f>
        <v>2</v>
      </c>
      <c r="R1" s="9">
        <f ca="1">IF(ISERROR(Q1),MATCH(J1,'B2'!M:M,0),Q1)</f>
        <v>2</v>
      </c>
      <c r="T1" s="3">
        <f ca="1">OFFSET('B2'!$C$1,'B3'!M1-1,0)</f>
        <v>1.3888888888888887E-6</v>
      </c>
      <c r="U1" s="3">
        <f ca="1">OFFSET('B2'!$D$1,'B3'!R1-1,0)</f>
        <v>1.4444444444444444E-4</v>
      </c>
      <c r="V1" s="16">
        <f ca="1">(U1+T2)/2</f>
        <v>1.4513888888888888E-4</v>
      </c>
      <c r="W1" s="4">
        <f>LEN(A1)</f>
        <v>53</v>
      </c>
      <c r="X1" s="5">
        <f ca="1">OFFSET('B2'!$C$1,'B3'!P1-1,0)</f>
        <v>7.9629629629629622E-5</v>
      </c>
      <c r="Y1" s="5">
        <f ca="1">U1-T1</f>
        <v>1.4305555555555556E-4</v>
      </c>
      <c r="Z1" s="6">
        <f ca="1">Y1+(X1+X2)/2+X1/2</f>
        <v>2.2337962962962963E-4</v>
      </c>
      <c r="AA1" s="12">
        <v>2.199074074074074E-4</v>
      </c>
      <c r="AB1" s="13">
        <f>AA2-AA1</f>
        <v>1.4699074074074075E-4</v>
      </c>
      <c r="AC1" s="14" t="str">
        <f ca="1">IF(AB1-Z1&lt;0,"-"&amp;TEXT(ABS(AB1-Z1),"s.00"),TEXT(AB1-Z1,"s.00"))</f>
        <v>-6.60</v>
      </c>
      <c r="AD1" s="10">
        <v>5.86</v>
      </c>
      <c r="AE1" s="3" t="b">
        <f t="shared" ref="AE1:AE32" si="0">AF1=A1</f>
        <v>0</v>
      </c>
      <c r="AG1" s="15"/>
    </row>
    <row r="2" spans="1:33" x14ac:dyDescent="0.3">
      <c r="A2" t="s">
        <v>723</v>
      </c>
      <c r="B2" s="2" t="str">
        <f t="shared" ref="B2:B65" si="1">LEFT($A2,10)</f>
        <v>我们用B代表按钮，L</v>
      </c>
      <c r="C2" s="2" t="str">
        <f t="shared" ref="C2:C65" si="2">LEFT($A2,4)</f>
        <v>我们用B</v>
      </c>
      <c r="D2" s="2" t="str">
        <f t="shared" ref="D2:D65" si="3">LEFT($A2,2)</f>
        <v>我们</v>
      </c>
      <c r="E2" s="2" t="str">
        <f t="shared" ref="E2:E65" si="4">RIGHT($A2,12)</f>
        <v>叠加，¬（非）代表翻转。</v>
      </c>
      <c r="F2" s="2" t="str">
        <f t="shared" ref="F2:H65" si="5">RIGHT($A2,5)</f>
        <v>代表翻转。</v>
      </c>
      <c r="G2" s="2" t="str">
        <f t="shared" si="5"/>
        <v>代表翻转。</v>
      </c>
      <c r="H2" s="2" t="str">
        <f t="shared" si="5"/>
        <v>代表翻转。</v>
      </c>
      <c r="I2" s="2" t="str">
        <f t="shared" ref="I2:I65" si="6">RIGHT($A2,3)</f>
        <v>翻转。</v>
      </c>
      <c r="J2" s="9">
        <f ca="1">MATCH(B2,'B2'!E:E,0)</f>
        <v>3</v>
      </c>
      <c r="K2" s="9">
        <f ca="1">IF(ISERROR(J2),MATCH(C2,'B2'!F:F,0),J2)</f>
        <v>3</v>
      </c>
      <c r="L2" s="9">
        <f ca="1">IF(ISERROR(K2),MATCH(D2,'B2'!G:G,0),K2)</f>
        <v>3</v>
      </c>
      <c r="M2" s="9">
        <f ca="1">IF(ISERROR(L2),MATCH(E2,'B2'!H:H,0),L2)</f>
        <v>3</v>
      </c>
      <c r="N2" s="9">
        <f t="shared" ref="N2:N65" ca="1" si="7">AND((M2&gt;M1),(M2&lt;M3))*1</f>
        <v>1</v>
      </c>
      <c r="O2" s="9" t="e">
        <f ca="1">MATCH(E2,'B2'!H:H,0)</f>
        <v>#N/A</v>
      </c>
      <c r="P2" s="9">
        <f ca="1">IF(ISERROR(O2),MATCH(H2,'B2'!K:K,0),O2)</f>
        <v>3</v>
      </c>
      <c r="Q2" s="9">
        <f ca="1">IF(ISERROR(P2),MATCH(I2,'B2'!L:L,0),P2)</f>
        <v>3</v>
      </c>
      <c r="R2" s="9">
        <f ca="1">IF(ISERROR(Q2),MATCH(J2,'B2'!M:M,0),Q2)</f>
        <v>3</v>
      </c>
      <c r="S2" s="9">
        <f t="shared" ref="S2:S65" ca="1" si="8">AND((R2&gt;R1),(R2&lt;R3))*1</f>
        <v>1</v>
      </c>
      <c r="T2" s="3">
        <f ca="1">OFFSET('B2'!$C$1,'B3'!M2-1,0)</f>
        <v>1.4583333333333332E-4</v>
      </c>
      <c r="U2" s="3">
        <f ca="1">OFFSET('B2'!$D$1,'B3'!R2-1,0)</f>
        <v>2.3564814814814813E-4</v>
      </c>
      <c r="V2" s="16">
        <f t="shared" ref="V2:V65" ca="1" si="9">(U2+T3)/2</f>
        <v>2.3657407407407405E-4</v>
      </c>
      <c r="W2" s="4">
        <f t="shared" ref="W2:W65" si="10">LEN(A2)</f>
        <v>32</v>
      </c>
      <c r="X2" s="5">
        <f t="shared" ref="X2:X65" ca="1" si="11">T2-U1</f>
        <v>1.3888888888888805E-6</v>
      </c>
      <c r="Y2" s="5">
        <f t="shared" ref="Y2:Y65" ca="1" si="12">U2-T2</f>
        <v>8.9814814814814813E-5</v>
      </c>
      <c r="Z2" s="6">
        <f t="shared" ref="Z2:Z65" ca="1" si="13">Y2+(X2+X3)/2</f>
        <v>9.1435185185185188E-5</v>
      </c>
      <c r="AA2" s="12">
        <v>3.6689814814814815E-4</v>
      </c>
      <c r="AB2" s="13">
        <f t="shared" ref="AB2:AB65" si="14">AA3-AA2</f>
        <v>8.3333333333333317E-5</v>
      </c>
      <c r="AC2" s="14" t="str">
        <f t="shared" ref="AC2:AC65" ca="1" si="15">IF(AB2-Z2&lt;0,"-"&amp;TEXT(ABS(AB2-Z2),"s.00"),TEXT(AB2-Z2,"s.00"))</f>
        <v>-0.70</v>
      </c>
      <c r="AD2" s="10">
        <v>1.5</v>
      </c>
      <c r="AE2" s="3" t="b">
        <f t="shared" si="0"/>
        <v>0</v>
      </c>
      <c r="AG2" s="15"/>
    </row>
    <row r="3" spans="1:33" x14ac:dyDescent="0.3">
      <c r="A3" t="s">
        <v>724</v>
      </c>
      <c r="B3" s="2" t="str">
        <f t="shared" si="1"/>
        <v>n代表从上到下第n行</v>
      </c>
      <c r="C3" s="2" t="str">
        <f t="shared" si="2"/>
        <v>n代表从</v>
      </c>
      <c r="D3" s="2" t="str">
        <f t="shared" si="3"/>
        <v>n代</v>
      </c>
      <c r="E3" s="2" t="str">
        <f t="shared" si="4"/>
        <v>的，n也代表第n次推导。</v>
      </c>
      <c r="F3" s="2" t="str">
        <f t="shared" si="5"/>
        <v>n次推导。</v>
      </c>
      <c r="G3" s="2" t="str">
        <f t="shared" si="5"/>
        <v>n次推导。</v>
      </c>
      <c r="H3" s="2" t="str">
        <f t="shared" si="5"/>
        <v>n次推导。</v>
      </c>
      <c r="I3" s="2" t="str">
        <f t="shared" si="6"/>
        <v>推导。</v>
      </c>
      <c r="J3" s="9">
        <f ca="1">MATCH(B3,'B2'!E:E,0)</f>
        <v>4</v>
      </c>
      <c r="K3" s="9">
        <f ca="1">IF(ISERROR(J3),MATCH(C3,'B2'!F:F,0),J3)</f>
        <v>4</v>
      </c>
      <c r="L3" s="9">
        <f ca="1">IF(ISERROR(K3),MATCH(D3,'B2'!G:G,0),K3)</f>
        <v>4</v>
      </c>
      <c r="M3" s="9">
        <f ca="1">IF(ISERROR(L3),MATCH(E3,'B2'!H:H,0),L3)</f>
        <v>4</v>
      </c>
      <c r="N3" s="9">
        <f t="shared" ca="1" si="7"/>
        <v>1</v>
      </c>
      <c r="O3" s="9">
        <f ca="1">MATCH(E3,'B2'!H:H,0)</f>
        <v>4</v>
      </c>
      <c r="P3" s="9">
        <f ca="1">IF(ISERROR(O3),MATCH(H3,'B2'!K:K,0),O3)</f>
        <v>4</v>
      </c>
      <c r="Q3" s="9">
        <f ca="1">IF(ISERROR(P3),MATCH(I3,'B2'!L:L,0),P3)</f>
        <v>4</v>
      </c>
      <c r="R3" s="9">
        <f ca="1">IF(ISERROR(Q3),MATCH(J3,'B2'!M:M,0),Q3)</f>
        <v>4</v>
      </c>
      <c r="S3" s="9">
        <f t="shared" ca="1" si="8"/>
        <v>1</v>
      </c>
      <c r="T3" s="3">
        <f ca="1">OFFSET('B2'!$C$1,'B3'!M3-1,0)</f>
        <v>2.375E-4</v>
      </c>
      <c r="U3" s="3">
        <f ca="1">OFFSET('B2'!$D$1,'B3'!R3-1,0)</f>
        <v>2.8287037037037039E-4</v>
      </c>
      <c r="V3" s="16">
        <f t="shared" ca="1" si="9"/>
        <v>2.8310185185185187E-4</v>
      </c>
      <c r="W3" s="4">
        <f t="shared" si="10"/>
        <v>39</v>
      </c>
      <c r="X3" s="5">
        <f t="shared" ca="1" si="11"/>
        <v>1.8518518518518678E-6</v>
      </c>
      <c r="Y3" s="5">
        <f t="shared" ca="1" si="12"/>
        <v>4.5370370370370394E-5</v>
      </c>
      <c r="Z3" s="6">
        <f t="shared" ca="1" si="13"/>
        <v>4.6527777777777808E-5</v>
      </c>
      <c r="AA3" s="12">
        <v>4.5023148148148147E-4</v>
      </c>
      <c r="AB3" s="13">
        <f t="shared" si="14"/>
        <v>1.0300925925925929E-4</v>
      </c>
      <c r="AC3" s="14" t="str">
        <f t="shared" ca="1" si="15"/>
        <v>4.88</v>
      </c>
      <c r="AD3" s="10">
        <v>5.36</v>
      </c>
      <c r="AE3" s="3" t="b">
        <f t="shared" si="0"/>
        <v>0</v>
      </c>
      <c r="AG3" s="15"/>
    </row>
    <row r="4" spans="1:33" x14ac:dyDescent="0.3">
      <c r="A4" t="s">
        <v>725</v>
      </c>
      <c r="B4" s="2" t="str">
        <f t="shared" si="1"/>
        <v>x代表从左到右第x列</v>
      </c>
      <c r="C4" s="2" t="str">
        <f t="shared" si="2"/>
        <v>x代表从</v>
      </c>
      <c r="D4" s="2" t="str">
        <f t="shared" si="3"/>
        <v>x代</v>
      </c>
      <c r="E4" s="2" t="str">
        <f t="shared" si="4"/>
        <v>这里的x不局限于第一行。</v>
      </c>
      <c r="F4" s="2" t="str">
        <f t="shared" si="5"/>
        <v>于第一行。</v>
      </c>
      <c r="G4" s="2" t="str">
        <f t="shared" si="5"/>
        <v>于第一行。</v>
      </c>
      <c r="H4" s="2" t="str">
        <f t="shared" si="5"/>
        <v>于第一行。</v>
      </c>
      <c r="I4" s="2" t="str">
        <f t="shared" si="6"/>
        <v>一行。</v>
      </c>
      <c r="J4" s="9">
        <f ca="1">MATCH(B4,'B2'!E:E,0)</f>
        <v>5</v>
      </c>
      <c r="K4" s="9">
        <f ca="1">IF(ISERROR(J4),MATCH(C4,'B2'!F:F,0),J4)</f>
        <v>5</v>
      </c>
      <c r="L4" s="9">
        <f ca="1">IF(ISERROR(K4),MATCH(D4,'B2'!G:G,0),K4)</f>
        <v>5</v>
      </c>
      <c r="M4" s="9">
        <f ca="1">IF(ISERROR(L4),MATCH(E4,'B2'!H:H,0),L4)</f>
        <v>5</v>
      </c>
      <c r="N4" s="9">
        <f t="shared" ca="1" si="7"/>
        <v>1</v>
      </c>
      <c r="O4" s="9" t="e">
        <f ca="1">MATCH(E4,'B2'!H:H,0)</f>
        <v>#N/A</v>
      </c>
      <c r="P4" s="9">
        <f ca="1">IF(ISERROR(O4),MATCH(H4,'B2'!K:K,0),O4)</f>
        <v>5</v>
      </c>
      <c r="Q4" s="9">
        <f ca="1">IF(ISERROR(P4),MATCH(I4,'B2'!L:L,0),P4)</f>
        <v>5</v>
      </c>
      <c r="R4" s="9">
        <f ca="1">IF(ISERROR(Q4),MATCH(J4,'B2'!M:M,0),Q4)</f>
        <v>5</v>
      </c>
      <c r="S4" s="9">
        <f t="shared" ca="1" si="8"/>
        <v>1</v>
      </c>
      <c r="T4" s="3">
        <f ca="1">OFFSET('B2'!$C$1,'B3'!M4-1,0)</f>
        <v>2.8333333333333335E-4</v>
      </c>
      <c r="U4" s="3">
        <f ca="1">OFFSET('B2'!$D$1,'B3'!R4-1,0)</f>
        <v>3.5555555555555552E-4</v>
      </c>
      <c r="V4" s="16">
        <f t="shared" ca="1" si="9"/>
        <v>3.5555555555555552E-4</v>
      </c>
      <c r="W4" s="4">
        <f t="shared" si="10"/>
        <v>47</v>
      </c>
      <c r="X4" s="5">
        <f t="shared" ca="1" si="11"/>
        <v>4.6296296296296016E-7</v>
      </c>
      <c r="Y4" s="5">
        <f t="shared" ca="1" si="12"/>
        <v>7.2222222222222165E-5</v>
      </c>
      <c r="Z4" s="6">
        <f t="shared" ca="1" si="13"/>
        <v>7.2453703703703645E-5</v>
      </c>
      <c r="AA4" s="12">
        <v>5.5324074074074075E-4</v>
      </c>
      <c r="AB4" s="13">
        <f t="shared" si="14"/>
        <v>1.25E-4</v>
      </c>
      <c r="AC4" s="14" t="str">
        <f t="shared" ca="1" si="15"/>
        <v>4.54</v>
      </c>
      <c r="AD4" s="10">
        <v>6.44</v>
      </c>
      <c r="AE4" s="3" t="b">
        <f t="shared" si="0"/>
        <v>0</v>
      </c>
      <c r="AG4" s="15"/>
    </row>
    <row r="5" spans="1:33" x14ac:dyDescent="0.3">
      <c r="A5" t="s">
        <v>726</v>
      </c>
      <c r="B5" s="2" t="str">
        <f t="shared" si="1"/>
        <v>y代表从左到右第y列</v>
      </c>
      <c r="C5" s="2" t="str">
        <f t="shared" si="2"/>
        <v>y代表从</v>
      </c>
      <c r="D5" s="2" t="str">
        <f t="shared" si="3"/>
        <v>y代</v>
      </c>
      <c r="E5" s="2" t="str">
        <f t="shared" si="4"/>
        <v>灯都满足，所以省去了y。</v>
      </c>
      <c r="F5" s="2" t="str">
        <f t="shared" si="5"/>
        <v>省去了y。</v>
      </c>
      <c r="G5" s="2" t="str">
        <f t="shared" si="5"/>
        <v>省去了y。</v>
      </c>
      <c r="H5" s="2" t="str">
        <f t="shared" si="5"/>
        <v>省去了y。</v>
      </c>
      <c r="I5" s="2" t="str">
        <f t="shared" si="6"/>
        <v>了y。</v>
      </c>
      <c r="J5" s="9" t="e">
        <f ca="1">MATCH(B5,'B2'!E:E,0)</f>
        <v>#N/A</v>
      </c>
      <c r="K5" s="9">
        <f ca="1">IF(ISERROR(J5),MATCH(C5,'B2'!F:F,0),J5)</f>
        <v>6</v>
      </c>
      <c r="L5" s="9">
        <f ca="1">IF(ISERROR(K5),MATCH(D5,'B2'!G:G,0),K5)</f>
        <v>6</v>
      </c>
      <c r="M5" s="9">
        <f ca="1">IF(ISERROR(L5),MATCH(E5,'B2'!H:H,0),L5)</f>
        <v>6</v>
      </c>
      <c r="N5" s="9">
        <f t="shared" ca="1" si="7"/>
        <v>1</v>
      </c>
      <c r="O5" s="9">
        <f ca="1">MATCH(E5,'B2'!H:H,0)</f>
        <v>6</v>
      </c>
      <c r="P5" s="9">
        <f ca="1">IF(ISERROR(O5),MATCH(H5,'B2'!K:K,0),O5)</f>
        <v>6</v>
      </c>
      <c r="Q5" s="9">
        <f ca="1">IF(ISERROR(P5),MATCH(I5,'B2'!L:L,0),P5)</f>
        <v>6</v>
      </c>
      <c r="R5" s="9">
        <f ca="1">IF(ISERROR(Q5),MATCH(J5,'B2'!M:M,0),Q5)</f>
        <v>6</v>
      </c>
      <c r="S5" s="9" t="e">
        <f t="shared" ca="1" si="8"/>
        <v>#N/A</v>
      </c>
      <c r="T5" s="3">
        <f ca="1">OFFSET('B2'!$C$1,'B3'!M5-1,0)</f>
        <v>3.5555555555555552E-4</v>
      </c>
      <c r="U5" s="3">
        <f ca="1">OFFSET('B2'!$D$1,'B3'!R5-1,0)</f>
        <v>4.3888888888888889E-4</v>
      </c>
      <c r="V5" s="16">
        <f t="shared" ca="1" si="9"/>
        <v>4.3888888888888889E-4</v>
      </c>
      <c r="W5" s="4">
        <f t="shared" si="10"/>
        <v>35</v>
      </c>
      <c r="X5" s="5">
        <f t="shared" ca="1" si="11"/>
        <v>0</v>
      </c>
      <c r="Y5" s="5">
        <f t="shared" ca="1" si="12"/>
        <v>8.3333333333333371E-5</v>
      </c>
      <c r="Z5" s="6">
        <f t="shared" ca="1" si="13"/>
        <v>8.3333333333333371E-5</v>
      </c>
      <c r="AA5" s="12">
        <v>6.7824074074074076E-4</v>
      </c>
      <c r="AB5" s="13">
        <f t="shared" si="14"/>
        <v>8.1018518518518462E-5</v>
      </c>
      <c r="AC5" s="14" t="str">
        <f t="shared" ca="1" si="15"/>
        <v>-0.20</v>
      </c>
      <c r="AD5" s="10">
        <v>0.88</v>
      </c>
      <c r="AE5" s="3" t="b">
        <f t="shared" si="0"/>
        <v>0</v>
      </c>
      <c r="AG5" s="15"/>
    </row>
    <row r="6" spans="1:33" x14ac:dyDescent="0.3">
      <c r="A6" t="s">
        <v>727</v>
      </c>
      <c r="B6" s="2" t="str">
        <f t="shared" si="1"/>
        <v>在这里，粉色原点是用</v>
      </c>
      <c r="C6" s="2" t="str">
        <f t="shared" si="2"/>
        <v>在这里，</v>
      </c>
      <c r="D6" s="2" t="str">
        <f t="shared" si="3"/>
        <v>在这</v>
      </c>
      <c r="E6" s="2" t="str">
        <f t="shared" si="4"/>
        <v>蓝色方块是用按钮表示灯。</v>
      </c>
      <c r="F6" s="2" t="str">
        <f t="shared" si="5"/>
        <v>钮表示灯。</v>
      </c>
      <c r="G6" s="2" t="str">
        <f t="shared" si="5"/>
        <v>钮表示灯。</v>
      </c>
      <c r="H6" s="2" t="str">
        <f t="shared" si="5"/>
        <v>钮表示灯。</v>
      </c>
      <c r="I6" s="2" t="str">
        <f t="shared" si="6"/>
        <v>示灯。</v>
      </c>
      <c r="J6" s="9" t="e">
        <f ca="1">MATCH(B6,'B2'!E:E,0)</f>
        <v>#N/A</v>
      </c>
      <c r="K6" s="9">
        <f ca="1">IF(ISERROR(J6),MATCH(C6,'B2'!F:F,0),J6)</f>
        <v>7</v>
      </c>
      <c r="L6" s="9">
        <f ca="1">IF(ISERROR(K6),MATCH(D6,'B2'!G:G,0),K6)</f>
        <v>7</v>
      </c>
      <c r="M6" s="9">
        <f ca="1">IF(ISERROR(L6),MATCH(E6,'B2'!H:H,0),L6)</f>
        <v>7</v>
      </c>
      <c r="N6" s="9">
        <f t="shared" ca="1" si="7"/>
        <v>1</v>
      </c>
      <c r="O6" s="9" t="e">
        <f ca="1">MATCH(E6,'B2'!H:H,0)</f>
        <v>#N/A</v>
      </c>
      <c r="P6" s="9" t="e">
        <f ca="1">IF(ISERROR(O6),MATCH(H6,'B2'!K:K,0),O6)</f>
        <v>#N/A</v>
      </c>
      <c r="Q6" s="9" t="e">
        <f ca="1">IF(ISERROR(P6),MATCH(I6,'B2'!L:L,0),P6)</f>
        <v>#N/A</v>
      </c>
      <c r="R6" s="9" t="e">
        <f ca="1">IF(ISERROR(Q6),MATCH(J6,'B2'!M:M,0),Q6)</f>
        <v>#N/A</v>
      </c>
      <c r="S6" s="9" t="e">
        <f t="shared" ca="1" si="8"/>
        <v>#N/A</v>
      </c>
      <c r="T6" s="3">
        <f ca="1">OFFSET('B2'!$C$1,'B3'!M6-1,0)</f>
        <v>4.3888888888888889E-4</v>
      </c>
      <c r="U6" s="3" t="e">
        <f ca="1">OFFSET('B2'!$D$1,'B3'!R6-1,0)</f>
        <v>#N/A</v>
      </c>
      <c r="V6" s="16" t="e">
        <f t="shared" ca="1" si="9"/>
        <v>#N/A</v>
      </c>
      <c r="W6" s="4">
        <f t="shared" si="10"/>
        <v>30</v>
      </c>
      <c r="X6" s="5">
        <f t="shared" ca="1" si="11"/>
        <v>0</v>
      </c>
      <c r="Y6" s="5" t="e">
        <f t="shared" ca="1" si="12"/>
        <v>#N/A</v>
      </c>
      <c r="Z6" s="6" t="e">
        <f t="shared" ca="1" si="13"/>
        <v>#N/A</v>
      </c>
      <c r="AA6" s="12">
        <v>7.5925925925925922E-4</v>
      </c>
      <c r="AB6" s="13">
        <f t="shared" si="14"/>
        <v>8.6805555555555572E-5</v>
      </c>
      <c r="AC6" s="14" t="e">
        <f t="shared" ca="1" si="15"/>
        <v>#N/A</v>
      </c>
      <c r="AD6" s="10">
        <v>1.1000000000000001</v>
      </c>
      <c r="AE6" s="3" t="b">
        <f t="shared" si="0"/>
        <v>0</v>
      </c>
      <c r="AG6" s="15"/>
    </row>
    <row r="7" spans="1:33" x14ac:dyDescent="0.3">
      <c r="A7" t="s">
        <v>728</v>
      </c>
      <c r="B7" s="2" t="str">
        <f t="shared" si="1"/>
        <v>而在上集视频中，因为</v>
      </c>
      <c r="C7" s="2" t="str">
        <f t="shared" si="2"/>
        <v>而在上集</v>
      </c>
      <c r="D7" s="2" t="str">
        <f t="shared" si="3"/>
        <v>而在</v>
      </c>
      <c r="E7" s="2" t="str">
        <f t="shared" si="4"/>
        <v>色原点直接是按钮表示灯。</v>
      </c>
      <c r="F7" s="2" t="str">
        <f t="shared" si="5"/>
        <v>钮表示灯。</v>
      </c>
      <c r="G7" s="2" t="str">
        <f t="shared" si="5"/>
        <v>钮表示灯。</v>
      </c>
      <c r="H7" s="2" t="str">
        <f t="shared" si="5"/>
        <v>钮表示灯。</v>
      </c>
      <c r="I7" s="2" t="str">
        <f t="shared" si="6"/>
        <v>示灯。</v>
      </c>
      <c r="J7" s="9" t="e">
        <f ca="1">MATCH(B7,'B2'!E:E,0)</f>
        <v>#N/A</v>
      </c>
      <c r="K7" s="9" t="e">
        <f ca="1">IF(ISERROR(J7),MATCH(C7,'B2'!F:F,0),J7)</f>
        <v>#N/A</v>
      </c>
      <c r="L7" s="9">
        <f ca="1">IF(ISERROR(K7),MATCH(D7,'B2'!G:G,0),K7)</f>
        <v>11</v>
      </c>
      <c r="M7" s="9">
        <f ca="1">IF(ISERROR(L7),MATCH(E7,'B2'!H:H,0),L7)</f>
        <v>11</v>
      </c>
      <c r="N7" s="9">
        <f t="shared" ca="1" si="7"/>
        <v>1</v>
      </c>
      <c r="O7" s="9" t="e">
        <f ca="1">MATCH(E7,'B2'!H:H,0)</f>
        <v>#N/A</v>
      </c>
      <c r="P7" s="9" t="e">
        <f ca="1">IF(ISERROR(O7),MATCH(H7,'B2'!K:K,0),O7)</f>
        <v>#N/A</v>
      </c>
      <c r="Q7" s="9" t="e">
        <f ca="1">IF(ISERROR(P7),MATCH(I7,'B2'!L:L,0),P7)</f>
        <v>#N/A</v>
      </c>
      <c r="R7" s="9" t="e">
        <f ca="1">IF(ISERROR(Q7),MATCH(J7,'B2'!M:M,0),Q7)</f>
        <v>#N/A</v>
      </c>
      <c r="S7" s="9" t="e">
        <f t="shared" ca="1" si="8"/>
        <v>#N/A</v>
      </c>
      <c r="T7" s="3">
        <f ca="1">OFFSET('B2'!$C$1,'B3'!M7-1,0)</f>
        <v>1.1185185185185185E-3</v>
      </c>
      <c r="U7" s="3" t="e">
        <f ca="1">OFFSET('B2'!$D$1,'B3'!R7-1,0)</f>
        <v>#N/A</v>
      </c>
      <c r="V7" s="16" t="e">
        <f t="shared" ca="1" si="9"/>
        <v>#N/A</v>
      </c>
      <c r="W7" s="4">
        <f t="shared" si="10"/>
        <v>48</v>
      </c>
      <c r="X7" s="5" t="e">
        <f t="shared" ca="1" si="11"/>
        <v>#N/A</v>
      </c>
      <c r="Y7" s="5" t="e">
        <f t="shared" ca="1" si="12"/>
        <v>#N/A</v>
      </c>
      <c r="Z7" s="6" t="e">
        <f t="shared" ca="1" si="13"/>
        <v>#N/A</v>
      </c>
      <c r="AA7" s="12">
        <v>8.4606481481481479E-4</v>
      </c>
      <c r="AB7" s="13">
        <f t="shared" si="14"/>
        <v>1.238425925925926E-4</v>
      </c>
      <c r="AC7" s="14" t="e">
        <f t="shared" ca="1" si="15"/>
        <v>#N/A</v>
      </c>
      <c r="AD7" s="10">
        <v>2.5</v>
      </c>
      <c r="AE7" s="3" t="b">
        <f t="shared" si="0"/>
        <v>0</v>
      </c>
      <c r="AG7" s="15"/>
    </row>
    <row r="8" spans="1:33" x14ac:dyDescent="0.3">
      <c r="A8" t="s">
        <v>729</v>
      </c>
      <c r="B8" s="2" t="str">
        <f t="shared" si="1"/>
        <v>让我们举一个具体的例</v>
      </c>
      <c r="C8" s="2" t="str">
        <f t="shared" si="2"/>
        <v>让我们举</v>
      </c>
      <c r="D8" s="2" t="str">
        <f t="shared" si="3"/>
        <v>让我</v>
      </c>
      <c r="E8" s="2" t="str">
        <f t="shared" si="4"/>
        <v>按钮和灯编号为1—25。</v>
      </c>
      <c r="F8" s="2" t="str">
        <f t="shared" si="5"/>
        <v>1—25。</v>
      </c>
      <c r="G8" s="2" t="str">
        <f t="shared" si="5"/>
        <v>1—25。</v>
      </c>
      <c r="H8" s="2" t="str">
        <f t="shared" si="5"/>
        <v>1—25。</v>
      </c>
      <c r="I8" s="2" t="str">
        <f t="shared" si="6"/>
        <v>25。</v>
      </c>
      <c r="J8" s="9" t="e">
        <f ca="1">MATCH(B8,'B2'!E:E,0)</f>
        <v>#N/A</v>
      </c>
      <c r="K8" s="9" t="e">
        <f ca="1">IF(ISERROR(J8),MATCH(C8,'B2'!F:F,0),J8)</f>
        <v>#N/A</v>
      </c>
      <c r="L8" s="9">
        <f ca="1">IF(ISERROR(K8),MATCH(D8,'B2'!G:G,0),K8)</f>
        <v>23</v>
      </c>
      <c r="M8" s="9">
        <f ca="1">IF(ISERROR(L8),MATCH(E8,'B2'!H:H,0),L8)</f>
        <v>23</v>
      </c>
      <c r="N8" s="9" t="e">
        <f t="shared" ca="1" si="7"/>
        <v>#N/A</v>
      </c>
      <c r="O8" s="9" t="e">
        <f ca="1">MATCH(E8,'B2'!H:H,0)</f>
        <v>#N/A</v>
      </c>
      <c r="P8" s="9" t="e">
        <f ca="1">IF(ISERROR(O8),MATCH(H8,'B2'!K:K,0),O8)</f>
        <v>#N/A</v>
      </c>
      <c r="Q8" s="9" t="e">
        <f ca="1">IF(ISERROR(P8),MATCH(I8,'B2'!L:L,0),P8)</f>
        <v>#N/A</v>
      </c>
      <c r="R8" s="9" t="e">
        <f ca="1">IF(ISERROR(Q8),MATCH(J8,'B2'!M:M,0),Q8)</f>
        <v>#N/A</v>
      </c>
      <c r="S8" s="9" t="e">
        <f t="shared" ca="1" si="8"/>
        <v>#N/A</v>
      </c>
      <c r="T8" s="3">
        <f ca="1">OFFSET('B2'!$C$1,'B3'!M8-1,0)</f>
        <v>2.0097222222222222E-3</v>
      </c>
      <c r="U8" s="3" t="e">
        <f ca="1">OFFSET('B2'!$D$1,'B3'!R8-1,0)</f>
        <v>#N/A</v>
      </c>
      <c r="V8" s="16" t="e">
        <f t="shared" ca="1" si="9"/>
        <v>#N/A</v>
      </c>
      <c r="W8" s="4">
        <f t="shared" si="10"/>
        <v>36</v>
      </c>
      <c r="X8" s="5" t="e">
        <f t="shared" ca="1" si="11"/>
        <v>#N/A</v>
      </c>
      <c r="Y8" s="5" t="e">
        <f t="shared" ca="1" si="12"/>
        <v>#N/A</v>
      </c>
      <c r="Z8" s="6" t="e">
        <f t="shared" ca="1" si="13"/>
        <v>#N/A</v>
      </c>
      <c r="AA8" s="12">
        <v>9.6990740740740739E-4</v>
      </c>
      <c r="AB8" s="13">
        <f t="shared" si="14"/>
        <v>1.4699074074074072E-4</v>
      </c>
      <c r="AC8" s="14" t="e">
        <f t="shared" ca="1" si="15"/>
        <v>#N/A</v>
      </c>
      <c r="AD8" s="10">
        <v>1.62</v>
      </c>
      <c r="AE8" s="3" t="b">
        <f t="shared" si="0"/>
        <v>0</v>
      </c>
      <c r="AG8" s="15"/>
    </row>
    <row r="9" spans="1:33" x14ac:dyDescent="0.3">
      <c r="A9" t="s">
        <v>730</v>
      </c>
      <c r="B9" s="2" t="str">
        <f t="shared" si="1"/>
        <v>在《叠加法》中，我们</v>
      </c>
      <c r="C9" s="2" t="str">
        <f t="shared" si="2"/>
        <v>在《叠加</v>
      </c>
      <c r="D9" s="2" t="str">
        <f t="shared" si="3"/>
        <v>在《</v>
      </c>
      <c r="E9" s="2" t="str">
        <f t="shared" si="4"/>
        <v>1⊕B6⊕B7⊕B11。</v>
      </c>
      <c r="F9" s="2" t="str">
        <f t="shared" si="5"/>
        <v>⊕B11。</v>
      </c>
      <c r="G9" s="2" t="str">
        <f t="shared" si="5"/>
        <v>⊕B11。</v>
      </c>
      <c r="H9" s="2" t="str">
        <f t="shared" si="5"/>
        <v>⊕B11。</v>
      </c>
      <c r="I9" s="2" t="str">
        <f t="shared" si="6"/>
        <v>11。</v>
      </c>
      <c r="J9" s="9" t="e">
        <f ca="1">MATCH(B9,'B2'!E:E,0)</f>
        <v>#N/A</v>
      </c>
      <c r="K9" s="9" t="e">
        <f ca="1">IF(ISERROR(J9),MATCH(C9,'B2'!F:F,0),J9)</f>
        <v>#N/A</v>
      </c>
      <c r="L9" s="9" t="e">
        <f ca="1">IF(ISERROR(K9),MATCH(D9,'B2'!G:G,0),K9)</f>
        <v>#N/A</v>
      </c>
      <c r="M9" s="9" t="e">
        <f ca="1">IF(ISERROR(L9),MATCH(E9,'B2'!H:H,0),L9)</f>
        <v>#N/A</v>
      </c>
      <c r="N9" s="9" t="e">
        <f t="shared" ca="1" si="7"/>
        <v>#N/A</v>
      </c>
      <c r="O9" s="9" t="e">
        <f ca="1">MATCH(E9,'B2'!H:H,0)</f>
        <v>#N/A</v>
      </c>
      <c r="P9" s="9" t="e">
        <f ca="1">IF(ISERROR(O9),MATCH(H9,'B2'!K:K,0),O9)</f>
        <v>#N/A</v>
      </c>
      <c r="Q9" s="9">
        <f ca="1">IF(ISERROR(P9),MATCH(I9,'B2'!L:L,0),P9)</f>
        <v>8</v>
      </c>
      <c r="R9" s="9">
        <f ca="1">IF(ISERROR(Q9),MATCH(J9,'B2'!M:M,0),Q9)</f>
        <v>8</v>
      </c>
      <c r="S9" s="9" t="e">
        <f t="shared" ca="1" si="8"/>
        <v>#N/A</v>
      </c>
      <c r="T9" s="3" t="e">
        <f ca="1">OFFSET('B2'!$C$1,'B3'!M9-1,0)</f>
        <v>#N/A</v>
      </c>
      <c r="U9" s="3">
        <f ca="1">OFFSET('B2'!$D$1,'B3'!R9-1,0)</f>
        <v>9.00925925925926E-4</v>
      </c>
      <c r="V9" s="16">
        <f t="shared" ca="1" si="9"/>
        <v>9.020833333333333E-4</v>
      </c>
      <c r="W9" s="4">
        <f t="shared" si="10"/>
        <v>54</v>
      </c>
      <c r="X9" s="5" t="e">
        <f t="shared" ca="1" si="11"/>
        <v>#N/A</v>
      </c>
      <c r="Y9" s="5" t="e">
        <f t="shared" ca="1" si="12"/>
        <v>#N/A</v>
      </c>
      <c r="Z9" s="6" t="e">
        <f t="shared" ca="1" si="13"/>
        <v>#N/A</v>
      </c>
      <c r="AA9" s="12">
        <v>1.1168981481481481E-3</v>
      </c>
      <c r="AB9" s="13">
        <f t="shared" si="14"/>
        <v>1.5046296296296292E-4</v>
      </c>
      <c r="AC9" s="14" t="e">
        <f t="shared" ca="1" si="15"/>
        <v>#N/A</v>
      </c>
      <c r="AD9" s="10">
        <v>1.6</v>
      </c>
      <c r="AE9" s="3" t="b">
        <f t="shared" si="0"/>
        <v>0</v>
      </c>
      <c r="AG9" s="15"/>
    </row>
    <row r="10" spans="1:33" x14ac:dyDescent="0.3">
      <c r="A10" t="s">
        <v>731</v>
      </c>
      <c r="B10" s="2" t="str">
        <f t="shared" si="1"/>
        <v>通过这种方法，我们得</v>
      </c>
      <c r="C10" s="2" t="str">
        <f t="shared" si="2"/>
        <v>通过这种</v>
      </c>
      <c r="D10" s="2" t="str">
        <f t="shared" si="3"/>
        <v>通过</v>
      </c>
      <c r="E10" s="2" t="str">
        <f t="shared" si="4"/>
        <v>转向量，即灯向量的形式。</v>
      </c>
      <c r="F10" s="2" t="str">
        <f t="shared" si="5"/>
        <v>量的形式。</v>
      </c>
      <c r="G10" s="2" t="str">
        <f t="shared" si="5"/>
        <v>量的形式。</v>
      </c>
      <c r="H10" s="2" t="str">
        <f t="shared" si="5"/>
        <v>量的形式。</v>
      </c>
      <c r="I10" s="2" t="str">
        <f t="shared" si="6"/>
        <v>形式。</v>
      </c>
      <c r="J10" s="9">
        <f ca="1">MATCH(B10,'B2'!E:E,0)</f>
        <v>9</v>
      </c>
      <c r="K10" s="9">
        <f ca="1">IF(ISERROR(J10),MATCH(C10,'B2'!F:F,0),J10)</f>
        <v>9</v>
      </c>
      <c r="L10" s="9">
        <f ca="1">IF(ISERROR(K10),MATCH(D10,'B2'!G:G,0),K10)</f>
        <v>9</v>
      </c>
      <c r="M10" s="9">
        <f ca="1">IF(ISERROR(L10),MATCH(E10,'B2'!H:H,0),L10)</f>
        <v>9</v>
      </c>
      <c r="N10" s="9" t="e">
        <f t="shared" ca="1" si="7"/>
        <v>#N/A</v>
      </c>
      <c r="O10" s="9" t="e">
        <f ca="1">MATCH(E10,'B2'!H:H,0)</f>
        <v>#N/A</v>
      </c>
      <c r="P10" s="9">
        <f ca="1">IF(ISERROR(O10),MATCH(H10,'B2'!K:K,0),O10)</f>
        <v>10</v>
      </c>
      <c r="Q10" s="9">
        <f ca="1">IF(ISERROR(P10),MATCH(I10,'B2'!L:L,0),P10)</f>
        <v>10</v>
      </c>
      <c r="R10" s="9">
        <f ca="1">IF(ISERROR(Q10),MATCH(J10,'B2'!M:M,0),Q10)</f>
        <v>10</v>
      </c>
      <c r="S10" s="9">
        <f t="shared" ca="1" si="8"/>
        <v>1</v>
      </c>
      <c r="T10" s="3">
        <f ca="1">OFFSET('B2'!$C$1,'B3'!M10-1,0)</f>
        <v>9.032407407407407E-4</v>
      </c>
      <c r="U10" s="3">
        <f ca="1">OFFSET('B2'!$D$1,'B3'!R10-1,0)</f>
        <v>1.1185185185185185E-3</v>
      </c>
      <c r="V10" s="16">
        <f t="shared" ca="1" si="9"/>
        <v>1.1185185185185185E-3</v>
      </c>
      <c r="W10" s="4">
        <f t="shared" si="10"/>
        <v>57</v>
      </c>
      <c r="X10" s="5">
        <f t="shared" ca="1" si="11"/>
        <v>2.3148148148146924E-6</v>
      </c>
      <c r="Y10" s="5">
        <f t="shared" ca="1" si="12"/>
        <v>2.1527777777777778E-4</v>
      </c>
      <c r="Z10" s="6">
        <f t="shared" ca="1" si="13"/>
        <v>2.1643518518518512E-4</v>
      </c>
      <c r="AA10" s="12">
        <v>1.267361111111111E-3</v>
      </c>
      <c r="AB10" s="13">
        <f t="shared" si="14"/>
        <v>1.4505787037037048E-4</v>
      </c>
      <c r="AC10" s="14" t="str">
        <f t="shared" ca="1" si="15"/>
        <v>-6.17</v>
      </c>
      <c r="AD10" s="10">
        <v>1.63</v>
      </c>
      <c r="AE10" s="3" t="b">
        <f t="shared" si="0"/>
        <v>0</v>
      </c>
      <c r="AG10" s="15"/>
    </row>
    <row r="11" spans="1:33" x14ac:dyDescent="0.3">
      <c r="A11" t="s">
        <v>732</v>
      </c>
      <c r="B11" s="2" t="str">
        <f t="shared" si="1"/>
        <v>而在《首行叠加法》中</v>
      </c>
      <c r="C11" s="2" t="str">
        <f t="shared" si="2"/>
        <v>而在《首</v>
      </c>
      <c r="D11" s="2" t="str">
        <f t="shared" si="3"/>
        <v>而在</v>
      </c>
      <c r="E11" s="2" t="str">
        <f t="shared" si="4"/>
        <v>表示为第一行按钮的叠加。</v>
      </c>
      <c r="F11" s="2" t="str">
        <f t="shared" si="5"/>
        <v>钮的叠加。</v>
      </c>
      <c r="G11" s="2" t="str">
        <f t="shared" si="5"/>
        <v>钮的叠加。</v>
      </c>
      <c r="H11" s="2" t="str">
        <f t="shared" si="5"/>
        <v>钮的叠加。</v>
      </c>
      <c r="I11" s="2" t="str">
        <f t="shared" si="6"/>
        <v>叠加。</v>
      </c>
      <c r="J11" s="9" t="e">
        <f ca="1">MATCH(B11,'B2'!E:E,0)</f>
        <v>#N/A</v>
      </c>
      <c r="K11" s="9" t="e">
        <f ca="1">IF(ISERROR(J11),MATCH(C11,'B2'!F:F,0),J11)</f>
        <v>#N/A</v>
      </c>
      <c r="L11" s="9">
        <f ca="1">IF(ISERROR(K11),MATCH(D11,'B2'!G:G,0),K11)</f>
        <v>11</v>
      </c>
      <c r="M11" s="9">
        <f ca="1">IF(ISERROR(L11),MATCH(E11,'B2'!H:H,0),L11)</f>
        <v>11</v>
      </c>
      <c r="N11" s="9">
        <f t="shared" ca="1" si="7"/>
        <v>1</v>
      </c>
      <c r="O11" s="9">
        <f ca="1">MATCH(E11,'B2'!H:H,0)</f>
        <v>11</v>
      </c>
      <c r="P11" s="9">
        <f ca="1">IF(ISERROR(O11),MATCH(H11,'B2'!K:K,0),O11)</f>
        <v>11</v>
      </c>
      <c r="Q11" s="9">
        <f ca="1">IF(ISERROR(P11),MATCH(I11,'B2'!L:L,0),P11)</f>
        <v>11</v>
      </c>
      <c r="R11" s="9">
        <f ca="1">IF(ISERROR(Q11),MATCH(J11,'B2'!M:M,0),Q11)</f>
        <v>11</v>
      </c>
      <c r="S11" s="9">
        <f t="shared" ca="1" si="8"/>
        <v>1</v>
      </c>
      <c r="T11" s="3">
        <f ca="1">OFFSET('B2'!$C$1,'B3'!M11-1,0)</f>
        <v>1.1185185185185185E-3</v>
      </c>
      <c r="U11" s="3">
        <f ca="1">OFFSET('B2'!$D$1,'B3'!R11-1,0)</f>
        <v>1.1675925925925925E-3</v>
      </c>
      <c r="V11" s="16">
        <f t="shared" ca="1" si="9"/>
        <v>1.1680555555555554E-3</v>
      </c>
      <c r="W11" s="4">
        <f t="shared" si="10"/>
        <v>29</v>
      </c>
      <c r="X11" s="5">
        <f t="shared" ca="1" si="11"/>
        <v>0</v>
      </c>
      <c r="Y11" s="5">
        <f t="shared" ca="1" si="12"/>
        <v>4.9074074074073994E-5</v>
      </c>
      <c r="Z11" s="6">
        <f t="shared" ca="1" si="13"/>
        <v>4.9537037037037063E-5</v>
      </c>
      <c r="AA11" s="12">
        <v>1.4124189814814815E-3</v>
      </c>
      <c r="AB11" s="13">
        <f t="shared" si="14"/>
        <v>1.5740740740740754E-4</v>
      </c>
      <c r="AC11" s="14" t="str">
        <f t="shared" ca="1" si="15"/>
        <v>9.32</v>
      </c>
      <c r="AD11" s="10">
        <v>1.26</v>
      </c>
      <c r="AE11" s="3" t="b">
        <f t="shared" si="0"/>
        <v>0</v>
      </c>
      <c r="AG11" s="15"/>
    </row>
    <row r="12" spans="1:33" x14ac:dyDescent="0.3">
      <c r="A12" t="s">
        <v>733</v>
      </c>
      <c r="B12" s="2" t="str">
        <f t="shared" si="1"/>
        <v>这里的五个矩阵，分别</v>
      </c>
      <c r="C12" s="2" t="str">
        <f t="shared" si="2"/>
        <v>这里的五</v>
      </c>
      <c r="D12" s="2" t="str">
        <f t="shared" si="3"/>
        <v>这里</v>
      </c>
      <c r="E12" s="2" t="str">
        <f t="shared" si="4"/>
        <v>一行的哪几个按钮叠加的。</v>
      </c>
      <c r="F12" s="2" t="str">
        <f t="shared" si="5"/>
        <v>钮叠加的。</v>
      </c>
      <c r="G12" s="2" t="str">
        <f t="shared" si="5"/>
        <v>钮叠加的。</v>
      </c>
      <c r="H12" s="2" t="str">
        <f t="shared" si="5"/>
        <v>钮叠加的。</v>
      </c>
      <c r="I12" s="2" t="str">
        <f t="shared" si="6"/>
        <v>加的。</v>
      </c>
      <c r="J12" s="9" t="e">
        <f ca="1">MATCH(B12,'B2'!E:E,0)</f>
        <v>#N/A</v>
      </c>
      <c r="K12" s="9">
        <f ca="1">IF(ISERROR(J12),MATCH(C12,'B2'!F:F,0),J12)</f>
        <v>12</v>
      </c>
      <c r="L12" s="9">
        <f ca="1">IF(ISERROR(K12),MATCH(D12,'B2'!G:G,0),K12)</f>
        <v>12</v>
      </c>
      <c r="M12" s="9">
        <f ca="1">IF(ISERROR(L12),MATCH(E12,'B2'!H:H,0),L12)</f>
        <v>12</v>
      </c>
      <c r="N12" s="9">
        <f t="shared" ca="1" si="7"/>
        <v>1</v>
      </c>
      <c r="O12" s="9">
        <f ca="1">MATCH(E12,'B2'!H:H,0)</f>
        <v>12</v>
      </c>
      <c r="P12" s="9">
        <f ca="1">IF(ISERROR(O12),MATCH(H12,'B2'!K:K,0),O12)</f>
        <v>12</v>
      </c>
      <c r="Q12" s="9">
        <f ca="1">IF(ISERROR(P12),MATCH(I12,'B2'!L:L,0),P12)</f>
        <v>12</v>
      </c>
      <c r="R12" s="9">
        <f ca="1">IF(ISERROR(Q12),MATCH(J12,'B2'!M:M,0),Q12)</f>
        <v>12</v>
      </c>
      <c r="S12" s="9">
        <f t="shared" ca="1" si="8"/>
        <v>0</v>
      </c>
      <c r="T12" s="3">
        <f ca="1">OFFSET('B2'!$C$1,'B3'!M12-1,0)</f>
        <v>1.1685185185185186E-3</v>
      </c>
      <c r="U12" s="3">
        <f ca="1">OFFSET('B2'!$D$1,'B3'!R12-1,0)</f>
        <v>1.1981481481481483E-3</v>
      </c>
      <c r="V12" s="16">
        <f t="shared" ca="1" si="9"/>
        <v>1.1983796296296298E-3</v>
      </c>
      <c r="W12" s="4">
        <f t="shared" si="10"/>
        <v>30</v>
      </c>
      <c r="X12" s="5">
        <f t="shared" ca="1" si="11"/>
        <v>9.2592592592613716E-7</v>
      </c>
      <c r="Y12" s="5">
        <f t="shared" ca="1" si="12"/>
        <v>2.9629629629629667E-5</v>
      </c>
      <c r="Z12" s="6">
        <f t="shared" ca="1" si="13"/>
        <v>3.0324074074074216E-5</v>
      </c>
      <c r="AA12" s="12">
        <v>1.5698263888888891E-3</v>
      </c>
      <c r="AB12" s="13">
        <f t="shared" si="14"/>
        <v>1.5509259259259252E-4</v>
      </c>
      <c r="AC12" s="14" t="str">
        <f t="shared" ca="1" si="15"/>
        <v>10.78</v>
      </c>
      <c r="AD12" s="10">
        <v>1.4</v>
      </c>
      <c r="AE12" s="3" t="b">
        <f t="shared" si="0"/>
        <v>0</v>
      </c>
      <c r="AG12" s="15"/>
    </row>
    <row r="13" spans="1:33" x14ac:dyDescent="0.3">
      <c r="A13" t="s">
        <v>734</v>
      </c>
      <c r="B13" s="2" t="str">
        <f t="shared" si="1"/>
        <v>由于按法是动态的，当</v>
      </c>
      <c r="C13" s="2" t="str">
        <f t="shared" si="2"/>
        <v>由于按法</v>
      </c>
      <c r="D13" s="2" t="str">
        <f t="shared" si="3"/>
        <v>由于</v>
      </c>
      <c r="E13" s="2" t="str">
        <f t="shared" si="4"/>
        <v>个按钮B1,B2叠加的。</v>
      </c>
      <c r="F13" s="2" t="str">
        <f t="shared" si="5"/>
        <v>2叠加的。</v>
      </c>
      <c r="G13" s="2" t="str">
        <f t="shared" si="5"/>
        <v>2叠加的。</v>
      </c>
      <c r="H13" s="2" t="str">
        <f t="shared" si="5"/>
        <v>2叠加的。</v>
      </c>
      <c r="I13" s="2" t="str">
        <f t="shared" si="6"/>
        <v>加的。</v>
      </c>
      <c r="J13" s="9">
        <f ca="1">MATCH(B13,'B2'!E:E,0)</f>
        <v>13</v>
      </c>
      <c r="K13" s="9">
        <f ca="1">IF(ISERROR(J13),MATCH(C13,'B2'!F:F,0),J13)</f>
        <v>13</v>
      </c>
      <c r="L13" s="9">
        <f ca="1">IF(ISERROR(K13),MATCH(D13,'B2'!G:G,0),K13)</f>
        <v>13</v>
      </c>
      <c r="M13" s="9">
        <f ca="1">IF(ISERROR(L13),MATCH(E13,'B2'!H:H,0),L13)</f>
        <v>13</v>
      </c>
      <c r="N13" s="9" t="e">
        <f t="shared" ca="1" si="7"/>
        <v>#N/A</v>
      </c>
      <c r="O13" s="9" t="e">
        <f ca="1">MATCH(E13,'B2'!H:H,0)</f>
        <v>#N/A</v>
      </c>
      <c r="P13" s="9" t="e">
        <f ca="1">IF(ISERROR(O13),MATCH(H13,'B2'!K:K,0),O13)</f>
        <v>#N/A</v>
      </c>
      <c r="Q13" s="9">
        <f ca="1">IF(ISERROR(P13),MATCH(I13,'B2'!L:L,0),P13)</f>
        <v>12</v>
      </c>
      <c r="R13" s="9">
        <f ca="1">IF(ISERROR(Q13),MATCH(J13,'B2'!M:M,0),Q13)</f>
        <v>12</v>
      </c>
      <c r="S13" s="9">
        <f t="shared" ca="1" si="8"/>
        <v>0</v>
      </c>
      <c r="T13" s="3">
        <f ca="1">OFFSET('B2'!$C$1,'B3'!M13-1,0)</f>
        <v>1.1986111111111112E-3</v>
      </c>
      <c r="U13" s="3">
        <f ca="1">OFFSET('B2'!$D$1,'B3'!R13-1,0)</f>
        <v>1.1981481481481483E-3</v>
      </c>
      <c r="V13" s="16" t="e">
        <f t="shared" ca="1" si="9"/>
        <v>#N/A</v>
      </c>
      <c r="W13" s="4">
        <f t="shared" si="10"/>
        <v>61</v>
      </c>
      <c r="X13" s="5">
        <f t="shared" ca="1" si="11"/>
        <v>4.6296296296296016E-7</v>
      </c>
      <c r="Y13" s="5">
        <f t="shared" ca="1" si="12"/>
        <v>-4.6296296296296016E-7</v>
      </c>
      <c r="Z13" s="6" t="e">
        <f t="shared" ca="1" si="13"/>
        <v>#N/A</v>
      </c>
      <c r="AA13" s="12">
        <v>1.7249189814814816E-3</v>
      </c>
      <c r="AB13" s="13">
        <f t="shared" si="14"/>
        <v>1.0879629629629607E-4</v>
      </c>
      <c r="AC13" s="14" t="e">
        <f t="shared" ca="1" si="15"/>
        <v>#N/A</v>
      </c>
      <c r="AD13" s="10">
        <v>4.74</v>
      </c>
      <c r="AE13" s="3" t="b">
        <f t="shared" si="0"/>
        <v>0</v>
      </c>
      <c r="AG13" s="15"/>
    </row>
    <row r="14" spans="1:33" x14ac:dyDescent="0.3">
      <c r="A14" t="s">
        <v>735</v>
      </c>
      <c r="B14" s="2" t="str">
        <f t="shared" si="1"/>
        <v>然后，B6=¬L1=</v>
      </c>
      <c r="C14" s="2" t="str">
        <f t="shared" si="2"/>
        <v>然后，B</v>
      </c>
      <c r="D14" s="2" t="str">
        <f t="shared" si="3"/>
        <v>然后</v>
      </c>
      <c r="E14" s="2" t="str">
        <f t="shared" si="4"/>
        <v>L1的叠加状态是相同的。</v>
      </c>
      <c r="F14" s="2" t="str">
        <f t="shared" si="5"/>
        <v>是相同的。</v>
      </c>
      <c r="G14" s="2" t="str">
        <f t="shared" si="5"/>
        <v>是相同的。</v>
      </c>
      <c r="H14" s="2" t="str">
        <f t="shared" si="5"/>
        <v>是相同的。</v>
      </c>
      <c r="I14" s="2" t="str">
        <f t="shared" si="6"/>
        <v>同的。</v>
      </c>
      <c r="J14" s="9" t="e">
        <f ca="1">MATCH(B14,'B2'!E:E,0)</f>
        <v>#N/A</v>
      </c>
      <c r="K14" s="9" t="e">
        <f ca="1">IF(ISERROR(J14),MATCH(C14,'B2'!F:F,0),J14)</f>
        <v>#N/A</v>
      </c>
      <c r="L14" s="9" t="e">
        <f ca="1">IF(ISERROR(K14),MATCH(D14,'B2'!G:G,0),K14)</f>
        <v>#N/A</v>
      </c>
      <c r="M14" s="9" t="e">
        <f ca="1">IF(ISERROR(L14),MATCH(E14,'B2'!H:H,0),L14)</f>
        <v>#N/A</v>
      </c>
      <c r="N14" s="9" t="e">
        <f t="shared" ca="1" si="7"/>
        <v>#N/A</v>
      </c>
      <c r="O14" s="9" t="e">
        <f ca="1">MATCH(E14,'B2'!H:H,0)</f>
        <v>#N/A</v>
      </c>
      <c r="P14" s="9">
        <f ca="1">IF(ISERROR(O14),MATCH(H14,'B2'!K:K,0),O14)</f>
        <v>17</v>
      </c>
      <c r="Q14" s="9">
        <f ca="1">IF(ISERROR(P14),MATCH(I14,'B2'!L:L,0),P14)</f>
        <v>17</v>
      </c>
      <c r="R14" s="9">
        <f ca="1">IF(ISERROR(Q14),MATCH(J14,'B2'!M:M,0),Q14)</f>
        <v>17</v>
      </c>
      <c r="S14" s="9">
        <f t="shared" ca="1" si="8"/>
        <v>0</v>
      </c>
      <c r="T14" s="3" t="e">
        <f ca="1">OFFSET('B2'!$C$1,'B3'!M14-1,0)</f>
        <v>#N/A</v>
      </c>
      <c r="U14" s="3">
        <f ca="1">OFFSET('B2'!$D$1,'B3'!R14-1,0)</f>
        <v>1.6782407407407408E-3</v>
      </c>
      <c r="V14" s="16" t="e">
        <f t="shared" ca="1" si="9"/>
        <v>#N/A</v>
      </c>
      <c r="W14" s="4">
        <f t="shared" si="10"/>
        <v>65</v>
      </c>
      <c r="X14" s="5" t="e">
        <f t="shared" ca="1" si="11"/>
        <v>#N/A</v>
      </c>
      <c r="Y14" s="5" t="e">
        <f t="shared" ca="1" si="12"/>
        <v>#N/A</v>
      </c>
      <c r="Z14" s="6" t="e">
        <f t="shared" ca="1" si="13"/>
        <v>#N/A</v>
      </c>
      <c r="AA14" s="12">
        <v>1.8337152777777776E-3</v>
      </c>
      <c r="AB14" s="13">
        <f t="shared" si="14"/>
        <v>1.2037037037037029E-4</v>
      </c>
      <c r="AC14" s="14" t="e">
        <f t="shared" ca="1" si="15"/>
        <v>#N/A</v>
      </c>
      <c r="AD14" s="10">
        <v>3.3</v>
      </c>
      <c r="AE14" s="3" t="b">
        <f t="shared" si="0"/>
        <v>0</v>
      </c>
      <c r="AG14" s="15"/>
    </row>
    <row r="15" spans="1:33" x14ac:dyDescent="0.3">
      <c r="A15" t="s">
        <v>736</v>
      </c>
      <c r="B15" s="2" t="str">
        <f t="shared" si="1"/>
        <v>只不过B6是L1的翻</v>
      </c>
      <c r="C15" s="2" t="str">
        <f t="shared" si="2"/>
        <v>只不过B</v>
      </c>
      <c r="D15" s="2" t="str">
        <f t="shared" si="3"/>
        <v>只不</v>
      </c>
      <c r="E15" s="2" t="str">
        <f t="shared" si="4"/>
        <v>就是按钮或灯有没有翻转。</v>
      </c>
      <c r="F15" s="2" t="str">
        <f t="shared" si="5"/>
        <v>没有翻转。</v>
      </c>
      <c r="G15" s="2" t="str">
        <f t="shared" si="5"/>
        <v>没有翻转。</v>
      </c>
      <c r="H15" s="2" t="str">
        <f t="shared" si="5"/>
        <v>没有翻转。</v>
      </c>
      <c r="I15" s="2" t="str">
        <f t="shared" si="6"/>
        <v>翻转。</v>
      </c>
      <c r="J15" s="9" t="e">
        <f ca="1">MATCH(B15,'B2'!E:E,0)</f>
        <v>#N/A</v>
      </c>
      <c r="K15" s="9" t="e">
        <f ca="1">IF(ISERROR(J15),MATCH(C15,'B2'!F:F,0),J15)</f>
        <v>#N/A</v>
      </c>
      <c r="L15" s="9" t="e">
        <f ca="1">IF(ISERROR(K15),MATCH(D15,'B2'!G:G,0),K15)</f>
        <v>#N/A</v>
      </c>
      <c r="M15" s="9" t="e">
        <f ca="1">IF(ISERROR(L15),MATCH(E15,'B2'!H:H,0),L15)</f>
        <v>#N/A</v>
      </c>
      <c r="N15" s="9" t="e">
        <f t="shared" ca="1" si="7"/>
        <v>#N/A</v>
      </c>
      <c r="O15" s="9" t="e">
        <f ca="1">MATCH(E15,'B2'!H:H,0)</f>
        <v>#N/A</v>
      </c>
      <c r="P15" s="9" t="e">
        <f ca="1">IF(ISERROR(O15),MATCH(H15,'B2'!K:K,0),O15)</f>
        <v>#N/A</v>
      </c>
      <c r="Q15" s="9">
        <f ca="1">IF(ISERROR(P15),MATCH(I15,'B2'!L:L,0),P15)</f>
        <v>3</v>
      </c>
      <c r="R15" s="9">
        <f ca="1">IF(ISERROR(Q15),MATCH(J15,'B2'!M:M,0),Q15)</f>
        <v>3</v>
      </c>
      <c r="S15" s="9">
        <f t="shared" ca="1" si="8"/>
        <v>0</v>
      </c>
      <c r="T15" s="3" t="e">
        <f ca="1">OFFSET('B2'!$C$1,'B3'!M15-1,0)</f>
        <v>#N/A</v>
      </c>
      <c r="U15" s="3">
        <f ca="1">OFFSET('B2'!$D$1,'B3'!R15-1,0)</f>
        <v>2.3564814814814813E-4</v>
      </c>
      <c r="V15" s="16">
        <f t="shared" ca="1" si="9"/>
        <v>8.3703703703703696E-4</v>
      </c>
      <c r="W15" s="4">
        <f t="shared" si="10"/>
        <v>34</v>
      </c>
      <c r="X15" s="5" t="e">
        <f t="shared" ca="1" si="11"/>
        <v>#N/A</v>
      </c>
      <c r="Y15" s="5" t="e">
        <f t="shared" ca="1" si="12"/>
        <v>#N/A</v>
      </c>
      <c r="Z15" s="6" t="e">
        <f t="shared" ca="1" si="13"/>
        <v>#N/A</v>
      </c>
      <c r="AA15" s="12">
        <v>1.9540856481481479E-3</v>
      </c>
      <c r="AB15" s="13">
        <f t="shared" si="14"/>
        <v>1.0300925925925972E-4</v>
      </c>
      <c r="AC15" s="14" t="e">
        <f t="shared" ca="1" si="15"/>
        <v>#N/A</v>
      </c>
      <c r="AD15" s="10">
        <v>1.22</v>
      </c>
      <c r="AE15" s="3" t="b">
        <f t="shared" si="0"/>
        <v>0</v>
      </c>
      <c r="AG15" s="15"/>
    </row>
    <row r="16" spans="1:33" x14ac:dyDescent="0.3">
      <c r="A16" t="s">
        <v>737</v>
      </c>
      <c r="B16" s="2" t="str">
        <f t="shared" si="1"/>
        <v>例如，当第一个向量的</v>
      </c>
      <c r="C16" s="2" t="str">
        <f t="shared" si="2"/>
        <v>例如，当</v>
      </c>
      <c r="D16" s="2" t="str">
        <f t="shared" si="3"/>
        <v>例如</v>
      </c>
      <c r="E16" s="2" t="str">
        <f t="shared" si="4"/>
        <v>需要翻转才是正确的状态。</v>
      </c>
      <c r="F16" s="2" t="str">
        <f t="shared" si="5"/>
        <v>确的状态。</v>
      </c>
      <c r="G16" s="2" t="str">
        <f t="shared" si="5"/>
        <v>确的状态。</v>
      </c>
      <c r="H16" s="2" t="str">
        <f t="shared" si="5"/>
        <v>确的状态。</v>
      </c>
      <c r="I16" s="2" t="str">
        <f t="shared" si="6"/>
        <v>状态。</v>
      </c>
      <c r="J16" s="9" t="e">
        <f ca="1">MATCH(B16,'B2'!E:E,0)</f>
        <v>#N/A</v>
      </c>
      <c r="K16" s="9" t="e">
        <f ca="1">IF(ISERROR(J16),MATCH(C16,'B2'!F:F,0),J16)</f>
        <v>#N/A</v>
      </c>
      <c r="L16" s="9" t="e">
        <f ca="1">IF(ISERROR(K16),MATCH(D16,'B2'!G:G,0),K16)</f>
        <v>#N/A</v>
      </c>
      <c r="M16" s="9">
        <f ca="1">IF(ISERROR(L16),MATCH(E16,'B2'!H:H,0),L16)</f>
        <v>15</v>
      </c>
      <c r="N16" s="9" t="e">
        <f t="shared" ca="1" si="7"/>
        <v>#N/A</v>
      </c>
      <c r="O16" s="9">
        <f ca="1">MATCH(E16,'B2'!H:H,0)</f>
        <v>15</v>
      </c>
      <c r="P16" s="9">
        <f ca="1">IF(ISERROR(O16),MATCH(H16,'B2'!K:K,0),O16)</f>
        <v>15</v>
      </c>
      <c r="Q16" s="9">
        <f ca="1">IF(ISERROR(P16),MATCH(I16,'B2'!L:L,0),P16)</f>
        <v>15</v>
      </c>
      <c r="R16" s="9">
        <f ca="1">IF(ISERROR(Q16),MATCH(J16,'B2'!M:M,0),Q16)</f>
        <v>15</v>
      </c>
      <c r="S16" s="9">
        <f t="shared" ca="1" si="8"/>
        <v>1</v>
      </c>
      <c r="T16" s="3">
        <f ca="1">OFFSET('B2'!$C$1,'B3'!M16-1,0)</f>
        <v>1.4384259259259259E-3</v>
      </c>
      <c r="U16" s="3">
        <f ca="1">OFFSET('B2'!$D$1,'B3'!R16-1,0)</f>
        <v>1.5476851851851851E-3</v>
      </c>
      <c r="V16" s="16">
        <f t="shared" ca="1" si="9"/>
        <v>1.5476851851851851E-3</v>
      </c>
      <c r="W16" s="4">
        <f t="shared" si="10"/>
        <v>50</v>
      </c>
      <c r="X16" s="5">
        <f t="shared" ca="1" si="11"/>
        <v>1.2027777777777779E-3</v>
      </c>
      <c r="Y16" s="5">
        <f t="shared" ca="1" si="12"/>
        <v>1.0925925925925925E-4</v>
      </c>
      <c r="Z16" s="6">
        <f t="shared" ca="1" si="13"/>
        <v>7.1064814814814819E-4</v>
      </c>
      <c r="AA16" s="12">
        <v>2.0570949074074077E-3</v>
      </c>
      <c r="AB16" s="13">
        <f t="shared" si="14"/>
        <v>8.7962962962962864E-5</v>
      </c>
      <c r="AC16" s="14" t="str">
        <f t="shared" ca="1" si="15"/>
        <v>-53.80</v>
      </c>
      <c r="AD16" s="10">
        <v>1.68</v>
      </c>
      <c r="AE16" s="3" t="b">
        <f t="shared" si="0"/>
        <v>0</v>
      </c>
      <c r="AG16" s="15"/>
    </row>
    <row r="17" spans="1:33" x14ac:dyDescent="0.3">
      <c r="A17" t="s">
        <v>738</v>
      </c>
      <c r="B17" s="2" t="str">
        <f t="shared" si="1"/>
        <v>同理，B7=¬L2=</v>
      </c>
      <c r="C17" s="2" t="str">
        <f t="shared" si="2"/>
        <v>同理，B</v>
      </c>
      <c r="D17" s="2" t="str">
        <f t="shared" si="3"/>
        <v>同理</v>
      </c>
      <c r="E17" s="2" t="str">
        <f t="shared" si="4"/>
        <v>L2的叠加状态是相同的。</v>
      </c>
      <c r="F17" s="2" t="str">
        <f t="shared" si="5"/>
        <v>是相同的。</v>
      </c>
      <c r="G17" s="2" t="str">
        <f t="shared" si="5"/>
        <v>是相同的。</v>
      </c>
      <c r="H17" s="2" t="str">
        <f t="shared" si="5"/>
        <v>是相同的。</v>
      </c>
      <c r="I17" s="2" t="str">
        <f t="shared" si="6"/>
        <v>同的。</v>
      </c>
      <c r="J17" s="9" t="e">
        <f ca="1">MATCH(B17,'B2'!E:E,0)</f>
        <v>#N/A</v>
      </c>
      <c r="K17" s="9">
        <f ca="1">IF(ISERROR(J17),MATCH(C17,'B2'!F:F,0),J17)</f>
        <v>16</v>
      </c>
      <c r="L17" s="9">
        <f ca="1">IF(ISERROR(K17),MATCH(D17,'B2'!G:G,0),K17)</f>
        <v>16</v>
      </c>
      <c r="M17" s="9">
        <f ca="1">IF(ISERROR(L17),MATCH(E17,'B2'!H:H,0),L17)</f>
        <v>16</v>
      </c>
      <c r="N17" s="9">
        <f t="shared" ca="1" si="7"/>
        <v>0</v>
      </c>
      <c r="O17" s="9">
        <f ca="1">MATCH(E17,'B2'!H:H,0)</f>
        <v>17</v>
      </c>
      <c r="P17" s="9">
        <f ca="1">IF(ISERROR(O17),MATCH(H17,'B2'!K:K,0),O17)</f>
        <v>17</v>
      </c>
      <c r="Q17" s="9">
        <f ca="1">IF(ISERROR(P17),MATCH(I17,'B2'!L:L,0),P17)</f>
        <v>17</v>
      </c>
      <c r="R17" s="9">
        <f ca="1">IF(ISERROR(Q17),MATCH(J17,'B2'!M:M,0),Q17)</f>
        <v>17</v>
      </c>
      <c r="S17" s="9">
        <f t="shared" ca="1" si="8"/>
        <v>1</v>
      </c>
      <c r="T17" s="3">
        <f ca="1">OFFSET('B2'!$C$1,'B3'!M17-1,0)</f>
        <v>1.5476851851851851E-3</v>
      </c>
      <c r="U17" s="3">
        <f ca="1">OFFSET('B2'!$D$1,'B3'!R17-1,0)</f>
        <v>1.6782407407407408E-3</v>
      </c>
      <c r="V17" s="16">
        <f t="shared" ca="1" si="9"/>
        <v>1.4233796296296297E-3</v>
      </c>
      <c r="W17" s="4">
        <f t="shared" si="10"/>
        <v>69</v>
      </c>
      <c r="X17" s="5">
        <f t="shared" ca="1" si="11"/>
        <v>0</v>
      </c>
      <c r="Y17" s="5">
        <f t="shared" ca="1" si="12"/>
        <v>1.3055555555555563E-4</v>
      </c>
      <c r="Z17" s="6">
        <f t="shared" ca="1" si="13"/>
        <v>-1.2430555555555545E-4</v>
      </c>
      <c r="AA17" s="12">
        <v>2.1450578703703705E-3</v>
      </c>
      <c r="AB17" s="13">
        <f t="shared" si="14"/>
        <v>1.0532407407407365E-4</v>
      </c>
      <c r="AC17" s="14" t="str">
        <f t="shared" ca="1" si="15"/>
        <v>19.84</v>
      </c>
      <c r="AD17" s="10">
        <v>0.92</v>
      </c>
      <c r="AE17" s="3" t="b">
        <f t="shared" si="0"/>
        <v>0</v>
      </c>
      <c r="AG17" s="15"/>
    </row>
    <row r="18" spans="1:33" x14ac:dyDescent="0.3">
      <c r="A18" t="s">
        <v>739</v>
      </c>
      <c r="B18" s="2" t="str">
        <f t="shared" si="1"/>
        <v>这里，我们将第一个按</v>
      </c>
      <c r="C18" s="2" t="str">
        <f t="shared" si="2"/>
        <v>这里，我</v>
      </c>
      <c r="D18" s="2" t="str">
        <f t="shared" si="3"/>
        <v>这里</v>
      </c>
      <c r="E18" s="2" t="str">
        <f t="shared" si="4"/>
        <v>钮叠加时，有B1=B1。</v>
      </c>
      <c r="F18" s="2" t="str">
        <f t="shared" si="5"/>
        <v>1=B1。</v>
      </c>
      <c r="G18" s="2" t="str">
        <f t="shared" si="5"/>
        <v>1=B1。</v>
      </c>
      <c r="H18" s="2" t="str">
        <f t="shared" si="5"/>
        <v>1=B1。</v>
      </c>
      <c r="I18" s="2" t="str">
        <f t="shared" si="6"/>
        <v>B1。</v>
      </c>
      <c r="J18" s="9" t="e">
        <f ca="1">MATCH(B18,'B2'!E:E,0)</f>
        <v>#N/A</v>
      </c>
      <c r="K18" s="9" t="e">
        <f ca="1">IF(ISERROR(J18),MATCH(C18,'B2'!F:F,0),J18)</f>
        <v>#N/A</v>
      </c>
      <c r="L18" s="9">
        <f ca="1">IF(ISERROR(K18),MATCH(D18,'B2'!G:G,0),K18)</f>
        <v>12</v>
      </c>
      <c r="M18" s="9">
        <f ca="1">IF(ISERROR(L18),MATCH(E18,'B2'!H:H,0),L18)</f>
        <v>12</v>
      </c>
      <c r="N18" s="9">
        <f t="shared" ca="1" si="7"/>
        <v>0</v>
      </c>
      <c r="O18" s="9" t="e">
        <f ca="1">MATCH(E18,'B2'!H:H,0)</f>
        <v>#N/A</v>
      </c>
      <c r="P18" s="9" t="e">
        <f ca="1">IF(ISERROR(O18),MATCH(H18,'B2'!K:K,0),O18)</f>
        <v>#N/A</v>
      </c>
      <c r="Q18" s="9">
        <f ca="1">IF(ISERROR(P18),MATCH(I18,'B2'!L:L,0),P18)</f>
        <v>18</v>
      </c>
      <c r="R18" s="9">
        <f ca="1">IF(ISERROR(Q18),MATCH(J18,'B2'!M:M,0),Q18)</f>
        <v>18</v>
      </c>
      <c r="S18" s="9" t="e">
        <f t="shared" ca="1" si="8"/>
        <v>#N/A</v>
      </c>
      <c r="T18" s="3">
        <f ca="1">OFFSET('B2'!$C$1,'B3'!M18-1,0)</f>
        <v>1.1685185185185186E-3</v>
      </c>
      <c r="U18" s="3">
        <f ca="1">OFFSET('B2'!$D$1,'B3'!R18-1,0)</f>
        <v>1.7518518518518521E-3</v>
      </c>
      <c r="V18" s="16">
        <f t="shared" ca="1" si="9"/>
        <v>1.7523148148148151E-3</v>
      </c>
      <c r="W18" s="4">
        <f t="shared" si="10"/>
        <v>40</v>
      </c>
      <c r="X18" s="5">
        <f t="shared" ca="1" si="11"/>
        <v>-5.0972222222222217E-4</v>
      </c>
      <c r="Y18" s="5">
        <f t="shared" ca="1" si="12"/>
        <v>5.8333333333333349E-4</v>
      </c>
      <c r="Z18" s="6">
        <f t="shared" ca="1" si="13"/>
        <v>3.2893518518518525E-4</v>
      </c>
      <c r="AA18" s="12">
        <v>2.2503819444444442E-3</v>
      </c>
      <c r="AB18" s="13">
        <f t="shared" si="14"/>
        <v>1.3425925925925975E-4</v>
      </c>
      <c r="AC18" s="14" t="str">
        <f t="shared" ca="1" si="15"/>
        <v>-16.82</v>
      </c>
      <c r="AD18" s="10">
        <v>2.98</v>
      </c>
      <c r="AE18" s="3" t="b">
        <f t="shared" si="0"/>
        <v>0</v>
      </c>
      <c r="AG18" s="15"/>
    </row>
    <row r="19" spans="1:33" x14ac:dyDescent="0.3">
      <c r="A19" t="s">
        <v>740</v>
      </c>
      <c r="B19" s="2" t="str">
        <f t="shared" si="1"/>
        <v>接下来我们来看第六个</v>
      </c>
      <c r="C19" s="2" t="str">
        <f t="shared" si="2"/>
        <v>接下来我</v>
      </c>
      <c r="D19" s="2" t="str">
        <f t="shared" si="3"/>
        <v>接下</v>
      </c>
      <c r="E19" s="2" t="str">
        <f t="shared" si="4"/>
        <v>2⊕B3)=B1⊕B3。</v>
      </c>
      <c r="F19" s="2" t="str">
        <f t="shared" si="5"/>
        <v>1⊕B3。</v>
      </c>
      <c r="G19" s="2" t="str">
        <f t="shared" si="5"/>
        <v>1⊕B3。</v>
      </c>
      <c r="H19" s="2" t="str">
        <f t="shared" si="5"/>
        <v>1⊕B3。</v>
      </c>
      <c r="I19" s="2" t="str">
        <f t="shared" si="6"/>
        <v>B3。</v>
      </c>
      <c r="J19" s="9">
        <f ca="1">MATCH(B19,'B2'!E:E,0)</f>
        <v>19</v>
      </c>
      <c r="K19" s="9">
        <f ca="1">IF(ISERROR(J19),MATCH(C19,'B2'!F:F,0),J19)</f>
        <v>19</v>
      </c>
      <c r="L19" s="9">
        <f ca="1">IF(ISERROR(K19),MATCH(D19,'B2'!G:G,0),K19)</f>
        <v>19</v>
      </c>
      <c r="M19" s="9">
        <f ca="1">IF(ISERROR(L19),MATCH(E19,'B2'!H:H,0),L19)</f>
        <v>19</v>
      </c>
      <c r="N19" s="9" t="e">
        <f t="shared" ca="1" si="7"/>
        <v>#N/A</v>
      </c>
      <c r="O19" s="9" t="e">
        <f ca="1">MATCH(E19,'B2'!H:H,0)</f>
        <v>#N/A</v>
      </c>
      <c r="P19" s="9" t="e">
        <f ca="1">IF(ISERROR(O19),MATCH(H19,'B2'!K:K,0),O19)</f>
        <v>#N/A</v>
      </c>
      <c r="Q19" s="9" t="e">
        <f ca="1">IF(ISERROR(P19),MATCH(I19,'B2'!L:L,0),P19)</f>
        <v>#N/A</v>
      </c>
      <c r="R19" s="9" t="e">
        <f ca="1">IF(ISERROR(Q19),MATCH(J19,'B2'!M:M,0),Q19)</f>
        <v>#N/A</v>
      </c>
      <c r="S19" s="9" t="e">
        <f t="shared" ca="1" si="8"/>
        <v>#N/A</v>
      </c>
      <c r="T19" s="3">
        <f ca="1">OFFSET('B2'!$C$1,'B3'!M19-1,0)</f>
        <v>1.7527777777777778E-3</v>
      </c>
      <c r="U19" s="3" t="e">
        <f ca="1">OFFSET('B2'!$D$1,'B3'!R19-1,0)</f>
        <v>#N/A</v>
      </c>
      <c r="V19" s="16" t="e">
        <f t="shared" ca="1" si="9"/>
        <v>#N/A</v>
      </c>
      <c r="W19" s="4">
        <f t="shared" si="10"/>
        <v>54</v>
      </c>
      <c r="X19" s="5">
        <f t="shared" ca="1" si="11"/>
        <v>9.2592592592570348E-7</v>
      </c>
      <c r="Y19" s="5" t="e">
        <f t="shared" ca="1" si="12"/>
        <v>#N/A</v>
      </c>
      <c r="Z19" s="6" t="e">
        <f t="shared" ca="1" si="13"/>
        <v>#N/A</v>
      </c>
      <c r="AA19" s="12">
        <v>2.3846412037037039E-3</v>
      </c>
      <c r="AB19" s="13">
        <f t="shared" si="14"/>
        <v>5.6712962962962837E-5</v>
      </c>
      <c r="AC19" s="14" t="e">
        <f t="shared" ca="1" si="15"/>
        <v>#N/A</v>
      </c>
      <c r="AD19" s="10">
        <v>1.96</v>
      </c>
      <c r="AE19" s="3" t="b">
        <f t="shared" si="0"/>
        <v>0</v>
      </c>
      <c r="AG19" s="15"/>
    </row>
    <row r="20" spans="1:33" x14ac:dyDescent="0.3">
      <c r="A20" t="s">
        <v>741</v>
      </c>
      <c r="B20" s="2" t="str">
        <f t="shared" si="1"/>
        <v>又比如，L7=B2⊕</v>
      </c>
      <c r="C20" s="2" t="str">
        <f t="shared" si="2"/>
        <v>又比如，</v>
      </c>
      <c r="D20" s="2" t="str">
        <f t="shared" si="3"/>
        <v>又比</v>
      </c>
      <c r="E20" s="2" t="str">
        <f t="shared" si="4"/>
        <v>⊕B3⊕B4)=¬B4。</v>
      </c>
      <c r="F20" s="2" t="str">
        <f t="shared" si="5"/>
        <v>=¬B4。</v>
      </c>
      <c r="G20" s="2" t="str">
        <f t="shared" si="5"/>
        <v>=¬B4。</v>
      </c>
      <c r="H20" s="2" t="str">
        <f t="shared" si="5"/>
        <v>=¬B4。</v>
      </c>
      <c r="I20" s="2" t="str">
        <f t="shared" si="6"/>
        <v>B4。</v>
      </c>
      <c r="J20" s="9" t="e">
        <f ca="1">MATCH(B20,'B2'!E:E,0)</f>
        <v>#N/A</v>
      </c>
      <c r="K20" s="9" t="e">
        <f ca="1">IF(ISERROR(J20),MATCH(C20,'B2'!F:F,0),J20)</f>
        <v>#N/A</v>
      </c>
      <c r="L20" s="9" t="e">
        <f ca="1">IF(ISERROR(K20),MATCH(D20,'B2'!G:G,0),K20)</f>
        <v>#N/A</v>
      </c>
      <c r="M20" s="9" t="e">
        <f ca="1">IF(ISERROR(L20),MATCH(E20,'B2'!H:H,0),L20)</f>
        <v>#N/A</v>
      </c>
      <c r="N20" s="9" t="e">
        <f t="shared" ca="1" si="7"/>
        <v>#N/A</v>
      </c>
      <c r="O20" s="9" t="e">
        <f ca="1">MATCH(E20,'B2'!H:H,0)</f>
        <v>#N/A</v>
      </c>
      <c r="P20" s="9" t="e">
        <f ca="1">IF(ISERROR(O20),MATCH(H20,'B2'!K:K,0),O20)</f>
        <v>#N/A</v>
      </c>
      <c r="Q20" s="9">
        <f ca="1">IF(ISERROR(P20),MATCH(I20,'B2'!L:L,0),P20)</f>
        <v>20</v>
      </c>
      <c r="R20" s="9">
        <f ca="1">IF(ISERROR(Q20),MATCH(J20,'B2'!M:M,0),Q20)</f>
        <v>20</v>
      </c>
      <c r="S20" s="9" t="e">
        <f t="shared" ca="1" si="8"/>
        <v>#N/A</v>
      </c>
      <c r="T20" s="3" t="e">
        <f ca="1">OFFSET('B2'!$C$1,'B3'!M20-1,0)</f>
        <v>#N/A</v>
      </c>
      <c r="U20" s="3">
        <f ca="1">OFFSET('B2'!$D$1,'B3'!R20-1,0)</f>
        <v>1.8606481481481479E-3</v>
      </c>
      <c r="V20" s="16">
        <f t="shared" ca="1" si="9"/>
        <v>1.8606481481481479E-3</v>
      </c>
      <c r="W20" s="4">
        <f t="shared" si="10"/>
        <v>59</v>
      </c>
      <c r="X20" s="5" t="e">
        <f t="shared" ca="1" si="11"/>
        <v>#N/A</v>
      </c>
      <c r="Y20" s="5" t="e">
        <f t="shared" ca="1" si="12"/>
        <v>#N/A</v>
      </c>
      <c r="Z20" s="6" t="e">
        <f t="shared" ca="1" si="13"/>
        <v>#N/A</v>
      </c>
      <c r="AA20" s="12">
        <v>2.4413541666666668E-3</v>
      </c>
      <c r="AB20" s="13">
        <f t="shared" si="14"/>
        <v>8.2175925925926079E-5</v>
      </c>
      <c r="AC20" s="14" t="e">
        <f t="shared" ca="1" si="15"/>
        <v>#N/A</v>
      </c>
      <c r="AD20" s="10">
        <v>0.62</v>
      </c>
      <c r="AE20" s="3" t="b">
        <f t="shared" si="0"/>
        <v>0</v>
      </c>
      <c r="AG20" s="15"/>
    </row>
    <row r="21" spans="1:33" x14ac:dyDescent="0.3">
      <c r="A21" t="s">
        <v>742</v>
      </c>
      <c r="B21" s="2" t="str">
        <f t="shared" si="1"/>
        <v>这样不断递推，我们可</v>
      </c>
      <c r="C21" s="2" t="str">
        <f t="shared" si="2"/>
        <v>这样不断</v>
      </c>
      <c r="D21" s="2" t="str">
        <f t="shared" si="3"/>
        <v>这样</v>
      </c>
      <c r="E21" s="2" t="str">
        <f t="shared" si="4"/>
        <v>翻转后，得到完整的矩阵。</v>
      </c>
      <c r="F21" s="2" t="str">
        <f t="shared" si="5"/>
        <v>整的矩阵。</v>
      </c>
      <c r="G21" s="2" t="str">
        <f t="shared" si="5"/>
        <v>整的矩阵。</v>
      </c>
      <c r="H21" s="2" t="str">
        <f t="shared" si="5"/>
        <v>整的矩阵。</v>
      </c>
      <c r="I21" s="2" t="str">
        <f t="shared" si="6"/>
        <v>矩阵。</v>
      </c>
      <c r="J21" s="9">
        <f ca="1">MATCH(B21,'B2'!E:E,0)</f>
        <v>21</v>
      </c>
      <c r="K21" s="9">
        <f ca="1">IF(ISERROR(J21),MATCH(C21,'B2'!F:F,0),J21)</f>
        <v>21</v>
      </c>
      <c r="L21" s="9">
        <f ca="1">IF(ISERROR(K21),MATCH(D21,'B2'!G:G,0),K21)</f>
        <v>21</v>
      </c>
      <c r="M21" s="9">
        <f ca="1">IF(ISERROR(L21),MATCH(E21,'B2'!H:H,0),L21)</f>
        <v>21</v>
      </c>
      <c r="N21" s="9" t="e">
        <f t="shared" ca="1" si="7"/>
        <v>#N/A</v>
      </c>
      <c r="O21" s="9" t="e">
        <f ca="1">MATCH(E21,'B2'!H:H,0)</f>
        <v>#N/A</v>
      </c>
      <c r="P21" s="9">
        <f ca="1">IF(ISERROR(O21),MATCH(H21,'B2'!K:K,0),O21)</f>
        <v>21</v>
      </c>
      <c r="Q21" s="9">
        <f ca="1">IF(ISERROR(P21),MATCH(I21,'B2'!L:L,0),P21)</f>
        <v>21</v>
      </c>
      <c r="R21" s="9">
        <f ca="1">IF(ISERROR(Q21),MATCH(J21,'B2'!M:M,0),Q21)</f>
        <v>21</v>
      </c>
      <c r="S21" s="9">
        <f t="shared" ca="1" si="8"/>
        <v>1</v>
      </c>
      <c r="T21" s="3">
        <f ca="1">OFFSET('B2'!$C$1,'B3'!M21-1,0)</f>
        <v>1.8606481481481479E-3</v>
      </c>
      <c r="U21" s="3">
        <f ca="1">OFFSET('B2'!$D$1,'B3'!R21-1,0)</f>
        <v>1.9462962962962962E-3</v>
      </c>
      <c r="V21" s="16">
        <f t="shared" ca="1" si="9"/>
        <v>1.9462962962962962E-3</v>
      </c>
      <c r="W21" s="4">
        <f t="shared" si="10"/>
        <v>41</v>
      </c>
      <c r="X21" s="5">
        <f t="shared" ca="1" si="11"/>
        <v>0</v>
      </c>
      <c r="Y21" s="5">
        <f t="shared" ca="1" si="12"/>
        <v>8.564814814814828E-5</v>
      </c>
      <c r="Z21" s="6">
        <f t="shared" ca="1" si="13"/>
        <v>8.564814814814828E-5</v>
      </c>
      <c r="AA21" s="12">
        <v>2.5235300925925928E-3</v>
      </c>
      <c r="AB21" s="13">
        <f t="shared" si="14"/>
        <v>9.2592592592592466E-5</v>
      </c>
      <c r="AC21" s="14" t="str">
        <f t="shared" ca="1" si="15"/>
        <v>0.60</v>
      </c>
      <c r="AD21" s="10">
        <v>2.2400000000000002</v>
      </c>
      <c r="AE21" s="3" t="b">
        <f t="shared" si="0"/>
        <v>0</v>
      </c>
      <c r="AG21" s="15"/>
    </row>
    <row r="22" spans="1:33" x14ac:dyDescent="0.3">
      <c r="A22" t="s">
        <v>743</v>
      </c>
      <c r="B22" s="2" t="str">
        <f t="shared" si="1"/>
        <v>现在，如果我们把序号</v>
      </c>
      <c r="C22" s="2" t="str">
        <f t="shared" si="2"/>
        <v>现在，如</v>
      </c>
      <c r="D22" s="2" t="str">
        <f t="shared" si="3"/>
        <v>现在</v>
      </c>
      <c r="E22" s="2" t="str">
        <f t="shared" si="4"/>
        <v>=L(2,2,2)为例。</v>
      </c>
      <c r="F22" s="2" t="str">
        <f t="shared" si="5"/>
        <v>2)为例。</v>
      </c>
      <c r="G22" s="2" t="str">
        <f t="shared" si="5"/>
        <v>2)为例。</v>
      </c>
      <c r="H22" s="2" t="str">
        <f t="shared" si="5"/>
        <v>2)为例。</v>
      </c>
      <c r="I22" s="2" t="str">
        <f t="shared" si="6"/>
        <v>为例。</v>
      </c>
      <c r="J22" s="9" t="e">
        <f ca="1">MATCH(B22,'B2'!E:E,0)</f>
        <v>#N/A</v>
      </c>
      <c r="K22" s="9" t="e">
        <f ca="1">IF(ISERROR(J22),MATCH(C22,'B2'!F:F,0),J22)</f>
        <v>#N/A</v>
      </c>
      <c r="L22" s="9">
        <f ca="1">IF(ISERROR(K22),MATCH(D22,'B2'!G:G,0),K22)</f>
        <v>22</v>
      </c>
      <c r="M22" s="9">
        <f ca="1">IF(ISERROR(L22),MATCH(E22,'B2'!H:H,0),L22)</f>
        <v>22</v>
      </c>
      <c r="N22" s="9">
        <f t="shared" ca="1" si="7"/>
        <v>0</v>
      </c>
      <c r="O22" s="9" t="e">
        <f ca="1">MATCH(E22,'B2'!H:H,0)</f>
        <v>#N/A</v>
      </c>
      <c r="P22" s="9" t="e">
        <f ca="1">IF(ISERROR(O22),MATCH(H22,'B2'!K:K,0),O22)</f>
        <v>#N/A</v>
      </c>
      <c r="Q22" s="9">
        <f ca="1">IF(ISERROR(P22),MATCH(I22,'B2'!L:L,0),P22)</f>
        <v>59</v>
      </c>
      <c r="R22" s="9">
        <f ca="1">IF(ISERROR(Q22),MATCH(J22,'B2'!M:M,0),Q22)</f>
        <v>59</v>
      </c>
      <c r="S22" s="9" t="e">
        <f t="shared" ca="1" si="8"/>
        <v>#N/A</v>
      </c>
      <c r="T22" s="3">
        <f ca="1">OFFSET('B2'!$C$1,'B3'!M22-1,0)</f>
        <v>1.9462962962962962E-3</v>
      </c>
      <c r="U22" s="3">
        <f ca="1">OFFSET('B2'!$D$1,'B3'!R22-1,0)</f>
        <v>5.6488425925925925E-3</v>
      </c>
      <c r="V22" s="16">
        <f t="shared" ca="1" si="9"/>
        <v>3.4086805555555554E-3</v>
      </c>
      <c r="W22" s="4">
        <f t="shared" si="10"/>
        <v>57</v>
      </c>
      <c r="X22" s="5">
        <f t="shared" ca="1" si="11"/>
        <v>0</v>
      </c>
      <c r="Y22" s="5">
        <f t="shared" ca="1" si="12"/>
        <v>3.7025462962962962E-3</v>
      </c>
      <c r="Z22" s="6">
        <f t="shared" ca="1" si="13"/>
        <v>1.4623842592592592E-3</v>
      </c>
      <c r="AA22" s="12">
        <v>2.6161226851851853E-3</v>
      </c>
      <c r="AB22" s="13">
        <f t="shared" si="14"/>
        <v>1.354166666666665E-4</v>
      </c>
      <c r="AC22" s="14" t="str">
        <f t="shared" ca="1" si="15"/>
        <v>-54.65</v>
      </c>
      <c r="AD22" s="10">
        <v>1.82</v>
      </c>
      <c r="AE22" s="3" t="b">
        <f t="shared" si="0"/>
        <v>0</v>
      </c>
      <c r="AG22" s="15"/>
    </row>
    <row r="23" spans="1:33" x14ac:dyDescent="0.3">
      <c r="A23" t="s">
        <v>744</v>
      </c>
      <c r="B23" s="2" t="str">
        <f t="shared" si="1"/>
        <v>这里，我们的矩阵同时</v>
      </c>
      <c r="C23" s="2" t="str">
        <f t="shared" si="2"/>
        <v>这里，我</v>
      </c>
      <c r="D23" s="2" t="str">
        <f t="shared" si="3"/>
        <v>这里</v>
      </c>
      <c r="E23" s="2" t="str">
        <f t="shared" si="4"/>
        <v>们称之为十字偶校验约束。</v>
      </c>
      <c r="F23" s="2" t="str">
        <f t="shared" si="5"/>
        <v>校验约束。</v>
      </c>
      <c r="G23" s="2" t="str">
        <f t="shared" si="5"/>
        <v>校验约束。</v>
      </c>
      <c r="H23" s="2" t="str">
        <f t="shared" si="5"/>
        <v>校验约束。</v>
      </c>
      <c r="I23" s="2" t="str">
        <f t="shared" si="6"/>
        <v>约束。</v>
      </c>
      <c r="J23" s="9" t="e">
        <f ca="1">MATCH(B23,'B2'!E:E,0)</f>
        <v>#N/A</v>
      </c>
      <c r="K23" s="9" t="e">
        <f ca="1">IF(ISERROR(J23),MATCH(C23,'B2'!F:F,0),J23)</f>
        <v>#N/A</v>
      </c>
      <c r="L23" s="9">
        <f ca="1">IF(ISERROR(K23),MATCH(D23,'B2'!G:G,0),K23)</f>
        <v>12</v>
      </c>
      <c r="M23" s="9">
        <f ca="1">IF(ISERROR(L23),MATCH(E23,'B2'!H:H,0),L23)</f>
        <v>12</v>
      </c>
      <c r="N23" s="9" t="e">
        <f t="shared" ca="1" si="7"/>
        <v>#N/A</v>
      </c>
      <c r="O23" s="9" t="e">
        <f ca="1">MATCH(E23,'B2'!H:H,0)</f>
        <v>#N/A</v>
      </c>
      <c r="P23" s="9" t="e">
        <f ca="1">IF(ISERROR(O23),MATCH(H23,'B2'!K:K,0),O23)</f>
        <v>#N/A</v>
      </c>
      <c r="Q23" s="9" t="e">
        <f ca="1">IF(ISERROR(P23),MATCH(I23,'B2'!L:L,0),P23)</f>
        <v>#N/A</v>
      </c>
      <c r="R23" s="9" t="e">
        <f ca="1">IF(ISERROR(Q23),MATCH(J23,'B2'!M:M,0),Q23)</f>
        <v>#N/A</v>
      </c>
      <c r="S23" s="9" t="e">
        <f t="shared" ca="1" si="8"/>
        <v>#N/A</v>
      </c>
      <c r="T23" s="3">
        <f ca="1">OFFSET('B2'!$C$1,'B3'!M23-1,0)</f>
        <v>1.1685185185185186E-3</v>
      </c>
      <c r="U23" s="3" t="e">
        <f ca="1">OFFSET('B2'!$D$1,'B3'!R23-1,0)</f>
        <v>#N/A</v>
      </c>
      <c r="V23" s="16" t="e">
        <f t="shared" ca="1" si="9"/>
        <v>#N/A</v>
      </c>
      <c r="W23" s="4">
        <f t="shared" si="10"/>
        <v>32</v>
      </c>
      <c r="X23" s="5">
        <f t="shared" ca="1" si="11"/>
        <v>-4.4803240740740741E-3</v>
      </c>
      <c r="Y23" s="5" t="e">
        <f t="shared" ca="1" si="12"/>
        <v>#N/A</v>
      </c>
      <c r="Z23" s="6" t="e">
        <f t="shared" ca="1" si="13"/>
        <v>#N/A</v>
      </c>
      <c r="AA23" s="12">
        <v>2.7515393518518518E-3</v>
      </c>
      <c r="AB23" s="13">
        <f t="shared" si="14"/>
        <v>1.5239583333333338E-4</v>
      </c>
      <c r="AC23" s="14" t="e">
        <f t="shared" ca="1" si="15"/>
        <v>#N/A</v>
      </c>
      <c r="AD23" s="10">
        <v>1.79</v>
      </c>
      <c r="AE23" s="3" t="b">
        <f t="shared" si="0"/>
        <v>0</v>
      </c>
      <c r="AG23" s="15"/>
    </row>
    <row r="24" spans="1:33" x14ac:dyDescent="0.3">
      <c r="A24" t="s">
        <v>745</v>
      </c>
      <c r="B24" s="2" t="str">
        <f t="shared" si="1"/>
        <v>某个元素的左右两个矩</v>
      </c>
      <c r="C24" s="2" t="str">
        <f t="shared" si="2"/>
        <v>某个元素</v>
      </c>
      <c r="D24" s="2" t="str">
        <f t="shared" si="3"/>
        <v>某个</v>
      </c>
      <c r="E24" s="2" t="str">
        <f t="shared" si="4"/>
        <v>右两个元素的叠加后为零。</v>
      </c>
      <c r="F24" s="2" t="str">
        <f t="shared" si="5"/>
        <v>加后为零。</v>
      </c>
      <c r="G24" s="2" t="str">
        <f t="shared" si="5"/>
        <v>加后为零。</v>
      </c>
      <c r="H24" s="2" t="str">
        <f t="shared" si="5"/>
        <v>加后为零。</v>
      </c>
      <c r="I24" s="2" t="str">
        <f t="shared" si="6"/>
        <v>为零。</v>
      </c>
      <c r="J24" s="9" t="e">
        <f ca="1">MATCH(B24,'B2'!E:E,0)</f>
        <v>#N/A</v>
      </c>
      <c r="K24" s="9" t="e">
        <f ca="1">IF(ISERROR(J24),MATCH(C24,'B2'!F:F,0),J24)</f>
        <v>#N/A</v>
      </c>
      <c r="L24" s="9" t="e">
        <f ca="1">IF(ISERROR(K24),MATCH(D24,'B2'!G:G,0),K24)</f>
        <v>#N/A</v>
      </c>
      <c r="M24" s="9" t="e">
        <f ca="1">IF(ISERROR(L24),MATCH(E24,'B2'!H:H,0),L24)</f>
        <v>#N/A</v>
      </c>
      <c r="N24" s="9" t="e">
        <f t="shared" ca="1" si="7"/>
        <v>#N/A</v>
      </c>
      <c r="O24" s="9" t="e">
        <f ca="1">MATCH(E24,'B2'!H:H,0)</f>
        <v>#N/A</v>
      </c>
      <c r="P24" s="9" t="e">
        <f ca="1">IF(ISERROR(O24),MATCH(H24,'B2'!K:K,0),O24)</f>
        <v>#N/A</v>
      </c>
      <c r="Q24" s="9" t="e">
        <f ca="1">IF(ISERROR(P24),MATCH(I24,'B2'!L:L,0),P24)</f>
        <v>#N/A</v>
      </c>
      <c r="R24" s="9" t="e">
        <f ca="1">IF(ISERROR(Q24),MATCH(J24,'B2'!M:M,0),Q24)</f>
        <v>#N/A</v>
      </c>
      <c r="S24" s="9" t="e">
        <f t="shared" ca="1" si="8"/>
        <v>#N/A</v>
      </c>
      <c r="T24" s="3" t="e">
        <f ca="1">OFFSET('B2'!$C$1,'B3'!M24-1,0)</f>
        <v>#N/A</v>
      </c>
      <c r="U24" s="3" t="e">
        <f ca="1">OFFSET('B2'!$D$1,'B3'!R24-1,0)</f>
        <v>#N/A</v>
      </c>
      <c r="V24" s="16" t="e">
        <f t="shared" ca="1" si="9"/>
        <v>#N/A</v>
      </c>
      <c r="W24" s="4">
        <f t="shared" si="10"/>
        <v>40</v>
      </c>
      <c r="X24" s="5" t="e">
        <f t="shared" ca="1" si="11"/>
        <v>#N/A</v>
      </c>
      <c r="Y24" s="5" t="e">
        <f t="shared" ca="1" si="12"/>
        <v>#N/A</v>
      </c>
      <c r="Z24" s="6" t="e">
        <f t="shared" ca="1" si="13"/>
        <v>#N/A</v>
      </c>
      <c r="AA24" s="12">
        <v>2.9039351851851852E-3</v>
      </c>
      <c r="AB24" s="13">
        <f t="shared" si="14"/>
        <v>1.1265046296296283E-4</v>
      </c>
      <c r="AC24" s="14" t="e">
        <f t="shared" ca="1" si="15"/>
        <v>#N/A</v>
      </c>
      <c r="AD24" s="10">
        <v>3.45</v>
      </c>
      <c r="AE24" s="3" t="b">
        <f t="shared" si="0"/>
        <v>0</v>
      </c>
      <c r="AG24" s="15"/>
    </row>
    <row r="25" spans="1:33" x14ac:dyDescent="0.3">
      <c r="A25" t="s">
        <v>746</v>
      </c>
      <c r="B25" s="2" t="str">
        <f t="shared" si="1"/>
        <v>这也就是上集视频中《</v>
      </c>
      <c r="C25" s="2" t="str">
        <f t="shared" si="2"/>
        <v>这也就是</v>
      </c>
      <c r="D25" s="2" t="str">
        <f t="shared" si="3"/>
        <v>这也</v>
      </c>
      <c r="E25" s="2" t="str">
        <f t="shared" si="4"/>
        <v>的性质，之后会给出证明。</v>
      </c>
      <c r="F25" s="2" t="str">
        <f t="shared" si="5"/>
        <v>给出证明。</v>
      </c>
      <c r="G25" s="2" t="str">
        <f t="shared" si="5"/>
        <v>给出证明。</v>
      </c>
      <c r="H25" s="2" t="str">
        <f t="shared" si="5"/>
        <v>给出证明。</v>
      </c>
      <c r="I25" s="2" t="str">
        <f t="shared" si="6"/>
        <v>证明。</v>
      </c>
      <c r="J25" s="9" t="e">
        <f ca="1">MATCH(B25,'B2'!E:E,0)</f>
        <v>#N/A</v>
      </c>
      <c r="K25" s="9" t="e">
        <f ca="1">IF(ISERROR(J25),MATCH(C25,'B2'!F:F,0),J25)</f>
        <v>#N/A</v>
      </c>
      <c r="L25" s="9" t="e">
        <f ca="1">IF(ISERROR(K25),MATCH(D25,'B2'!G:G,0),K25)</f>
        <v>#N/A</v>
      </c>
      <c r="M25" s="9" t="e">
        <f ca="1">IF(ISERROR(L25),MATCH(E25,'B2'!H:H,0),L25)</f>
        <v>#N/A</v>
      </c>
      <c r="N25" s="9" t="e">
        <f t="shared" ca="1" si="7"/>
        <v>#N/A</v>
      </c>
      <c r="O25" s="9" t="e">
        <f ca="1">MATCH(E25,'B2'!H:H,0)</f>
        <v>#N/A</v>
      </c>
      <c r="P25" s="9" t="e">
        <f ca="1">IF(ISERROR(O25),MATCH(H25,'B2'!K:K,0),O25)</f>
        <v>#N/A</v>
      </c>
      <c r="Q25" s="9">
        <f ca="1">IF(ISERROR(P25),MATCH(I25,'B2'!L:L,0),P25)</f>
        <v>37</v>
      </c>
      <c r="R25" s="9">
        <f ca="1">IF(ISERROR(Q25),MATCH(J25,'B2'!M:M,0),Q25)</f>
        <v>37</v>
      </c>
      <c r="S25" s="9" t="e">
        <f t="shared" ca="1" si="8"/>
        <v>#N/A</v>
      </c>
      <c r="T25" s="3" t="e">
        <f ca="1">OFFSET('B2'!$C$1,'B3'!M25-1,0)</f>
        <v>#N/A</v>
      </c>
      <c r="U25" s="3">
        <f ca="1">OFFSET('B2'!$D$1,'B3'!R25-1,0)</f>
        <v>4.1199074074074072E-3</v>
      </c>
      <c r="V25" s="16">
        <f t="shared" ca="1" si="9"/>
        <v>3.9687500000000001E-3</v>
      </c>
      <c r="W25" s="4">
        <f t="shared" si="10"/>
        <v>32</v>
      </c>
      <c r="X25" s="5" t="e">
        <f t="shared" ca="1" si="11"/>
        <v>#N/A</v>
      </c>
      <c r="Y25" s="5" t="e">
        <f t="shared" ca="1" si="12"/>
        <v>#N/A</v>
      </c>
      <c r="Z25" s="6" t="e">
        <f t="shared" ca="1" si="13"/>
        <v>#N/A</v>
      </c>
      <c r="AA25" s="12">
        <v>3.016585648148148E-3</v>
      </c>
      <c r="AB25" s="13">
        <f t="shared" si="14"/>
        <v>1.0416666666666647E-4</v>
      </c>
      <c r="AC25" s="14" t="e">
        <f t="shared" ca="1" si="15"/>
        <v>#N/A</v>
      </c>
      <c r="AD25" s="10">
        <v>1.82</v>
      </c>
      <c r="AE25" s="3" t="b">
        <f t="shared" si="0"/>
        <v>0</v>
      </c>
      <c r="AG25" s="15"/>
    </row>
    <row r="26" spans="1:33" x14ac:dyDescent="0.3">
      <c r="A26" t="s">
        <v>747</v>
      </c>
      <c r="B26" s="2" t="str">
        <f t="shared" si="1"/>
        <v>通过这个性质，递推公</v>
      </c>
      <c r="C26" s="2" t="str">
        <f t="shared" si="2"/>
        <v>通过这个</v>
      </c>
      <c r="D26" s="2" t="str">
        <f t="shared" si="3"/>
        <v>通过</v>
      </c>
      <c r="E26" s="2" t="str">
        <f t="shared" si="4"/>
        <v>加，无需依赖于左右矩阵。</v>
      </c>
      <c r="F26" s="2" t="str">
        <f t="shared" si="5"/>
        <v>左右矩阵。</v>
      </c>
      <c r="G26" s="2" t="str">
        <f t="shared" si="5"/>
        <v>左右矩阵。</v>
      </c>
      <c r="H26" s="2" t="str">
        <f t="shared" si="5"/>
        <v>左右矩阵。</v>
      </c>
      <c r="I26" s="2" t="str">
        <f t="shared" si="6"/>
        <v>矩阵。</v>
      </c>
      <c r="J26" s="9" t="e">
        <f ca="1">MATCH(B26,'B2'!E:E,0)</f>
        <v>#N/A</v>
      </c>
      <c r="K26" s="9">
        <f ca="1">IF(ISERROR(J26),MATCH(C26,'B2'!F:F,0),J26)</f>
        <v>33</v>
      </c>
      <c r="L26" s="9">
        <f ca="1">IF(ISERROR(K26),MATCH(D26,'B2'!G:G,0),K26)</f>
        <v>33</v>
      </c>
      <c r="M26" s="9">
        <f ca="1">IF(ISERROR(L26),MATCH(E26,'B2'!H:H,0),L26)</f>
        <v>33</v>
      </c>
      <c r="N26" s="9" t="e">
        <f t="shared" ca="1" si="7"/>
        <v>#N/A</v>
      </c>
      <c r="O26" s="9" t="e">
        <f ca="1">MATCH(E26,'B2'!H:H,0)</f>
        <v>#N/A</v>
      </c>
      <c r="P26" s="9" t="e">
        <f ca="1">IF(ISERROR(O26),MATCH(H26,'B2'!K:K,0),O26)</f>
        <v>#N/A</v>
      </c>
      <c r="Q26" s="9">
        <f ca="1">IF(ISERROR(P26),MATCH(I26,'B2'!L:L,0),P26)</f>
        <v>21</v>
      </c>
      <c r="R26" s="9">
        <f ca="1">IF(ISERROR(Q26),MATCH(J26,'B2'!M:M,0),Q26)</f>
        <v>21</v>
      </c>
      <c r="S26" s="9">
        <f t="shared" ca="1" si="8"/>
        <v>0</v>
      </c>
      <c r="T26" s="3">
        <f ca="1">OFFSET('B2'!$C$1,'B3'!M26-1,0)</f>
        <v>3.8175925925925925E-3</v>
      </c>
      <c r="U26" s="3">
        <f ca="1">OFFSET('B2'!$D$1,'B3'!R26-1,0)</f>
        <v>1.9462962962962962E-3</v>
      </c>
      <c r="V26" s="16">
        <f t="shared" ca="1" si="9"/>
        <v>5.9704861111111113E-3</v>
      </c>
      <c r="W26" s="4">
        <f t="shared" si="10"/>
        <v>38</v>
      </c>
      <c r="X26" s="5">
        <f t="shared" ca="1" si="11"/>
        <v>-3.0231481481481472E-4</v>
      </c>
      <c r="Y26" s="5">
        <f t="shared" ca="1" si="12"/>
        <v>-1.8712962962962962E-3</v>
      </c>
      <c r="Z26" s="6">
        <f t="shared" ca="1" si="13"/>
        <v>2.0017361111111113E-3</v>
      </c>
      <c r="AA26" s="12">
        <v>3.1207523148148145E-3</v>
      </c>
      <c r="AB26" s="13">
        <f t="shared" si="14"/>
        <v>1.2037037037037094E-4</v>
      </c>
      <c r="AC26" s="14" t="str">
        <f t="shared" ca="1" si="15"/>
        <v>-42.55</v>
      </c>
      <c r="AD26" s="10">
        <v>0.94</v>
      </c>
      <c r="AE26" s="3" t="b">
        <f t="shared" si="0"/>
        <v>0</v>
      </c>
      <c r="AG26" s="15"/>
    </row>
    <row r="27" spans="1:33" x14ac:dyDescent="0.3">
      <c r="A27" t="s">
        <v>748</v>
      </c>
      <c r="B27" s="2" t="str">
        <f t="shared" si="1"/>
        <v>因此，我们可以在公式</v>
      </c>
      <c r="C27" s="2" t="str">
        <f t="shared" si="2"/>
        <v>因此，我</v>
      </c>
      <c r="D27" s="2" t="str">
        <f t="shared" si="3"/>
        <v>因此</v>
      </c>
      <c r="E27" s="2" t="str">
        <f t="shared" si="4"/>
        <v>的上左中右的按钮的叠加。</v>
      </c>
      <c r="F27" s="2" t="str">
        <f t="shared" si="5"/>
        <v>钮的叠加。</v>
      </c>
      <c r="G27" s="2" t="str">
        <f t="shared" si="5"/>
        <v>钮的叠加。</v>
      </c>
      <c r="H27" s="2" t="str">
        <f t="shared" si="5"/>
        <v>钮的叠加。</v>
      </c>
      <c r="I27" s="2" t="str">
        <f t="shared" si="6"/>
        <v>叠加。</v>
      </c>
      <c r="J27" s="9" t="e">
        <f ca="1">MATCH(B27,'B2'!E:E,0)</f>
        <v>#N/A</v>
      </c>
      <c r="K27" s="9">
        <f ca="1">IF(ISERROR(J27),MATCH(C27,'B2'!F:F,0),J27)</f>
        <v>101</v>
      </c>
      <c r="L27" s="9">
        <f ca="1">IF(ISERROR(K27),MATCH(D27,'B2'!G:G,0),K27)</f>
        <v>101</v>
      </c>
      <c r="M27" s="9">
        <f ca="1">IF(ISERROR(L27),MATCH(E27,'B2'!H:H,0),L27)</f>
        <v>101</v>
      </c>
      <c r="N27" s="9" t="e">
        <f t="shared" ca="1" si="7"/>
        <v>#N/A</v>
      </c>
      <c r="O27" s="9" t="e">
        <f ca="1">MATCH(E27,'B2'!H:H,0)</f>
        <v>#N/A</v>
      </c>
      <c r="P27" s="9">
        <f ca="1">IF(ISERROR(O27),MATCH(H27,'B2'!K:K,0),O27)</f>
        <v>11</v>
      </c>
      <c r="Q27" s="9">
        <f ca="1">IF(ISERROR(P27),MATCH(I27,'B2'!L:L,0),P27)</f>
        <v>11</v>
      </c>
      <c r="R27" s="9">
        <f ca="1">IF(ISERROR(Q27),MATCH(J27,'B2'!M:M,0),Q27)</f>
        <v>11</v>
      </c>
      <c r="S27" s="9">
        <f t="shared" ca="1" si="8"/>
        <v>0</v>
      </c>
      <c r="T27" s="3">
        <f ca="1">OFFSET('B2'!$C$1,'B3'!M27-1,0)</f>
        <v>9.9946759259259259E-3</v>
      </c>
      <c r="U27" s="3">
        <f ca="1">OFFSET('B2'!$D$1,'B3'!R27-1,0)</f>
        <v>1.1675925925925925E-3</v>
      </c>
      <c r="V27" s="16" t="e">
        <f t="shared" ca="1" si="9"/>
        <v>#N/A</v>
      </c>
      <c r="W27" s="4">
        <f t="shared" si="10"/>
        <v>40</v>
      </c>
      <c r="X27" s="5">
        <f t="shared" ca="1" si="11"/>
        <v>8.0483796296296293E-3</v>
      </c>
      <c r="Y27" s="5">
        <f t="shared" ca="1" si="12"/>
        <v>-8.8270833333333326E-3</v>
      </c>
      <c r="Z27" s="6" t="e">
        <f t="shared" ca="1" si="13"/>
        <v>#N/A</v>
      </c>
      <c r="AA27" s="12">
        <v>3.2411226851851854E-3</v>
      </c>
      <c r="AB27" s="13">
        <f t="shared" si="14"/>
        <v>1.0879629629629607E-4</v>
      </c>
      <c r="AC27" s="14" t="e">
        <f t="shared" ca="1" si="15"/>
        <v>#N/A</v>
      </c>
      <c r="AD27" s="10">
        <v>1.32</v>
      </c>
      <c r="AE27" s="3" t="b">
        <f t="shared" si="0"/>
        <v>0</v>
      </c>
      <c r="AG27" s="15"/>
    </row>
    <row r="28" spans="1:33" x14ac:dyDescent="0.3">
      <c r="A28" t="s">
        <v>749</v>
      </c>
      <c r="B28" s="2" t="str">
        <f t="shared" si="1"/>
        <v>又因为，后一行的按钮</v>
      </c>
      <c r="C28" s="2" t="str">
        <f t="shared" si="2"/>
        <v>又因为，</v>
      </c>
      <c r="D28" s="2" t="str">
        <f t="shared" si="3"/>
        <v>又因</v>
      </c>
      <c r="E28" s="2" t="str">
        <f t="shared" si="4"/>
        <v>左中右的灯的翻转的叠加。</v>
      </c>
      <c r="F28" s="2" t="str">
        <f t="shared" si="5"/>
        <v>转的叠加。</v>
      </c>
      <c r="G28" s="2" t="str">
        <f t="shared" si="5"/>
        <v>转的叠加。</v>
      </c>
      <c r="H28" s="2" t="str">
        <f t="shared" si="5"/>
        <v>转的叠加。</v>
      </c>
      <c r="I28" s="2" t="str">
        <f t="shared" si="6"/>
        <v>叠加。</v>
      </c>
      <c r="J28" s="9" t="e">
        <f ca="1">MATCH(B28,'B2'!E:E,0)</f>
        <v>#N/A</v>
      </c>
      <c r="K28" s="9" t="e">
        <f ca="1">IF(ISERROR(J28),MATCH(C28,'B2'!F:F,0),J28)</f>
        <v>#N/A</v>
      </c>
      <c r="L28" s="9" t="e">
        <f ca="1">IF(ISERROR(K28),MATCH(D28,'B2'!G:G,0),K28)</f>
        <v>#N/A</v>
      </c>
      <c r="M28" s="9" t="e">
        <f ca="1">IF(ISERROR(L28),MATCH(E28,'B2'!H:H,0),L28)</f>
        <v>#N/A</v>
      </c>
      <c r="N28" s="9" t="e">
        <f t="shared" ca="1" si="7"/>
        <v>#N/A</v>
      </c>
      <c r="O28" s="9" t="e">
        <f ca="1">MATCH(E28,'B2'!H:H,0)</f>
        <v>#N/A</v>
      </c>
      <c r="P28" s="9" t="e">
        <f ca="1">IF(ISERROR(O28),MATCH(H28,'B2'!K:K,0),O28)</f>
        <v>#N/A</v>
      </c>
      <c r="Q28" s="9">
        <f ca="1">IF(ISERROR(P28),MATCH(I28,'B2'!L:L,0),P28)</f>
        <v>11</v>
      </c>
      <c r="R28" s="9">
        <f ca="1">IF(ISERROR(Q28),MATCH(J28,'B2'!M:M,0),Q28)</f>
        <v>11</v>
      </c>
      <c r="S28" s="9">
        <f t="shared" ca="1" si="8"/>
        <v>0</v>
      </c>
      <c r="T28" s="3" t="e">
        <f ca="1">OFFSET('B2'!$C$1,'B3'!M28-1,0)</f>
        <v>#N/A</v>
      </c>
      <c r="U28" s="3">
        <f ca="1">OFFSET('B2'!$D$1,'B3'!R28-1,0)</f>
        <v>1.1675925925925925E-3</v>
      </c>
      <c r="V28" s="16">
        <f t="shared" ca="1" si="9"/>
        <v>3.4589120370370368E-3</v>
      </c>
      <c r="W28" s="4">
        <f t="shared" si="10"/>
        <v>39</v>
      </c>
      <c r="X28" s="5" t="e">
        <f t="shared" ca="1" si="11"/>
        <v>#N/A</v>
      </c>
      <c r="Y28" s="5" t="e">
        <f t="shared" ca="1" si="12"/>
        <v>#N/A</v>
      </c>
      <c r="Z28" s="6" t="e">
        <f t="shared" ca="1" si="13"/>
        <v>#N/A</v>
      </c>
      <c r="AA28" s="12">
        <v>3.3499189814814815E-3</v>
      </c>
      <c r="AB28" s="13">
        <f t="shared" si="14"/>
        <v>7.1759259259258825E-5</v>
      </c>
      <c r="AC28" s="14" t="e">
        <f t="shared" ca="1" si="15"/>
        <v>#N/A</v>
      </c>
      <c r="AD28" s="10">
        <v>2.34</v>
      </c>
      <c r="AE28" s="3" t="b">
        <f t="shared" si="0"/>
        <v>0</v>
      </c>
      <c r="AG28" s="15"/>
    </row>
    <row r="29" spans="1:33" x14ac:dyDescent="0.3">
      <c r="A29" t="s">
        <v>750</v>
      </c>
      <c r="B29" s="2" t="str">
        <f t="shared" si="1"/>
        <v>如果把翻转¬提取出来</v>
      </c>
      <c r="C29" s="2" t="str">
        <f t="shared" si="2"/>
        <v>如果把翻</v>
      </c>
      <c r="D29" s="2" t="str">
        <f t="shared" si="3"/>
        <v>如果</v>
      </c>
      <c r="E29" s="2" t="str">
        <f t="shared" si="4"/>
        <v>便有了一开始的推导公式。</v>
      </c>
      <c r="F29" s="2" t="str">
        <f t="shared" si="5"/>
        <v>推导公式。</v>
      </c>
      <c r="G29" s="2" t="str">
        <f t="shared" si="5"/>
        <v>推导公式。</v>
      </c>
      <c r="H29" s="2" t="str">
        <f t="shared" si="5"/>
        <v>推导公式。</v>
      </c>
      <c r="I29" s="2" t="str">
        <f t="shared" si="6"/>
        <v>公式。</v>
      </c>
      <c r="J29" s="9" t="e">
        <f ca="1">MATCH(B29,'B2'!E:E,0)</f>
        <v>#N/A</v>
      </c>
      <c r="K29" s="9" t="e">
        <f ca="1">IF(ISERROR(J29),MATCH(C29,'B2'!F:F,0),J29)</f>
        <v>#N/A</v>
      </c>
      <c r="L29" s="9">
        <f ca="1">IF(ISERROR(K29),MATCH(D29,'B2'!G:G,0),K29)</f>
        <v>62</v>
      </c>
      <c r="M29" s="9">
        <f ca="1">IF(ISERROR(L29),MATCH(E29,'B2'!H:H,0),L29)</f>
        <v>62</v>
      </c>
      <c r="N29" s="9" t="e">
        <f t="shared" ca="1" si="7"/>
        <v>#N/A</v>
      </c>
      <c r="O29" s="9">
        <f ca="1">MATCH(E29,'B2'!H:H,0)</f>
        <v>24</v>
      </c>
      <c r="P29" s="9">
        <f ca="1">IF(ISERROR(O29),MATCH(H29,'B2'!K:K,0),O29)</f>
        <v>24</v>
      </c>
      <c r="Q29" s="9">
        <f ca="1">IF(ISERROR(P29),MATCH(I29,'B2'!L:L,0),P29)</f>
        <v>24</v>
      </c>
      <c r="R29" s="9">
        <f ca="1">IF(ISERROR(Q29),MATCH(J29,'B2'!M:M,0),Q29)</f>
        <v>24</v>
      </c>
      <c r="S29" s="9">
        <f t="shared" ca="1" si="8"/>
        <v>0</v>
      </c>
      <c r="T29" s="3">
        <f ca="1">OFFSET('B2'!$C$1,'B3'!M29-1,0)</f>
        <v>5.7502314814814812E-3</v>
      </c>
      <c r="U29" s="3">
        <f ca="1">OFFSET('B2'!$D$1,'B3'!R29-1,0)</f>
        <v>2.4574074074074073E-3</v>
      </c>
      <c r="V29" s="16">
        <f t="shared" ca="1" si="9"/>
        <v>2.457638888888889E-3</v>
      </c>
      <c r="W29" s="4">
        <f t="shared" si="10"/>
        <v>23</v>
      </c>
      <c r="X29" s="5">
        <f t="shared" ca="1" si="11"/>
        <v>4.5826388888888887E-3</v>
      </c>
      <c r="Y29" s="5">
        <f t="shared" ca="1" si="12"/>
        <v>-3.2928240740740739E-3</v>
      </c>
      <c r="Z29" s="6">
        <f t="shared" ca="1" si="13"/>
        <v>-1.0012731481481478E-3</v>
      </c>
      <c r="AA29" s="12">
        <v>3.4216782407407403E-3</v>
      </c>
      <c r="AB29" s="13">
        <f t="shared" si="14"/>
        <v>1.041666666666669E-4</v>
      </c>
      <c r="AC29" s="14" t="str">
        <f t="shared" ca="1" si="15"/>
        <v>35.51</v>
      </c>
      <c r="AD29" s="10">
        <v>2.02</v>
      </c>
      <c r="AE29" s="3" t="b">
        <f t="shared" si="0"/>
        <v>0</v>
      </c>
      <c r="AG29" s="15"/>
    </row>
    <row r="30" spans="1:33" x14ac:dyDescent="0.3">
      <c r="A30" t="s">
        <v>751</v>
      </c>
      <c r="B30" s="2" t="str">
        <f t="shared" si="1"/>
        <v>也就是，按钮是前一行</v>
      </c>
      <c r="C30" s="2" t="str">
        <f t="shared" si="2"/>
        <v>也就是，</v>
      </c>
      <c r="D30" s="2" t="str">
        <f t="shared" si="3"/>
        <v>也就</v>
      </c>
      <c r="E30" s="2" t="str">
        <f t="shared" si="4"/>
        <v>按钮和上上行的灯的叠加。</v>
      </c>
      <c r="F30" s="2" t="str">
        <f t="shared" si="5"/>
        <v>灯的叠加。</v>
      </c>
      <c r="G30" s="2" t="str">
        <f t="shared" si="5"/>
        <v>灯的叠加。</v>
      </c>
      <c r="H30" s="2" t="str">
        <f t="shared" si="5"/>
        <v>灯的叠加。</v>
      </c>
      <c r="I30" s="2" t="str">
        <f t="shared" si="6"/>
        <v>叠加。</v>
      </c>
      <c r="J30" s="9" t="e">
        <f ca="1">MATCH(B30,'B2'!E:E,0)</f>
        <v>#N/A</v>
      </c>
      <c r="K30" s="9" t="e">
        <f ca="1">IF(ISERROR(J30),MATCH(C30,'B2'!F:F,0),J30)</f>
        <v>#N/A</v>
      </c>
      <c r="L30" s="9">
        <f ca="1">IF(ISERROR(K30),MATCH(D30,'B2'!G:G,0),K30)</f>
        <v>25</v>
      </c>
      <c r="M30" s="9">
        <f ca="1">IF(ISERROR(L30),MATCH(E30,'B2'!H:H,0),L30)</f>
        <v>25</v>
      </c>
      <c r="N30" s="9" t="e">
        <f t="shared" ca="1" si="7"/>
        <v>#N/A</v>
      </c>
      <c r="O30" s="9" t="e">
        <f ca="1">MATCH(E30,'B2'!H:H,0)</f>
        <v>#N/A</v>
      </c>
      <c r="P30" s="9" t="e">
        <f ca="1">IF(ISERROR(O30),MATCH(H30,'B2'!K:K,0),O30)</f>
        <v>#N/A</v>
      </c>
      <c r="Q30" s="9">
        <f ca="1">IF(ISERROR(P30),MATCH(I30,'B2'!L:L,0),P30)</f>
        <v>11</v>
      </c>
      <c r="R30" s="9">
        <f ca="1">IF(ISERROR(Q30),MATCH(J30,'B2'!M:M,0),Q30)</f>
        <v>11</v>
      </c>
      <c r="S30" s="9" t="e">
        <f t="shared" ca="1" si="8"/>
        <v>#N/A</v>
      </c>
      <c r="T30" s="3">
        <f ca="1">OFFSET('B2'!$C$1,'B3'!M30-1,0)</f>
        <v>2.4578703703703707E-3</v>
      </c>
      <c r="U30" s="3">
        <f ca="1">OFFSET('B2'!$D$1,'B3'!R30-1,0)</f>
        <v>1.1675925925925925E-3</v>
      </c>
      <c r="V30" s="16" t="e">
        <f t="shared" ca="1" si="9"/>
        <v>#N/A</v>
      </c>
      <c r="W30" s="4">
        <f t="shared" si="10"/>
        <v>53</v>
      </c>
      <c r="X30" s="5">
        <f t="shared" ca="1" si="11"/>
        <v>4.6296296296339384E-7</v>
      </c>
      <c r="Y30" s="5">
        <f t="shared" ca="1" si="12"/>
        <v>-1.2902777777777782E-3</v>
      </c>
      <c r="Z30" s="6" t="e">
        <f t="shared" ca="1" si="13"/>
        <v>#N/A</v>
      </c>
      <c r="AA30" s="12">
        <v>3.5258449074074072E-3</v>
      </c>
      <c r="AB30" s="13">
        <f t="shared" si="14"/>
        <v>9.4907407407407701E-5</v>
      </c>
      <c r="AC30" s="14" t="e">
        <f t="shared" ca="1" si="15"/>
        <v>#N/A</v>
      </c>
      <c r="AD30" s="10">
        <v>1.4</v>
      </c>
      <c r="AE30" s="3" t="b">
        <f t="shared" si="0"/>
        <v>0</v>
      </c>
      <c r="AG30" s="15"/>
    </row>
    <row r="31" spans="1:33" x14ac:dyDescent="0.3">
      <c r="A31" t="s">
        <v>752</v>
      </c>
      <c r="B31" s="2" t="str">
        <f t="shared" si="1"/>
        <v>可以注意到，按钮和灯</v>
      </c>
      <c r="C31" s="2" t="str">
        <f t="shared" si="2"/>
        <v>可以注意</v>
      </c>
      <c r="D31" s="2" t="str">
        <f t="shared" si="3"/>
        <v>可以</v>
      </c>
      <c r="E31" s="2" t="str">
        <f t="shared" si="4"/>
        <v>前一行灯就是后一行按钮。</v>
      </c>
      <c r="F31" s="2" t="str">
        <f t="shared" si="5"/>
        <v>一行按钮。</v>
      </c>
      <c r="G31" s="2" t="str">
        <f t="shared" si="5"/>
        <v>一行按钮。</v>
      </c>
      <c r="H31" s="2" t="str">
        <f t="shared" si="5"/>
        <v>一行按钮。</v>
      </c>
      <c r="I31" s="2" t="str">
        <f t="shared" si="6"/>
        <v>按钮。</v>
      </c>
      <c r="J31" s="9" t="e">
        <f ca="1">MATCH(B31,'B2'!E:E,0)</f>
        <v>#N/A</v>
      </c>
      <c r="K31" s="9" t="e">
        <f ca="1">IF(ISERROR(J31),MATCH(C31,'B2'!F:F,0),J31)</f>
        <v>#N/A</v>
      </c>
      <c r="L31" s="9" t="e">
        <f ca="1">IF(ISERROR(K31),MATCH(D31,'B2'!G:G,0),K31)</f>
        <v>#N/A</v>
      </c>
      <c r="M31" s="9" t="e">
        <f ca="1">IF(ISERROR(L31),MATCH(E31,'B2'!H:H,0),L31)</f>
        <v>#N/A</v>
      </c>
      <c r="N31" s="9" t="e">
        <f t="shared" ca="1" si="7"/>
        <v>#N/A</v>
      </c>
      <c r="O31" s="9" t="e">
        <f ca="1">MATCH(E31,'B2'!H:H,0)</f>
        <v>#N/A</v>
      </c>
      <c r="P31" s="9" t="e">
        <f ca="1">IF(ISERROR(O31),MATCH(H31,'B2'!K:K,0),O31)</f>
        <v>#N/A</v>
      </c>
      <c r="Q31" s="9" t="e">
        <f ca="1">IF(ISERROR(P31),MATCH(I31,'B2'!L:L,0),P31)</f>
        <v>#N/A</v>
      </c>
      <c r="R31" s="9" t="e">
        <f ca="1">IF(ISERROR(Q31),MATCH(J31,'B2'!M:M,0),Q31)</f>
        <v>#N/A</v>
      </c>
      <c r="S31" s="9" t="e">
        <f t="shared" ca="1" si="8"/>
        <v>#N/A</v>
      </c>
      <c r="T31" s="3" t="e">
        <f ca="1">OFFSET('B2'!$C$1,'B3'!M31-1,0)</f>
        <v>#N/A</v>
      </c>
      <c r="U31" s="3" t="e">
        <f ca="1">OFFSET('B2'!$D$1,'B3'!R31-1,0)</f>
        <v>#N/A</v>
      </c>
      <c r="V31" s="16" t="e">
        <f t="shared" ca="1" si="9"/>
        <v>#N/A</v>
      </c>
      <c r="W31" s="4">
        <f t="shared" si="10"/>
        <v>39</v>
      </c>
      <c r="X31" s="5" t="e">
        <f t="shared" ca="1" si="11"/>
        <v>#N/A</v>
      </c>
      <c r="Y31" s="5" t="e">
        <f t="shared" ca="1" si="12"/>
        <v>#N/A</v>
      </c>
      <c r="Z31" s="6" t="e">
        <f t="shared" ca="1" si="13"/>
        <v>#N/A</v>
      </c>
      <c r="AA31" s="12">
        <v>3.6207523148148149E-3</v>
      </c>
      <c r="AB31" s="13">
        <f t="shared" si="14"/>
        <v>8.5648148148148064E-5</v>
      </c>
      <c r="AC31" s="14" t="e">
        <f t="shared" ca="1" si="15"/>
        <v>#N/A</v>
      </c>
      <c r="AD31" s="10">
        <v>1.3</v>
      </c>
      <c r="AE31" s="3" t="b">
        <f t="shared" si="0"/>
        <v>0</v>
      </c>
      <c r="AG31" s="15"/>
    </row>
    <row r="32" spans="1:33" x14ac:dyDescent="0.3">
      <c r="A32" t="s">
        <v>753</v>
      </c>
      <c r="B32" s="2" t="str">
        <f t="shared" si="1"/>
        <v>因为最终需要推导的是</v>
      </c>
      <c r="C32" s="2" t="str">
        <f t="shared" si="2"/>
        <v>因为最终</v>
      </c>
      <c r="D32" s="2" t="str">
        <f t="shared" si="3"/>
        <v>因为</v>
      </c>
      <c r="E32" s="2" t="str">
        <f t="shared" si="4"/>
        <v>是灯，因此按钮也是5行。</v>
      </c>
      <c r="F32" s="2" t="str">
        <f t="shared" si="5"/>
        <v>也是5行。</v>
      </c>
      <c r="G32" s="2" t="str">
        <f t="shared" si="5"/>
        <v>也是5行。</v>
      </c>
      <c r="H32" s="2" t="str">
        <f t="shared" si="5"/>
        <v>也是5行。</v>
      </c>
      <c r="I32" s="2" t="str">
        <f t="shared" si="6"/>
        <v>5行。</v>
      </c>
      <c r="J32" s="9" t="e">
        <f ca="1">MATCH(B32,'B2'!E:E,0)</f>
        <v>#N/A</v>
      </c>
      <c r="K32" s="9">
        <f ca="1">IF(ISERROR(J32),MATCH(C32,'B2'!F:F,0),J32)</f>
        <v>8</v>
      </c>
      <c r="L32" s="9">
        <f ca="1">IF(ISERROR(K32),MATCH(D32,'B2'!G:G,0),K32)</f>
        <v>8</v>
      </c>
      <c r="M32" s="9">
        <f ca="1">IF(ISERROR(L32),MATCH(E32,'B2'!H:H,0),L32)</f>
        <v>8</v>
      </c>
      <c r="N32" s="9" t="e">
        <f t="shared" ca="1" si="7"/>
        <v>#N/A</v>
      </c>
      <c r="O32" s="9" t="e">
        <f ca="1">MATCH(E32,'B2'!H:H,0)</f>
        <v>#N/A</v>
      </c>
      <c r="P32" s="9" t="e">
        <f ca="1">IF(ISERROR(O32),MATCH(H32,'B2'!K:K,0),O32)</f>
        <v>#N/A</v>
      </c>
      <c r="Q32" s="9" t="e">
        <f ca="1">IF(ISERROR(P32),MATCH(I32,'B2'!L:L,0),P32)</f>
        <v>#N/A</v>
      </c>
      <c r="R32" s="9" t="e">
        <f ca="1">IF(ISERROR(Q32),MATCH(J32,'B2'!M:M,0),Q32)</f>
        <v>#N/A</v>
      </c>
      <c r="S32" s="9" t="e">
        <f t="shared" ca="1" si="8"/>
        <v>#N/A</v>
      </c>
      <c r="T32" s="3">
        <f ca="1">OFFSET('B2'!$C$1,'B3'!M32-1,0)</f>
        <v>5.7499999999999999E-4</v>
      </c>
      <c r="U32" s="3" t="e">
        <f ca="1">OFFSET('B2'!$D$1,'B3'!R32-1,0)</f>
        <v>#N/A</v>
      </c>
      <c r="V32" s="16" t="e">
        <f t="shared" ca="1" si="9"/>
        <v>#N/A</v>
      </c>
      <c r="W32" s="4">
        <f t="shared" si="10"/>
        <v>49</v>
      </c>
      <c r="X32" s="5" t="e">
        <f t="shared" ca="1" si="11"/>
        <v>#N/A</v>
      </c>
      <c r="Y32" s="5" t="e">
        <f t="shared" ca="1" si="12"/>
        <v>#N/A</v>
      </c>
      <c r="Z32" s="6" t="e">
        <f t="shared" ca="1" si="13"/>
        <v>#N/A</v>
      </c>
      <c r="AA32" s="12">
        <v>3.706400462962963E-3</v>
      </c>
      <c r="AB32" s="13">
        <f t="shared" si="14"/>
        <v>8.3333333333333263E-5</v>
      </c>
      <c r="AC32" s="14" t="e">
        <f t="shared" ca="1" si="15"/>
        <v>#N/A</v>
      </c>
      <c r="AD32" s="10">
        <v>1.1399999999999999</v>
      </c>
      <c r="AE32" s="3" t="b">
        <f t="shared" si="0"/>
        <v>0</v>
      </c>
      <c r="AG32" s="15"/>
    </row>
    <row r="33" spans="1:33" x14ac:dyDescent="0.3">
      <c r="A33" t="s">
        <v>754</v>
      </c>
      <c r="B33" s="2" t="str">
        <f t="shared" si="1"/>
        <v>对于翻转的情况，则可</v>
      </c>
      <c r="C33" s="2" t="str">
        <f t="shared" si="2"/>
        <v>对于翻转</v>
      </c>
      <c r="D33" s="2" t="str">
        <f t="shared" si="3"/>
        <v>对于</v>
      </c>
      <c r="E33" s="2" t="str">
        <f t="shared" si="4"/>
        <v>的方法推导，写成公式Y。</v>
      </c>
      <c r="F33" s="2" t="str">
        <f t="shared" si="5"/>
        <v>成公式Y。</v>
      </c>
      <c r="G33" s="2" t="str">
        <f t="shared" si="5"/>
        <v>成公式Y。</v>
      </c>
      <c r="H33" s="2" t="str">
        <f t="shared" si="5"/>
        <v>成公式Y。</v>
      </c>
      <c r="I33" s="2" t="str">
        <f t="shared" si="6"/>
        <v>式Y。</v>
      </c>
      <c r="J33" s="9" t="e">
        <f ca="1">MATCH(B33,'B2'!E:E,0)</f>
        <v>#N/A</v>
      </c>
      <c r="K33" s="9" t="e">
        <f ca="1">IF(ISERROR(J33),MATCH(C33,'B2'!F:F,0),J33)</f>
        <v>#N/A</v>
      </c>
      <c r="L33" s="9">
        <f ca="1">IF(ISERROR(K33),MATCH(D33,'B2'!G:G,0),K33)</f>
        <v>48</v>
      </c>
      <c r="M33" s="9">
        <f ca="1">IF(ISERROR(L33),MATCH(E33,'B2'!H:H,0),L33)</f>
        <v>48</v>
      </c>
      <c r="N33" s="9" t="e">
        <f t="shared" ca="1" si="7"/>
        <v>#N/A</v>
      </c>
      <c r="O33" s="9" t="e">
        <f ca="1">MATCH(E33,'B2'!H:H,0)</f>
        <v>#N/A</v>
      </c>
      <c r="P33" s="9" t="e">
        <f ca="1">IF(ISERROR(O33),MATCH(H33,'B2'!K:K,0),O33)</f>
        <v>#N/A</v>
      </c>
      <c r="Q33" s="9" t="e">
        <f ca="1">IF(ISERROR(P33),MATCH(I33,'B2'!L:L,0),P33)</f>
        <v>#N/A</v>
      </c>
      <c r="R33" s="9" t="e">
        <f ca="1">IF(ISERROR(Q33),MATCH(J33,'B2'!M:M,0),Q33)</f>
        <v>#N/A</v>
      </c>
      <c r="S33" s="9" t="e">
        <f t="shared" ca="1" si="8"/>
        <v>#N/A</v>
      </c>
      <c r="T33" s="3">
        <f ca="1">OFFSET('B2'!$C$1,'B3'!M33-1,0)</f>
        <v>4.7782407407407409E-3</v>
      </c>
      <c r="U33" s="3" t="e">
        <f ca="1">OFFSET('B2'!$D$1,'B3'!R33-1,0)</f>
        <v>#N/A</v>
      </c>
      <c r="V33" s="16" t="e">
        <f t="shared" ca="1" si="9"/>
        <v>#N/A</v>
      </c>
      <c r="W33" s="4">
        <f t="shared" si="10"/>
        <v>32</v>
      </c>
      <c r="X33" s="5" t="e">
        <f t="shared" ca="1" si="11"/>
        <v>#N/A</v>
      </c>
      <c r="Y33" s="5" t="e">
        <f t="shared" ca="1" si="12"/>
        <v>#N/A</v>
      </c>
      <c r="Z33" s="6" t="e">
        <f t="shared" ca="1" si="13"/>
        <v>#N/A</v>
      </c>
      <c r="AA33" s="12">
        <v>3.7897337962962963E-3</v>
      </c>
      <c r="AB33" s="13">
        <f t="shared" si="14"/>
        <v>9.8379629629629685E-5</v>
      </c>
      <c r="AC33" s="14" t="e">
        <f t="shared" ca="1" si="15"/>
        <v>#N/A</v>
      </c>
      <c r="AD33" s="10">
        <v>2.4</v>
      </c>
      <c r="AE33" s="3" t="b">
        <f t="shared" ref="AE33:AE64" si="16">AF33=A33</f>
        <v>0</v>
      </c>
      <c r="AG33" s="15"/>
    </row>
    <row r="34" spans="1:33" x14ac:dyDescent="0.3">
      <c r="A34" t="s">
        <v>755</v>
      </c>
      <c r="B34" s="2" t="str">
        <f t="shared" si="1"/>
        <v>即后一行的翻转是前一</v>
      </c>
      <c r="C34" s="2" t="str">
        <f t="shared" si="2"/>
        <v>即后一行</v>
      </c>
      <c r="D34" s="2" t="str">
        <f t="shared" si="3"/>
        <v>即后</v>
      </c>
      <c r="E34" s="2" t="str">
        <f t="shared" si="4"/>
        <v>右和上上行叠加后的翻转。</v>
      </c>
      <c r="F34" s="2" t="str">
        <f t="shared" si="5"/>
        <v>后的翻转。</v>
      </c>
      <c r="G34" s="2" t="str">
        <f t="shared" si="5"/>
        <v>后的翻转。</v>
      </c>
      <c r="H34" s="2" t="str">
        <f t="shared" si="5"/>
        <v>后的翻转。</v>
      </c>
      <c r="I34" s="2" t="str">
        <f t="shared" si="6"/>
        <v>翻转。</v>
      </c>
      <c r="J34" s="9" t="e">
        <f ca="1">MATCH(B34,'B2'!E:E,0)</f>
        <v>#N/A</v>
      </c>
      <c r="K34" s="9" t="e">
        <f ca="1">IF(ISERROR(J34),MATCH(C34,'B2'!F:F,0),J34)</f>
        <v>#N/A</v>
      </c>
      <c r="L34" s="9" t="e">
        <f ca="1">IF(ISERROR(K34),MATCH(D34,'B2'!G:G,0),K34)</f>
        <v>#N/A</v>
      </c>
      <c r="M34" s="9" t="e">
        <f ca="1">IF(ISERROR(L34),MATCH(E34,'B2'!H:H,0),L34)</f>
        <v>#N/A</v>
      </c>
      <c r="N34" s="9" t="e">
        <f t="shared" ca="1" si="7"/>
        <v>#N/A</v>
      </c>
      <c r="O34" s="9" t="e">
        <f ca="1">MATCH(E34,'B2'!H:H,0)</f>
        <v>#N/A</v>
      </c>
      <c r="P34" s="9" t="e">
        <f ca="1">IF(ISERROR(O34),MATCH(H34,'B2'!K:K,0),O34)</f>
        <v>#N/A</v>
      </c>
      <c r="Q34" s="9">
        <f ca="1">IF(ISERROR(P34),MATCH(I34,'B2'!L:L,0),P34)</f>
        <v>3</v>
      </c>
      <c r="R34" s="9">
        <f ca="1">IF(ISERROR(Q34),MATCH(J34,'B2'!M:M,0),Q34)</f>
        <v>3</v>
      </c>
      <c r="S34" s="9" t="e">
        <f t="shared" ca="1" si="8"/>
        <v>#N/A</v>
      </c>
      <c r="T34" s="3" t="e">
        <f ca="1">OFFSET('B2'!$C$1,'B3'!M34-1,0)</f>
        <v>#N/A</v>
      </c>
      <c r="U34" s="3">
        <f ca="1">OFFSET('B2'!$D$1,'B3'!R34-1,0)</f>
        <v>2.3564814814814813E-4</v>
      </c>
      <c r="V34" s="16" t="e">
        <f t="shared" ca="1" si="9"/>
        <v>#N/A</v>
      </c>
      <c r="W34" s="4">
        <f t="shared" si="10"/>
        <v>25</v>
      </c>
      <c r="X34" s="5" t="e">
        <f t="shared" ca="1" si="11"/>
        <v>#N/A</v>
      </c>
      <c r="Y34" s="5" t="e">
        <f t="shared" ca="1" si="12"/>
        <v>#N/A</v>
      </c>
      <c r="Z34" s="6" t="e">
        <f t="shared" ca="1" si="13"/>
        <v>#N/A</v>
      </c>
      <c r="AA34" s="12">
        <v>3.8881134259259259E-3</v>
      </c>
      <c r="AB34" s="13">
        <f t="shared" si="14"/>
        <v>6.5972222222221606E-5</v>
      </c>
      <c r="AC34" s="14" t="e">
        <f t="shared" ca="1" si="15"/>
        <v>#N/A</v>
      </c>
      <c r="AD34" s="10">
        <v>2.08</v>
      </c>
      <c r="AE34" s="3" t="b">
        <f t="shared" si="16"/>
        <v>0</v>
      </c>
      <c r="AG34" s="15"/>
    </row>
    <row r="35" spans="1:33" x14ac:dyDescent="0.3">
      <c r="A35" t="s">
        <v>756</v>
      </c>
      <c r="B35" s="2" t="str">
        <f t="shared" si="1"/>
        <v>可以注意到，这里的公</v>
      </c>
      <c r="C35" s="2" t="str">
        <f t="shared" si="2"/>
        <v>可以注意</v>
      </c>
      <c r="D35" s="2" t="str">
        <f t="shared" si="3"/>
        <v>可以</v>
      </c>
      <c r="E35" s="2" t="str">
        <f t="shared" si="4"/>
        <v>并且不能省略翻转符号¬。</v>
      </c>
      <c r="F35" s="2" t="str">
        <f t="shared" si="5"/>
        <v>转符号¬。</v>
      </c>
      <c r="G35" s="2" t="str">
        <f t="shared" si="5"/>
        <v>转符号¬。</v>
      </c>
      <c r="H35" s="2" t="str">
        <f t="shared" si="5"/>
        <v>转符号¬。</v>
      </c>
      <c r="I35" s="2" t="str">
        <f t="shared" si="6"/>
        <v>号¬。</v>
      </c>
      <c r="J35" s="9" t="e">
        <f ca="1">MATCH(B35,'B2'!E:E,0)</f>
        <v>#N/A</v>
      </c>
      <c r="K35" s="9" t="e">
        <f ca="1">IF(ISERROR(J35),MATCH(C35,'B2'!F:F,0),J35)</f>
        <v>#N/A</v>
      </c>
      <c r="L35" s="9" t="e">
        <f ca="1">IF(ISERROR(K35),MATCH(D35,'B2'!G:G,0),K35)</f>
        <v>#N/A</v>
      </c>
      <c r="M35" s="9" t="e">
        <f ca="1">IF(ISERROR(L35),MATCH(E35,'B2'!H:H,0),L35)</f>
        <v>#N/A</v>
      </c>
      <c r="N35" s="9" t="e">
        <f t="shared" ca="1" si="7"/>
        <v>#N/A</v>
      </c>
      <c r="O35" s="9" t="e">
        <f ca="1">MATCH(E35,'B2'!H:H,0)</f>
        <v>#N/A</v>
      </c>
      <c r="P35" s="9" t="e">
        <f ca="1">IF(ISERROR(O35),MATCH(H35,'B2'!K:K,0),O35)</f>
        <v>#N/A</v>
      </c>
      <c r="Q35" s="9" t="e">
        <f ca="1">IF(ISERROR(P35),MATCH(I35,'B2'!L:L,0),P35)</f>
        <v>#N/A</v>
      </c>
      <c r="R35" s="9" t="e">
        <f ca="1">IF(ISERROR(Q35),MATCH(J35,'B2'!M:M,0),Q35)</f>
        <v>#N/A</v>
      </c>
      <c r="S35" s="9" t="e">
        <f t="shared" ca="1" si="8"/>
        <v>#N/A</v>
      </c>
      <c r="T35" s="3" t="e">
        <f ca="1">OFFSET('B2'!$C$1,'B3'!M35-1,0)</f>
        <v>#N/A</v>
      </c>
      <c r="U35" s="3" t="e">
        <f ca="1">OFFSET('B2'!$D$1,'B3'!R35-1,0)</f>
        <v>#N/A</v>
      </c>
      <c r="V35" s="16" t="e">
        <f t="shared" ca="1" si="9"/>
        <v>#N/A</v>
      </c>
      <c r="W35" s="4">
        <f t="shared" si="10"/>
        <v>54</v>
      </c>
      <c r="X35" s="5" t="e">
        <f t="shared" ca="1" si="11"/>
        <v>#N/A</v>
      </c>
      <c r="Y35" s="5" t="e">
        <f t="shared" ca="1" si="12"/>
        <v>#N/A</v>
      </c>
      <c r="Z35" s="6" t="e">
        <f t="shared" ca="1" si="13"/>
        <v>#N/A</v>
      </c>
      <c r="AA35" s="12">
        <v>3.9540856481481475E-3</v>
      </c>
      <c r="AB35" s="13">
        <f t="shared" si="14"/>
        <v>3.9351851851852915E-5</v>
      </c>
      <c r="AC35" s="14" t="e">
        <f t="shared" ca="1" si="15"/>
        <v>#N/A</v>
      </c>
      <c r="AD35" s="10">
        <v>1.42</v>
      </c>
      <c r="AE35" s="3" t="b">
        <f t="shared" si="16"/>
        <v>0</v>
      </c>
      <c r="AG35" s="15"/>
    </row>
    <row r="36" spans="1:33" x14ac:dyDescent="0.3">
      <c r="A36" t="s">
        <v>757</v>
      </c>
      <c r="B36" s="2" t="str">
        <f t="shared" si="1"/>
        <v>1. 使用零向量：第</v>
      </c>
      <c r="C36" s="2" t="str">
        <f t="shared" si="2"/>
        <v>1. 使</v>
      </c>
      <c r="D36" s="2" t="str">
        <f t="shared" si="3"/>
        <v>1.</v>
      </c>
      <c r="E36" s="2" t="str">
        <f t="shared" si="4"/>
        <v>，因此Y的第一行是全零。</v>
      </c>
      <c r="F36" s="2" t="str">
        <f t="shared" si="5"/>
        <v>行是全零。</v>
      </c>
      <c r="G36" s="2" t="str">
        <f t="shared" si="5"/>
        <v>行是全零。</v>
      </c>
      <c r="H36" s="2" t="str">
        <f t="shared" si="5"/>
        <v>行是全零。</v>
      </c>
      <c r="I36" s="2" t="str">
        <f t="shared" si="6"/>
        <v>全零。</v>
      </c>
      <c r="J36" s="9" t="e">
        <f ca="1">MATCH(B36,'B2'!E:E,0)</f>
        <v>#N/A</v>
      </c>
      <c r="K36" s="9" t="e">
        <f ca="1">IF(ISERROR(J36),MATCH(C36,'B2'!F:F,0),J36)</f>
        <v>#N/A</v>
      </c>
      <c r="L36" s="9" t="e">
        <f ca="1">IF(ISERROR(K36),MATCH(D36,'B2'!G:G,0),K36)</f>
        <v>#N/A</v>
      </c>
      <c r="M36" s="9" t="e">
        <f ca="1">IF(ISERROR(L36),MATCH(E36,'B2'!H:H,0),L36)</f>
        <v>#N/A</v>
      </c>
      <c r="N36" s="9" t="e">
        <f t="shared" ca="1" si="7"/>
        <v>#N/A</v>
      </c>
      <c r="O36" s="9" t="e">
        <f ca="1">MATCH(E36,'B2'!H:H,0)</f>
        <v>#N/A</v>
      </c>
      <c r="P36" s="9" t="e">
        <f ca="1">IF(ISERROR(O36),MATCH(H36,'B2'!K:K,0),O36)</f>
        <v>#N/A</v>
      </c>
      <c r="Q36" s="9" t="e">
        <f ca="1">IF(ISERROR(P36),MATCH(I36,'B2'!L:L,0),P36)</f>
        <v>#N/A</v>
      </c>
      <c r="R36" s="9" t="e">
        <f ca="1">IF(ISERROR(Q36),MATCH(J36,'B2'!M:M,0),Q36)</f>
        <v>#N/A</v>
      </c>
      <c r="S36" s="9" t="e">
        <f t="shared" ca="1" si="8"/>
        <v>#N/A</v>
      </c>
      <c r="T36" s="3" t="e">
        <f ca="1">OFFSET('B2'!$C$1,'B3'!M36-1,0)</f>
        <v>#N/A</v>
      </c>
      <c r="U36" s="3" t="e">
        <f ca="1">OFFSET('B2'!$D$1,'B3'!R36-1,0)</f>
        <v>#N/A</v>
      </c>
      <c r="V36" s="16" t="e">
        <f t="shared" ca="1" si="9"/>
        <v>#N/A</v>
      </c>
      <c r="W36" s="4">
        <f t="shared" si="10"/>
        <v>52</v>
      </c>
      <c r="X36" s="5" t="e">
        <f t="shared" ca="1" si="11"/>
        <v>#N/A</v>
      </c>
      <c r="Y36" s="5" t="e">
        <f t="shared" ca="1" si="12"/>
        <v>#N/A</v>
      </c>
      <c r="Z36" s="6" t="e">
        <f t="shared" ca="1" si="13"/>
        <v>#N/A</v>
      </c>
      <c r="AA36" s="12">
        <v>3.9934375000000005E-3</v>
      </c>
      <c r="AB36" s="13">
        <f t="shared" si="14"/>
        <v>9.9537037037036001E-5</v>
      </c>
      <c r="AC36" s="14" t="e">
        <f t="shared" ca="1" si="15"/>
        <v>#N/A</v>
      </c>
      <c r="AD36" s="10">
        <v>1.92</v>
      </c>
      <c r="AE36" s="3" t="b">
        <f t="shared" si="16"/>
        <v>0</v>
      </c>
      <c r="AG36" s="15"/>
    </row>
    <row r="37" spans="1:33" x14ac:dyDescent="0.3">
      <c r="A37" t="s">
        <v>758</v>
      </c>
      <c r="B37" s="2" t="str">
        <f t="shared" si="1"/>
        <v>2. 翻转符号¬必须</v>
      </c>
      <c r="C37" s="2" t="str">
        <f t="shared" si="2"/>
        <v>2. 翻</v>
      </c>
      <c r="D37" s="2" t="str">
        <f t="shared" si="3"/>
        <v>2.</v>
      </c>
      <c r="E37" s="2" t="str">
        <f t="shared" si="4"/>
        <v>了，因此不用翻转符号¬。</v>
      </c>
      <c r="F37" s="2" t="str">
        <f t="shared" si="5"/>
        <v>转符号¬。</v>
      </c>
      <c r="G37" s="2" t="str">
        <f t="shared" si="5"/>
        <v>转符号¬。</v>
      </c>
      <c r="H37" s="2" t="str">
        <f t="shared" si="5"/>
        <v>转符号¬。</v>
      </c>
      <c r="I37" s="2" t="str">
        <f t="shared" si="6"/>
        <v>号¬。</v>
      </c>
      <c r="J37" s="9" t="e">
        <f ca="1">MATCH(B37,'B2'!E:E,0)</f>
        <v>#N/A</v>
      </c>
      <c r="K37" s="9" t="e">
        <f ca="1">IF(ISERROR(J37),MATCH(C37,'B2'!F:F,0),J37)</f>
        <v>#N/A</v>
      </c>
      <c r="L37" s="9" t="e">
        <f ca="1">IF(ISERROR(K37),MATCH(D37,'B2'!G:G,0),K37)</f>
        <v>#N/A</v>
      </c>
      <c r="M37" s="9" t="e">
        <f ca="1">IF(ISERROR(L37),MATCH(E37,'B2'!H:H,0),L37)</f>
        <v>#N/A</v>
      </c>
      <c r="N37" s="9" t="e">
        <f t="shared" ca="1" si="7"/>
        <v>#N/A</v>
      </c>
      <c r="O37" s="9" t="e">
        <f ca="1">MATCH(E37,'B2'!H:H,0)</f>
        <v>#N/A</v>
      </c>
      <c r="P37" s="9" t="e">
        <f ca="1">IF(ISERROR(O37),MATCH(H37,'B2'!K:K,0),O37)</f>
        <v>#N/A</v>
      </c>
      <c r="Q37" s="9" t="e">
        <f ca="1">IF(ISERROR(P37),MATCH(I37,'B2'!L:L,0),P37)</f>
        <v>#N/A</v>
      </c>
      <c r="R37" s="9" t="e">
        <f ca="1">IF(ISERROR(Q37),MATCH(J37,'B2'!M:M,0),Q37)</f>
        <v>#N/A</v>
      </c>
      <c r="S37" s="9" t="e">
        <f t="shared" ca="1" si="8"/>
        <v>#N/A</v>
      </c>
      <c r="T37" s="3" t="e">
        <f ca="1">OFFSET('B2'!$C$1,'B3'!M37-1,0)</f>
        <v>#N/A</v>
      </c>
      <c r="U37" s="3" t="e">
        <f ca="1">OFFSET('B2'!$D$1,'B3'!R37-1,0)</f>
        <v>#N/A</v>
      </c>
      <c r="V37" s="16" t="e">
        <f t="shared" ca="1" si="9"/>
        <v>#N/A</v>
      </c>
      <c r="W37" s="4">
        <f t="shared" si="10"/>
        <v>53</v>
      </c>
      <c r="X37" s="5" t="e">
        <f t="shared" ca="1" si="11"/>
        <v>#N/A</v>
      </c>
      <c r="Y37" s="5" t="e">
        <f t="shared" ca="1" si="12"/>
        <v>#N/A</v>
      </c>
      <c r="Z37" s="6" t="e">
        <f t="shared" ca="1" si="13"/>
        <v>#N/A</v>
      </c>
      <c r="AA37" s="12">
        <v>4.0929745370370365E-3</v>
      </c>
      <c r="AB37" s="13">
        <f t="shared" si="14"/>
        <v>9.1435185185185716E-5</v>
      </c>
      <c r="AC37" s="14" t="e">
        <f t="shared" ca="1" si="15"/>
        <v>#N/A</v>
      </c>
      <c r="AD37" s="10">
        <v>1.7</v>
      </c>
      <c r="AE37" s="3" t="b">
        <f t="shared" si="16"/>
        <v>0</v>
      </c>
      <c r="AG37" s="15"/>
    </row>
    <row r="38" spans="1:33" x14ac:dyDescent="0.3">
      <c r="A38" t="s">
        <v>759</v>
      </c>
      <c r="B38" s="2" t="str">
        <f t="shared" si="1"/>
        <v>3. 不使用x而使用</v>
      </c>
      <c r="C38" s="2" t="str">
        <f t="shared" si="2"/>
        <v>3. 不</v>
      </c>
      <c r="D38" s="2" t="str">
        <f t="shared" si="3"/>
        <v>3.</v>
      </c>
      <c r="E38" s="2" t="str">
        <f t="shared" si="4"/>
        <v>，而不是某个按钮的翻转。</v>
      </c>
      <c r="F38" s="2" t="str">
        <f t="shared" si="5"/>
        <v>钮的翻转。</v>
      </c>
      <c r="G38" s="2" t="str">
        <f t="shared" si="5"/>
        <v>钮的翻转。</v>
      </c>
      <c r="H38" s="2" t="str">
        <f t="shared" si="5"/>
        <v>钮的翻转。</v>
      </c>
      <c r="I38" s="2" t="str">
        <f t="shared" si="6"/>
        <v>翻转。</v>
      </c>
      <c r="J38" s="9" t="e">
        <f ca="1">MATCH(B38,'B2'!E:E,0)</f>
        <v>#N/A</v>
      </c>
      <c r="K38" s="9" t="e">
        <f ca="1">IF(ISERROR(J38),MATCH(C38,'B2'!F:F,0),J38)</f>
        <v>#N/A</v>
      </c>
      <c r="L38" s="9" t="e">
        <f ca="1">IF(ISERROR(K38),MATCH(D38,'B2'!G:G,0),K38)</f>
        <v>#N/A</v>
      </c>
      <c r="M38" s="9">
        <f ca="1">IF(ISERROR(L38),MATCH(E38,'B2'!H:H,0),L38)</f>
        <v>28</v>
      </c>
      <c r="N38" s="9" t="e">
        <f t="shared" ca="1" si="7"/>
        <v>#N/A</v>
      </c>
      <c r="O38" s="9">
        <f ca="1">MATCH(E38,'B2'!H:H,0)</f>
        <v>28</v>
      </c>
      <c r="P38" s="9">
        <f ca="1">IF(ISERROR(O38),MATCH(H38,'B2'!K:K,0),O38)</f>
        <v>28</v>
      </c>
      <c r="Q38" s="9">
        <f ca="1">IF(ISERROR(P38),MATCH(I38,'B2'!L:L,0),P38)</f>
        <v>28</v>
      </c>
      <c r="R38" s="9">
        <f ca="1">IF(ISERROR(Q38),MATCH(J38,'B2'!M:M,0),Q38)</f>
        <v>28</v>
      </c>
      <c r="S38" s="9" t="e">
        <f t="shared" ca="1" si="8"/>
        <v>#N/A</v>
      </c>
      <c r="T38" s="3">
        <f ca="1">OFFSET('B2'!$C$1,'B3'!M38-1,0)</f>
        <v>3.1888888888888887E-3</v>
      </c>
      <c r="U38" s="3">
        <f ca="1">OFFSET('B2'!$D$1,'B3'!R38-1,0)</f>
        <v>3.2870370370370371E-3</v>
      </c>
      <c r="V38" s="16">
        <f t="shared" ca="1" si="9"/>
        <v>3.2870370370370371E-3</v>
      </c>
      <c r="W38" s="4">
        <f t="shared" si="10"/>
        <v>53</v>
      </c>
      <c r="X38" s="5" t="e">
        <f t="shared" ca="1" si="11"/>
        <v>#N/A</v>
      </c>
      <c r="Y38" s="5">
        <f t="shared" ca="1" si="12"/>
        <v>9.8148148148148422E-5</v>
      </c>
      <c r="Z38" s="6" t="e">
        <f t="shared" ca="1" si="13"/>
        <v>#N/A</v>
      </c>
      <c r="AA38" s="12">
        <v>4.1844097222222222E-3</v>
      </c>
      <c r="AB38" s="13">
        <f t="shared" si="14"/>
        <v>8.1018518518518462E-5</v>
      </c>
      <c r="AC38" s="14" t="e">
        <f t="shared" ca="1" si="15"/>
        <v>#N/A</v>
      </c>
      <c r="AD38" s="10">
        <v>2.94</v>
      </c>
      <c r="AE38" s="3" t="b">
        <f t="shared" si="16"/>
        <v>0</v>
      </c>
      <c r="AG38" s="15"/>
    </row>
    <row r="39" spans="1:33" x14ac:dyDescent="0.3">
      <c r="A39" t="s">
        <v>760</v>
      </c>
      <c r="B39" s="2" t="str">
        <f t="shared" si="1"/>
        <v>事实上，按钮矩阵也可</v>
      </c>
      <c r="C39" s="2" t="str">
        <f t="shared" si="2"/>
        <v>事实上，</v>
      </c>
      <c r="D39" s="2" t="str">
        <f t="shared" si="3"/>
        <v>事实</v>
      </c>
      <c r="E39" s="2" t="str">
        <f t="shared" si="4"/>
        <v>另一种更直观的方法推得。</v>
      </c>
      <c r="F39" s="2" t="str">
        <f t="shared" si="5"/>
        <v>方法推得。</v>
      </c>
      <c r="G39" s="2" t="str">
        <f t="shared" si="5"/>
        <v>方法推得。</v>
      </c>
      <c r="H39" s="2" t="str">
        <f t="shared" si="5"/>
        <v>方法推得。</v>
      </c>
      <c r="I39" s="2" t="str">
        <f t="shared" si="6"/>
        <v>推得。</v>
      </c>
      <c r="J39" s="9">
        <f ca="1">MATCH(B39,'B2'!E:E,0)</f>
        <v>29</v>
      </c>
      <c r="K39" s="9">
        <f ca="1">IF(ISERROR(J39),MATCH(C39,'B2'!F:F,0),J39)</f>
        <v>29</v>
      </c>
      <c r="L39" s="9">
        <f ca="1">IF(ISERROR(K39),MATCH(D39,'B2'!G:G,0),K39)</f>
        <v>29</v>
      </c>
      <c r="M39" s="9">
        <f ca="1">IF(ISERROR(L39),MATCH(E39,'B2'!H:H,0),L39)</f>
        <v>29</v>
      </c>
      <c r="N39" s="9">
        <f t="shared" ca="1" si="7"/>
        <v>1</v>
      </c>
      <c r="O39" s="9">
        <f ca="1">MATCH(E39,'B2'!H:H,0)</f>
        <v>29</v>
      </c>
      <c r="P39" s="9">
        <f ca="1">IF(ISERROR(O39),MATCH(H39,'B2'!K:K,0),O39)</f>
        <v>29</v>
      </c>
      <c r="Q39" s="9">
        <f ca="1">IF(ISERROR(P39),MATCH(I39,'B2'!L:L,0),P39)</f>
        <v>29</v>
      </c>
      <c r="R39" s="9">
        <f ca="1">IF(ISERROR(Q39),MATCH(J39,'B2'!M:M,0),Q39)</f>
        <v>29</v>
      </c>
      <c r="S39" s="9">
        <f t="shared" ca="1" si="8"/>
        <v>1</v>
      </c>
      <c r="T39" s="3">
        <f ca="1">OFFSET('B2'!$C$1,'B3'!M39-1,0)</f>
        <v>3.2870370370370371E-3</v>
      </c>
      <c r="U39" s="3">
        <f ca="1">OFFSET('B2'!$D$1,'B3'!R39-1,0)</f>
        <v>3.3310185185185187E-3</v>
      </c>
      <c r="V39" s="16">
        <f t="shared" ca="1" si="9"/>
        <v>3.3314814814814813E-3</v>
      </c>
      <c r="W39" s="4">
        <f t="shared" si="10"/>
        <v>24</v>
      </c>
      <c r="X39" s="5">
        <f t="shared" ca="1" si="11"/>
        <v>0</v>
      </c>
      <c r="Y39" s="5">
        <f t="shared" ca="1" si="12"/>
        <v>4.3981481481481649E-5</v>
      </c>
      <c r="Z39" s="6">
        <f t="shared" ca="1" si="13"/>
        <v>4.4444444444444392E-5</v>
      </c>
      <c r="AA39" s="12">
        <v>4.2654282407407406E-3</v>
      </c>
      <c r="AB39" s="13">
        <f t="shared" si="14"/>
        <v>1.0995370370370412E-4</v>
      </c>
      <c r="AC39" s="14" t="str">
        <f t="shared" ca="1" si="15"/>
        <v>5.66</v>
      </c>
      <c r="AD39" s="10">
        <v>3.84</v>
      </c>
      <c r="AE39" s="3" t="b">
        <f t="shared" si="16"/>
        <v>0</v>
      </c>
      <c r="AG39" s="15"/>
    </row>
    <row r="40" spans="1:33" x14ac:dyDescent="0.3">
      <c r="A40" t="s">
        <v>761</v>
      </c>
      <c r="B40" s="2" t="str">
        <f t="shared" si="1"/>
        <v>首先，在第一个矩阵中</v>
      </c>
      <c r="C40" s="2" t="str">
        <f t="shared" si="2"/>
        <v>首先，在</v>
      </c>
      <c r="D40" s="2" t="str">
        <f t="shared" si="3"/>
        <v>首先</v>
      </c>
      <c r="E40" s="2" t="str">
        <f t="shared" si="4"/>
        <v>钮，尽量消去第一行的灯。</v>
      </c>
      <c r="F40" s="2" t="str">
        <f t="shared" si="5"/>
        <v>一行的灯。</v>
      </c>
      <c r="G40" s="2" t="str">
        <f t="shared" si="5"/>
        <v>一行的灯。</v>
      </c>
      <c r="H40" s="2" t="str">
        <f t="shared" si="5"/>
        <v>一行的灯。</v>
      </c>
      <c r="I40" s="2" t="str">
        <f t="shared" si="6"/>
        <v>的灯。</v>
      </c>
      <c r="J40" s="9">
        <f ca="1">MATCH(B40,'B2'!E:E,0)</f>
        <v>30</v>
      </c>
      <c r="K40" s="9">
        <f ca="1">IF(ISERROR(J40),MATCH(C40,'B2'!F:F,0),J40)</f>
        <v>30</v>
      </c>
      <c r="L40" s="9">
        <f ca="1">IF(ISERROR(K40),MATCH(D40,'B2'!G:G,0),K40)</f>
        <v>30</v>
      </c>
      <c r="M40" s="9">
        <f ca="1">IF(ISERROR(L40),MATCH(E40,'B2'!H:H,0),L40)</f>
        <v>30</v>
      </c>
      <c r="N40" s="9">
        <f t="shared" ca="1" si="7"/>
        <v>1</v>
      </c>
      <c r="O40" s="9">
        <f ca="1">MATCH(E40,'B2'!H:H,0)</f>
        <v>30</v>
      </c>
      <c r="P40" s="9">
        <f ca="1">IF(ISERROR(O40),MATCH(H40,'B2'!K:K,0),O40)</f>
        <v>30</v>
      </c>
      <c r="Q40" s="9">
        <f ca="1">IF(ISERROR(P40),MATCH(I40,'B2'!L:L,0),P40)</f>
        <v>30</v>
      </c>
      <c r="R40" s="9">
        <f ca="1">IF(ISERROR(Q40),MATCH(J40,'B2'!M:M,0),Q40)</f>
        <v>30</v>
      </c>
      <c r="S40" s="9">
        <f t="shared" ca="1" si="8"/>
        <v>1</v>
      </c>
      <c r="T40" s="3">
        <f ca="1">OFFSET('B2'!$C$1,'B3'!M40-1,0)</f>
        <v>3.3319444444444442E-3</v>
      </c>
      <c r="U40" s="3">
        <f ca="1">OFFSET('B2'!$D$1,'B3'!R40-1,0)</f>
        <v>3.500462962962963E-3</v>
      </c>
      <c r="V40" s="16">
        <f t="shared" ca="1" si="9"/>
        <v>3.5011574074074077E-3</v>
      </c>
      <c r="W40" s="4">
        <f t="shared" si="10"/>
        <v>46</v>
      </c>
      <c r="X40" s="5">
        <f t="shared" ca="1" si="11"/>
        <v>9.2592592592548664E-7</v>
      </c>
      <c r="Y40" s="5">
        <f t="shared" ca="1" si="12"/>
        <v>1.685185185185188E-4</v>
      </c>
      <c r="Z40" s="6">
        <f t="shared" ca="1" si="13"/>
        <v>1.6967592592592598E-4</v>
      </c>
      <c r="AA40" s="12">
        <v>4.3753819444444448E-3</v>
      </c>
      <c r="AB40" s="13">
        <f t="shared" si="14"/>
        <v>1.1226851851851849E-4</v>
      </c>
      <c r="AC40" s="14" t="str">
        <f t="shared" ca="1" si="15"/>
        <v>-4.96</v>
      </c>
      <c r="AD40" s="10">
        <v>1</v>
      </c>
      <c r="AE40" s="3" t="b">
        <f t="shared" si="16"/>
        <v>0</v>
      </c>
      <c r="AG40" s="15"/>
    </row>
    <row r="41" spans="1:33" x14ac:dyDescent="0.3">
      <c r="A41" t="s">
        <v>762</v>
      </c>
      <c r="B41" s="2" t="str">
        <f t="shared" si="1"/>
        <v>接着按第三行按钮，消</v>
      </c>
      <c r="C41" s="2" t="str">
        <f t="shared" si="2"/>
        <v>接着按第</v>
      </c>
      <c r="D41" s="2" t="str">
        <f t="shared" si="3"/>
        <v>接着</v>
      </c>
      <c r="E41" s="2" t="str">
        <f t="shared" si="4"/>
        <v>不断递推，直到最后一行。</v>
      </c>
      <c r="F41" s="2" t="str">
        <f t="shared" si="5"/>
        <v>最后一行。</v>
      </c>
      <c r="G41" s="2" t="str">
        <f t="shared" si="5"/>
        <v>最后一行。</v>
      </c>
      <c r="H41" s="2" t="str">
        <f t="shared" si="5"/>
        <v>最后一行。</v>
      </c>
      <c r="I41" s="2" t="str">
        <f t="shared" si="6"/>
        <v>一行。</v>
      </c>
      <c r="J41" s="9">
        <f ca="1">MATCH(B41,'B2'!E:E,0)</f>
        <v>31</v>
      </c>
      <c r="K41" s="9">
        <f ca="1">IF(ISERROR(J41),MATCH(C41,'B2'!F:F,0),J41)</f>
        <v>31</v>
      </c>
      <c r="L41" s="9">
        <f ca="1">IF(ISERROR(K41),MATCH(D41,'B2'!G:G,0),K41)</f>
        <v>31</v>
      </c>
      <c r="M41" s="9">
        <f ca="1">IF(ISERROR(L41),MATCH(E41,'B2'!H:H,0),L41)</f>
        <v>31</v>
      </c>
      <c r="N41" s="9">
        <f t="shared" ca="1" si="7"/>
        <v>1</v>
      </c>
      <c r="O41" s="9">
        <f ca="1">MATCH(E41,'B2'!H:H,0)</f>
        <v>31</v>
      </c>
      <c r="P41" s="9">
        <f ca="1">IF(ISERROR(O41),MATCH(H41,'B2'!K:K,0),O41)</f>
        <v>31</v>
      </c>
      <c r="Q41" s="9">
        <f ca="1">IF(ISERROR(P41),MATCH(I41,'B2'!L:L,0),P41)</f>
        <v>31</v>
      </c>
      <c r="R41" s="9">
        <f ca="1">IF(ISERROR(Q41),MATCH(J41,'B2'!M:M,0),Q41)</f>
        <v>31</v>
      </c>
      <c r="S41" s="9" t="e">
        <f t="shared" ca="1" si="8"/>
        <v>#N/A</v>
      </c>
      <c r="T41" s="3">
        <f ca="1">OFFSET('B2'!$C$1,'B3'!M41-1,0)</f>
        <v>3.5018518518518519E-3</v>
      </c>
      <c r="U41" s="3">
        <f ca="1">OFFSET('B2'!$D$1,'B3'!R41-1,0)</f>
        <v>3.6652777777777777E-3</v>
      </c>
      <c r="V41" s="16">
        <f t="shared" ca="1" si="9"/>
        <v>3.6655092592592594E-3</v>
      </c>
      <c r="W41" s="4">
        <f t="shared" si="10"/>
        <v>29</v>
      </c>
      <c r="X41" s="5">
        <f t="shared" ca="1" si="11"/>
        <v>1.3888888888888805E-6</v>
      </c>
      <c r="Y41" s="5">
        <f t="shared" ca="1" si="12"/>
        <v>1.634259259259258E-4</v>
      </c>
      <c r="Z41" s="6">
        <f t="shared" ca="1" si="13"/>
        <v>1.6435185185185194E-4</v>
      </c>
      <c r="AA41" s="12">
        <v>4.4876504629629633E-3</v>
      </c>
      <c r="AB41" s="13">
        <f t="shared" si="14"/>
        <v>8.9120370370369614E-5</v>
      </c>
      <c r="AC41" s="14" t="str">
        <f t="shared" ca="1" si="15"/>
        <v>-6.50</v>
      </c>
      <c r="AD41" s="10">
        <v>1.1399999999999999</v>
      </c>
      <c r="AE41" s="3" t="b">
        <f t="shared" si="16"/>
        <v>0</v>
      </c>
      <c r="AG41" s="15"/>
    </row>
    <row r="42" spans="1:33" x14ac:dyDescent="0.3">
      <c r="A42" t="s">
        <v>763</v>
      </c>
      <c r="B42" s="2" t="str">
        <f t="shared" si="1"/>
        <v>最终，最后一行按钮和</v>
      </c>
      <c r="C42" s="2" t="str">
        <f t="shared" si="2"/>
        <v>最终，最</v>
      </c>
      <c r="D42" s="2" t="str">
        <f t="shared" si="3"/>
        <v>最终</v>
      </c>
      <c r="E42" s="2" t="str">
        <f t="shared" si="4"/>
        <v>前面推得的矩阵是一样的。</v>
      </c>
      <c r="F42" s="2" t="str">
        <f t="shared" si="5"/>
        <v>是一样的。</v>
      </c>
      <c r="G42" s="2" t="str">
        <f t="shared" si="5"/>
        <v>是一样的。</v>
      </c>
      <c r="H42" s="2" t="str">
        <f t="shared" si="5"/>
        <v>是一样的。</v>
      </c>
      <c r="I42" s="2" t="str">
        <f t="shared" si="6"/>
        <v>样的。</v>
      </c>
      <c r="J42" s="9" t="e">
        <f ca="1">MATCH(B42,'B2'!E:E,0)</f>
        <v>#N/A</v>
      </c>
      <c r="K42" s="9" t="e">
        <f ca="1">IF(ISERROR(J42),MATCH(C42,'B2'!F:F,0),J42)</f>
        <v>#N/A</v>
      </c>
      <c r="L42" s="9">
        <f ca="1">IF(ISERROR(K42),MATCH(D42,'B2'!G:G,0),K42)</f>
        <v>32</v>
      </c>
      <c r="M42" s="9">
        <f ca="1">IF(ISERROR(L42),MATCH(E42,'B2'!H:H,0),L42)</f>
        <v>32</v>
      </c>
      <c r="N42" s="9">
        <f t="shared" ca="1" si="7"/>
        <v>0</v>
      </c>
      <c r="O42" s="9" t="e">
        <f ca="1">MATCH(E42,'B2'!H:H,0)</f>
        <v>#N/A</v>
      </c>
      <c r="P42" s="9" t="e">
        <f ca="1">IF(ISERROR(O42),MATCH(H42,'B2'!K:K,0),O42)</f>
        <v>#N/A</v>
      </c>
      <c r="Q42" s="9" t="e">
        <f ca="1">IF(ISERROR(P42),MATCH(I42,'B2'!L:L,0),P42)</f>
        <v>#N/A</v>
      </c>
      <c r="R42" s="9" t="e">
        <f ca="1">IF(ISERROR(Q42),MATCH(J42,'B2'!M:M,0),Q42)</f>
        <v>#N/A</v>
      </c>
      <c r="S42" s="9" t="e">
        <f t="shared" ca="1" si="8"/>
        <v>#N/A</v>
      </c>
      <c r="T42" s="3">
        <f ca="1">OFFSET('B2'!$C$1,'B3'!M42-1,0)</f>
        <v>3.6657407407407411E-3</v>
      </c>
      <c r="U42" s="3" t="e">
        <f ca="1">OFFSET('B2'!$D$1,'B3'!R42-1,0)</f>
        <v>#N/A</v>
      </c>
      <c r="V42" s="16" t="e">
        <f t="shared" ca="1" si="9"/>
        <v>#N/A</v>
      </c>
      <c r="W42" s="4">
        <f t="shared" si="10"/>
        <v>28</v>
      </c>
      <c r="X42" s="5">
        <f t="shared" ca="1" si="11"/>
        <v>4.6296296296339384E-7</v>
      </c>
      <c r="Y42" s="5" t="e">
        <f t="shared" ca="1" si="12"/>
        <v>#N/A</v>
      </c>
      <c r="Z42" s="6" t="e">
        <f t="shared" ca="1" si="13"/>
        <v>#N/A</v>
      </c>
      <c r="AA42" s="12">
        <v>4.5767708333333329E-3</v>
      </c>
      <c r="AB42" s="13">
        <f t="shared" si="14"/>
        <v>8.9120370370370482E-5</v>
      </c>
      <c r="AC42" s="14" t="e">
        <f t="shared" ca="1" si="15"/>
        <v>#N/A</v>
      </c>
      <c r="AD42" s="10">
        <v>1.4</v>
      </c>
      <c r="AE42" s="3" t="b">
        <f t="shared" si="16"/>
        <v>0</v>
      </c>
      <c r="AG42" s="15"/>
    </row>
    <row r="43" spans="1:33" x14ac:dyDescent="0.3">
      <c r="A43" t="s">
        <v>764</v>
      </c>
      <c r="B43" s="2" t="str">
        <f t="shared" si="1"/>
        <v>同样，在第二个矩阵点</v>
      </c>
      <c r="C43" s="2" t="str">
        <f t="shared" si="2"/>
        <v>同样，在</v>
      </c>
      <c r="D43" s="2" t="str">
        <f t="shared" si="3"/>
        <v>同样</v>
      </c>
      <c r="E43" s="2" t="str">
        <f t="shared" si="4"/>
        <v>最后一行按钮和灯的状态。</v>
      </c>
      <c r="F43" s="2" t="str">
        <f t="shared" si="5"/>
        <v>灯的状态。</v>
      </c>
      <c r="G43" s="2" t="str">
        <f t="shared" si="5"/>
        <v>灯的状态。</v>
      </c>
      <c r="H43" s="2" t="str">
        <f t="shared" si="5"/>
        <v>灯的状态。</v>
      </c>
      <c r="I43" s="2" t="str">
        <f t="shared" si="6"/>
        <v>状态。</v>
      </c>
      <c r="J43" s="9" t="e">
        <f ca="1">MATCH(B43,'B2'!E:E,0)</f>
        <v>#N/A</v>
      </c>
      <c r="K43" s="9" t="e">
        <f ca="1">IF(ISERROR(J43),MATCH(C43,'B2'!F:F,0),J43)</f>
        <v>#N/A</v>
      </c>
      <c r="L43" s="9">
        <f ca="1">IF(ISERROR(K43),MATCH(D43,'B2'!G:G,0),K43)</f>
        <v>17</v>
      </c>
      <c r="M43" s="9">
        <f ca="1">IF(ISERROR(L43),MATCH(E43,'B2'!H:H,0),L43)</f>
        <v>17</v>
      </c>
      <c r="N43" s="9">
        <f t="shared" ca="1" si="7"/>
        <v>0</v>
      </c>
      <c r="O43" s="9">
        <f ca="1">MATCH(E43,'B2'!H:H,0)</f>
        <v>32</v>
      </c>
      <c r="P43" s="9">
        <f ca="1">IF(ISERROR(O43),MATCH(H43,'B2'!K:K,0),O43)</f>
        <v>32</v>
      </c>
      <c r="Q43" s="9">
        <f ca="1">IF(ISERROR(P43),MATCH(I43,'B2'!L:L,0),P43)</f>
        <v>32</v>
      </c>
      <c r="R43" s="9">
        <f ca="1">IF(ISERROR(Q43),MATCH(J43,'B2'!M:M,0),Q43)</f>
        <v>32</v>
      </c>
      <c r="S43" s="9" t="e">
        <f t="shared" ca="1" si="8"/>
        <v>#N/A</v>
      </c>
      <c r="T43" s="3">
        <f ca="1">OFFSET('B2'!$C$1,'B3'!M43-1,0)</f>
        <v>1.6328703703703702E-3</v>
      </c>
      <c r="U43" s="3">
        <f ca="1">OFFSET('B2'!$D$1,'B3'!R43-1,0)</f>
        <v>3.8166666666666666E-3</v>
      </c>
      <c r="V43" s="16">
        <f t="shared" ca="1" si="9"/>
        <v>3.8171296296296295E-3</v>
      </c>
      <c r="W43" s="4">
        <f t="shared" si="10"/>
        <v>47</v>
      </c>
      <c r="X43" s="5" t="e">
        <f t="shared" ca="1" si="11"/>
        <v>#N/A</v>
      </c>
      <c r="Y43" s="5">
        <f t="shared" ca="1" si="12"/>
        <v>2.1837962962962965E-3</v>
      </c>
      <c r="Z43" s="6" t="e">
        <f t="shared" ca="1" si="13"/>
        <v>#N/A</v>
      </c>
      <c r="AA43" s="12">
        <v>4.6658912037037033E-3</v>
      </c>
      <c r="AB43" s="13">
        <f t="shared" si="14"/>
        <v>8.1018518518518462E-5</v>
      </c>
      <c r="AC43" s="14" t="e">
        <f t="shared" ca="1" si="15"/>
        <v>#N/A</v>
      </c>
      <c r="AD43" s="10">
        <v>1.58</v>
      </c>
      <c r="AE43" s="3" t="b">
        <f t="shared" si="16"/>
        <v>0</v>
      </c>
      <c r="AG43" s="15"/>
    </row>
    <row r="44" spans="1:33" x14ac:dyDescent="0.3">
      <c r="A44" t="s">
        <v>765</v>
      </c>
      <c r="B44" s="2" t="str">
        <f t="shared" si="1"/>
        <v>通过这个方法，我们可</v>
      </c>
      <c r="C44" s="2" t="str">
        <f t="shared" si="2"/>
        <v>通过这个</v>
      </c>
      <c r="D44" s="2" t="str">
        <f t="shared" si="3"/>
        <v>通过</v>
      </c>
      <c r="E44" s="2" t="str">
        <f t="shared" si="4"/>
        <v>所有矩阵最后一行的状态。</v>
      </c>
      <c r="F44" s="2" t="str">
        <f t="shared" si="5"/>
        <v>行的状态。</v>
      </c>
      <c r="G44" s="2" t="str">
        <f t="shared" si="5"/>
        <v>行的状态。</v>
      </c>
      <c r="H44" s="2" t="str">
        <f t="shared" si="5"/>
        <v>行的状态。</v>
      </c>
      <c r="I44" s="2" t="str">
        <f t="shared" si="6"/>
        <v>状态。</v>
      </c>
      <c r="J44" s="9">
        <f ca="1">MATCH(B44,'B2'!E:E,0)</f>
        <v>33</v>
      </c>
      <c r="K44" s="9">
        <f ca="1">IF(ISERROR(J44),MATCH(C44,'B2'!F:F,0),J44)</f>
        <v>33</v>
      </c>
      <c r="L44" s="9">
        <f ca="1">IF(ISERROR(K44),MATCH(D44,'B2'!G:G,0),K44)</f>
        <v>33</v>
      </c>
      <c r="M44" s="9">
        <f ca="1">IF(ISERROR(L44),MATCH(E44,'B2'!H:H,0),L44)</f>
        <v>33</v>
      </c>
      <c r="N44" s="9">
        <f t="shared" ca="1" si="7"/>
        <v>1</v>
      </c>
      <c r="O44" s="9">
        <f ca="1">MATCH(E44,'B2'!H:H,0)</f>
        <v>33</v>
      </c>
      <c r="P44" s="9">
        <f ca="1">IF(ISERROR(O44),MATCH(H44,'B2'!K:K,0),O44)</f>
        <v>33</v>
      </c>
      <c r="Q44" s="9">
        <f ca="1">IF(ISERROR(P44),MATCH(I44,'B2'!L:L,0),P44)</f>
        <v>33</v>
      </c>
      <c r="R44" s="9">
        <f ca="1">IF(ISERROR(Q44),MATCH(J44,'B2'!M:M,0),Q44)</f>
        <v>33</v>
      </c>
      <c r="S44" s="9">
        <f t="shared" ca="1" si="8"/>
        <v>1</v>
      </c>
      <c r="T44" s="3">
        <f ca="1">OFFSET('B2'!$C$1,'B3'!M44-1,0)</f>
        <v>3.8175925925925925E-3</v>
      </c>
      <c r="U44" s="3">
        <f ca="1">OFFSET('B2'!$D$1,'B3'!R44-1,0)</f>
        <v>3.8847222222222221E-3</v>
      </c>
      <c r="V44" s="16">
        <f t="shared" ca="1" si="9"/>
        <v>3.8856481481481485E-3</v>
      </c>
      <c r="W44" s="4">
        <f t="shared" si="10"/>
        <v>25</v>
      </c>
      <c r="X44" s="5">
        <f t="shared" ca="1" si="11"/>
        <v>9.2592592592592032E-7</v>
      </c>
      <c r="Y44" s="5">
        <f t="shared" ca="1" si="12"/>
        <v>6.7129629629629657E-5</v>
      </c>
      <c r="Z44" s="6">
        <f t="shared" ca="1" si="13"/>
        <v>6.8518518518518754E-5</v>
      </c>
      <c r="AA44" s="12">
        <v>4.7469097222222218E-3</v>
      </c>
      <c r="AB44" s="13">
        <f t="shared" si="14"/>
        <v>1.2384259259259293E-4</v>
      </c>
      <c r="AC44" s="14" t="str">
        <f t="shared" ca="1" si="15"/>
        <v>4.78</v>
      </c>
      <c r="AD44" s="10">
        <v>7.76</v>
      </c>
      <c r="AE44" s="3" t="b">
        <f t="shared" si="16"/>
        <v>0</v>
      </c>
      <c r="AG44" s="15"/>
    </row>
    <row r="45" spans="1:33" x14ac:dyDescent="0.3">
      <c r="A45" t="s">
        <v>766</v>
      </c>
      <c r="B45" s="2" t="str">
        <f t="shared" si="1"/>
        <v>另外，翻转向量也可以</v>
      </c>
      <c r="C45" s="2" t="str">
        <f t="shared" si="2"/>
        <v>另外，翻</v>
      </c>
      <c r="D45" s="2" t="str">
        <f t="shared" si="3"/>
        <v>另外</v>
      </c>
      <c r="E45" s="2" t="str">
        <f t="shared" si="4"/>
        <v>也可以用相似的方法推得。</v>
      </c>
      <c r="F45" s="2" t="str">
        <f t="shared" si="5"/>
        <v>方法推得。</v>
      </c>
      <c r="G45" s="2" t="str">
        <f t="shared" si="5"/>
        <v>方法推得。</v>
      </c>
      <c r="H45" s="2" t="str">
        <f t="shared" si="5"/>
        <v>方法推得。</v>
      </c>
      <c r="I45" s="2" t="str">
        <f t="shared" si="6"/>
        <v>推得。</v>
      </c>
      <c r="J45" s="9">
        <f ca="1">MATCH(B45,'B2'!E:E,0)</f>
        <v>34</v>
      </c>
      <c r="K45" s="9">
        <f ca="1">IF(ISERROR(J45),MATCH(C45,'B2'!F:F,0),J45)</f>
        <v>34</v>
      </c>
      <c r="L45" s="9">
        <f ca="1">IF(ISERROR(K45),MATCH(D45,'B2'!G:G,0),K45)</f>
        <v>34</v>
      </c>
      <c r="M45" s="9">
        <f ca="1">IF(ISERROR(L45),MATCH(E45,'B2'!H:H,0),L45)</f>
        <v>34</v>
      </c>
      <c r="N45" s="9">
        <f t="shared" ca="1" si="7"/>
        <v>1</v>
      </c>
      <c r="O45" s="9">
        <f ca="1">MATCH(E45,'B2'!H:H,0)</f>
        <v>34</v>
      </c>
      <c r="P45" s="9">
        <f ca="1">IF(ISERROR(O45),MATCH(H45,'B2'!K:K,0),O45)</f>
        <v>34</v>
      </c>
      <c r="Q45" s="9">
        <f ca="1">IF(ISERROR(P45),MATCH(I45,'B2'!L:L,0),P45)</f>
        <v>34</v>
      </c>
      <c r="R45" s="9">
        <f ca="1">IF(ISERROR(Q45),MATCH(J45,'B2'!M:M,0),Q45)</f>
        <v>34</v>
      </c>
      <c r="S45" s="9">
        <f t="shared" ca="1" si="8"/>
        <v>1</v>
      </c>
      <c r="T45" s="3">
        <f ca="1">OFFSET('B2'!$C$1,'B3'!M45-1,0)</f>
        <v>3.8865740740740744E-3</v>
      </c>
      <c r="U45" s="3">
        <f ca="1">OFFSET('B2'!$D$1,'B3'!R45-1,0)</f>
        <v>3.9773148148148146E-3</v>
      </c>
      <c r="V45" s="16">
        <f t="shared" ca="1" si="9"/>
        <v>3.977777777777778E-3</v>
      </c>
      <c r="W45" s="4">
        <f t="shared" si="10"/>
        <v>19</v>
      </c>
      <c r="X45" s="5">
        <f t="shared" ca="1" si="11"/>
        <v>1.8518518518522743E-6</v>
      </c>
      <c r="Y45" s="5">
        <f t="shared" ca="1" si="12"/>
        <v>9.0740740740740192E-5</v>
      </c>
      <c r="Z45" s="6">
        <f t="shared" ca="1" si="13"/>
        <v>9.2129629629629723E-5</v>
      </c>
      <c r="AA45" s="12">
        <v>4.8707523148148147E-3</v>
      </c>
      <c r="AB45" s="13">
        <f t="shared" si="14"/>
        <v>6.4814814814814423E-5</v>
      </c>
      <c r="AC45" s="14" t="str">
        <f t="shared" ca="1" si="15"/>
        <v>-2.36</v>
      </c>
      <c r="AD45" s="10">
        <v>1</v>
      </c>
      <c r="AE45" s="3" t="b">
        <f t="shared" si="16"/>
        <v>0</v>
      </c>
      <c r="AG45" s="15"/>
    </row>
    <row r="46" spans="1:33" x14ac:dyDescent="0.3">
      <c r="A46" t="s">
        <v>767</v>
      </c>
      <c r="B46" s="2" t="str">
        <f t="shared" si="1"/>
        <v>我们把所有灯全部点亮</v>
      </c>
      <c r="C46" s="2" t="str">
        <f t="shared" si="2"/>
        <v>我们把所</v>
      </c>
      <c r="D46" s="2" t="str">
        <f t="shared" si="3"/>
        <v>我们</v>
      </c>
      <c r="E46" s="2" t="str">
        <f t="shared" si="4"/>
        <v>翻转向量最后一行的状态。</v>
      </c>
      <c r="F46" s="2" t="str">
        <f t="shared" si="5"/>
        <v>行的状态。</v>
      </c>
      <c r="G46" s="2" t="str">
        <f t="shared" si="5"/>
        <v>行的状态。</v>
      </c>
      <c r="H46" s="2" t="str">
        <f t="shared" si="5"/>
        <v>行的状态。</v>
      </c>
      <c r="I46" s="2" t="str">
        <f t="shared" si="6"/>
        <v>状态。</v>
      </c>
      <c r="J46" s="9">
        <f ca="1">MATCH(B46,'B2'!E:E,0)</f>
        <v>35</v>
      </c>
      <c r="K46" s="9">
        <f ca="1">IF(ISERROR(J46),MATCH(C46,'B2'!F:F,0),J46)</f>
        <v>35</v>
      </c>
      <c r="L46" s="9">
        <f ca="1">IF(ISERROR(K46),MATCH(D46,'B2'!G:G,0),K46)</f>
        <v>35</v>
      </c>
      <c r="M46" s="9">
        <f ca="1">IF(ISERROR(L46),MATCH(E46,'B2'!H:H,0),L46)</f>
        <v>35</v>
      </c>
      <c r="N46" s="9">
        <f t="shared" ca="1" si="7"/>
        <v>1</v>
      </c>
      <c r="O46" s="9">
        <f ca="1">MATCH(E46,'B2'!H:H,0)</f>
        <v>35</v>
      </c>
      <c r="P46" s="9">
        <f ca="1">IF(ISERROR(O46),MATCH(H46,'B2'!K:K,0),O46)</f>
        <v>35</v>
      </c>
      <c r="Q46" s="9">
        <f ca="1">IF(ISERROR(P46),MATCH(I46,'B2'!L:L,0),P46)</f>
        <v>35</v>
      </c>
      <c r="R46" s="9">
        <f ca="1">IF(ISERROR(Q46),MATCH(J46,'B2'!M:M,0),Q46)</f>
        <v>35</v>
      </c>
      <c r="S46" s="9">
        <f t="shared" ca="1" si="8"/>
        <v>1</v>
      </c>
      <c r="T46" s="3">
        <f ca="1">OFFSET('B2'!$C$1,'B3'!M46-1,0)</f>
        <v>3.9782407407407414E-3</v>
      </c>
      <c r="U46" s="3">
        <f ca="1">OFFSET('B2'!$D$1,'B3'!R46-1,0)</f>
        <v>4.0375000000000003E-3</v>
      </c>
      <c r="V46" s="16">
        <f t="shared" ca="1" si="9"/>
        <v>4.0375000000000003E-3</v>
      </c>
      <c r="W46" s="4">
        <f t="shared" si="10"/>
        <v>46</v>
      </c>
      <c r="X46" s="5">
        <f t="shared" ca="1" si="11"/>
        <v>9.2592592592678769E-7</v>
      </c>
      <c r="Y46" s="5">
        <f t="shared" ca="1" si="12"/>
        <v>5.9259259259258901E-5</v>
      </c>
      <c r="Z46" s="6">
        <f t="shared" ca="1" si="13"/>
        <v>5.9722222222222295E-5</v>
      </c>
      <c r="AA46" s="12">
        <v>4.9355671296296292E-3</v>
      </c>
      <c r="AB46" s="13">
        <f t="shared" si="14"/>
        <v>1.1226851851851849E-4</v>
      </c>
      <c r="AC46" s="14" t="str">
        <f t="shared" ca="1" si="15"/>
        <v>4.54</v>
      </c>
      <c r="AD46" s="10">
        <v>4.6399999999999997</v>
      </c>
      <c r="AE46" s="3" t="b">
        <f t="shared" si="16"/>
        <v>0</v>
      </c>
      <c r="AG46" s="15"/>
    </row>
    <row r="47" spans="1:33" x14ac:dyDescent="0.3">
      <c r="A47" t="s">
        <v>768</v>
      </c>
      <c r="B47" s="2" t="str">
        <f t="shared" si="1"/>
        <v>我们把这种方法称作余</v>
      </c>
      <c r="C47" s="2" t="str">
        <f t="shared" si="2"/>
        <v>我们把这</v>
      </c>
      <c r="D47" s="2" t="str">
        <f t="shared" si="3"/>
        <v>我们</v>
      </c>
      <c r="E47" s="2" t="str">
        <f t="shared" si="4"/>
        <v>趣的小伙伴可以自行证明。</v>
      </c>
      <c r="F47" s="2" t="str">
        <f t="shared" si="5"/>
        <v>自行证明。</v>
      </c>
      <c r="G47" s="2" t="str">
        <f t="shared" si="5"/>
        <v>自行证明。</v>
      </c>
      <c r="H47" s="2" t="str">
        <f t="shared" si="5"/>
        <v>自行证明。</v>
      </c>
      <c r="I47" s="2" t="str">
        <f t="shared" si="6"/>
        <v>证明。</v>
      </c>
      <c r="J47" s="9">
        <f ca="1">MATCH(B47,'B2'!E:E,0)</f>
        <v>36</v>
      </c>
      <c r="K47" s="9">
        <f ca="1">IF(ISERROR(J47),MATCH(C47,'B2'!F:F,0),J47)</f>
        <v>36</v>
      </c>
      <c r="L47" s="9">
        <f ca="1">IF(ISERROR(K47),MATCH(D47,'B2'!G:G,0),K47)</f>
        <v>36</v>
      </c>
      <c r="M47" s="9">
        <f ca="1">IF(ISERROR(L47),MATCH(E47,'B2'!H:H,0),L47)</f>
        <v>36</v>
      </c>
      <c r="N47" s="9">
        <f t="shared" ca="1" si="7"/>
        <v>1</v>
      </c>
      <c r="O47" s="9">
        <f ca="1">MATCH(E47,'B2'!H:H,0)</f>
        <v>37</v>
      </c>
      <c r="P47" s="9">
        <f ca="1">IF(ISERROR(O47),MATCH(H47,'B2'!K:K,0),O47)</f>
        <v>37</v>
      </c>
      <c r="Q47" s="9">
        <f ca="1">IF(ISERROR(P47),MATCH(I47,'B2'!L:L,0),P47)</f>
        <v>37</v>
      </c>
      <c r="R47" s="9">
        <f ca="1">IF(ISERROR(Q47),MATCH(J47,'B2'!M:M,0),Q47)</f>
        <v>37</v>
      </c>
      <c r="S47" s="9">
        <f t="shared" ca="1" si="8"/>
        <v>1</v>
      </c>
      <c r="T47" s="3">
        <f ca="1">OFFSET('B2'!$C$1,'B3'!M47-1,0)</f>
        <v>4.0375000000000003E-3</v>
      </c>
      <c r="U47" s="3">
        <f ca="1">OFFSET('B2'!$D$1,'B3'!R47-1,0)</f>
        <v>4.1199074074074072E-3</v>
      </c>
      <c r="V47" s="16">
        <f t="shared" ca="1" si="9"/>
        <v>4.1826388888888885E-3</v>
      </c>
      <c r="W47" s="4">
        <f t="shared" si="10"/>
        <v>46</v>
      </c>
      <c r="X47" s="5">
        <f t="shared" ca="1" si="11"/>
        <v>0</v>
      </c>
      <c r="Y47" s="5">
        <f t="shared" ca="1" si="12"/>
        <v>8.2407407407406909E-5</v>
      </c>
      <c r="Z47" s="6">
        <f t="shared" ca="1" si="13"/>
        <v>1.4513888888888866E-4</v>
      </c>
      <c r="AA47" s="12">
        <v>5.0478356481481476E-3</v>
      </c>
      <c r="AB47" s="13">
        <f t="shared" si="14"/>
        <v>7.1759259259259259E-5</v>
      </c>
      <c r="AC47" s="14" t="str">
        <f t="shared" ca="1" si="15"/>
        <v>-6.34</v>
      </c>
      <c r="AD47" s="10">
        <v>2.36</v>
      </c>
      <c r="AE47" s="3" t="b">
        <f t="shared" si="16"/>
        <v>0</v>
      </c>
      <c r="AG47" s="15"/>
    </row>
    <row r="48" spans="1:33" x14ac:dyDescent="0.3">
      <c r="A48" t="s">
        <v>769</v>
      </c>
      <c r="B48" s="2" t="str">
        <f t="shared" si="1"/>
        <v>在《生成优化矩阵》章</v>
      </c>
      <c r="C48" s="2" t="str">
        <f t="shared" si="2"/>
        <v>在《生成</v>
      </c>
      <c r="D48" s="2" t="str">
        <f t="shared" si="3"/>
        <v>在《</v>
      </c>
      <c r="E48" s="2" t="str">
        <f t="shared" si="4"/>
        <v>个矩阵变为了第n个矩阵。</v>
      </c>
      <c r="F48" s="2" t="str">
        <f t="shared" si="5"/>
        <v>n个矩阵。</v>
      </c>
      <c r="G48" s="2" t="str">
        <f t="shared" si="5"/>
        <v>n个矩阵。</v>
      </c>
      <c r="H48" s="2" t="str">
        <f t="shared" si="5"/>
        <v>n个矩阵。</v>
      </c>
      <c r="I48" s="2" t="str">
        <f t="shared" si="6"/>
        <v>矩阵。</v>
      </c>
      <c r="J48" s="9" t="e">
        <f ca="1">MATCH(B48,'B2'!E:E,0)</f>
        <v>#N/A</v>
      </c>
      <c r="K48" s="9" t="e">
        <f ca="1">IF(ISERROR(J48),MATCH(C48,'B2'!F:F,0),J48)</f>
        <v>#N/A</v>
      </c>
      <c r="L48" s="9" t="e">
        <f ca="1">IF(ISERROR(K48),MATCH(D48,'B2'!G:G,0),K48)</f>
        <v>#N/A</v>
      </c>
      <c r="M48" s="9">
        <f ca="1">IF(ISERROR(L48),MATCH(E48,'B2'!H:H,0),L48)</f>
        <v>39</v>
      </c>
      <c r="N48" s="9">
        <f t="shared" ca="1" si="7"/>
        <v>1</v>
      </c>
      <c r="O48" s="9">
        <f ca="1">MATCH(E48,'B2'!H:H,0)</f>
        <v>39</v>
      </c>
      <c r="P48" s="9">
        <f ca="1">IF(ISERROR(O48),MATCH(H48,'B2'!K:K,0),O48)</f>
        <v>39</v>
      </c>
      <c r="Q48" s="9">
        <f ca="1">IF(ISERROR(P48),MATCH(I48,'B2'!L:L,0),P48)</f>
        <v>39</v>
      </c>
      <c r="R48" s="9">
        <f ca="1">IF(ISERROR(Q48),MATCH(J48,'B2'!M:M,0),Q48)</f>
        <v>39</v>
      </c>
      <c r="S48" s="9">
        <f t="shared" ca="1" si="8"/>
        <v>1</v>
      </c>
      <c r="T48" s="3">
        <f ca="1">OFFSET('B2'!$C$1,'B3'!M48-1,0)</f>
        <v>4.2453703703703707E-3</v>
      </c>
      <c r="U48" s="3">
        <f ca="1">OFFSET('B2'!$D$1,'B3'!R48-1,0)</f>
        <v>4.2870370370370371E-3</v>
      </c>
      <c r="V48" s="16">
        <f t="shared" ca="1" si="9"/>
        <v>4.2877314814814809E-3</v>
      </c>
      <c r="W48" s="4">
        <f t="shared" si="10"/>
        <v>58</v>
      </c>
      <c r="X48" s="5">
        <f t="shared" ca="1" si="11"/>
        <v>1.254629629629635E-4</v>
      </c>
      <c r="Y48" s="5">
        <f t="shared" ca="1" si="12"/>
        <v>4.1666666666666415E-5</v>
      </c>
      <c r="Z48" s="6">
        <f t="shared" ca="1" si="13"/>
        <v>1.0509259259259239E-4</v>
      </c>
      <c r="AA48" s="12">
        <v>5.1195949074074069E-3</v>
      </c>
      <c r="AB48" s="13">
        <f t="shared" si="14"/>
        <v>1.4236111111111133E-4</v>
      </c>
      <c r="AC48" s="14" t="str">
        <f t="shared" ca="1" si="15"/>
        <v>3.22</v>
      </c>
      <c r="AD48" s="10">
        <v>3.82</v>
      </c>
      <c r="AE48" s="3" t="b">
        <f t="shared" si="16"/>
        <v>0</v>
      </c>
      <c r="AG48" s="15"/>
    </row>
    <row r="49" spans="1:33" x14ac:dyDescent="0.3">
      <c r="A49" t="s">
        <v>770</v>
      </c>
      <c r="B49" s="2" t="str">
        <f t="shared" si="1"/>
        <v>这n个矩阵都满足十字</v>
      </c>
      <c r="C49" s="2" t="str">
        <f t="shared" si="2"/>
        <v>这n个矩</v>
      </c>
      <c r="D49" s="2" t="str">
        <f t="shared" si="3"/>
        <v>这n</v>
      </c>
      <c r="E49" s="2" t="str">
        <f t="shared" si="4"/>
        <v>因此这里的公式省去了n。</v>
      </c>
      <c r="F49" s="2" t="str">
        <f t="shared" si="5"/>
        <v>省去了n。</v>
      </c>
      <c r="G49" s="2" t="str">
        <f t="shared" si="5"/>
        <v>省去了n。</v>
      </c>
      <c r="H49" s="2" t="str">
        <f t="shared" si="5"/>
        <v>省去了n。</v>
      </c>
      <c r="I49" s="2" t="str">
        <f t="shared" si="6"/>
        <v>了n。</v>
      </c>
      <c r="J49" s="9">
        <f ca="1">MATCH(B49,'B2'!E:E,0)</f>
        <v>40</v>
      </c>
      <c r="K49" s="9">
        <f ca="1">IF(ISERROR(J49),MATCH(C49,'B2'!F:F,0),J49)</f>
        <v>40</v>
      </c>
      <c r="L49" s="9">
        <f ca="1">IF(ISERROR(K49),MATCH(D49,'B2'!G:G,0),K49)</f>
        <v>40</v>
      </c>
      <c r="M49" s="9">
        <f ca="1">IF(ISERROR(L49),MATCH(E49,'B2'!H:H,0),L49)</f>
        <v>40</v>
      </c>
      <c r="N49" s="9">
        <f t="shared" ca="1" si="7"/>
        <v>1</v>
      </c>
      <c r="O49" s="9">
        <f ca="1">MATCH(E49,'B2'!H:H,0)</f>
        <v>40</v>
      </c>
      <c r="P49" s="9">
        <f ca="1">IF(ISERROR(O49),MATCH(H49,'B2'!K:K,0),O49)</f>
        <v>40</v>
      </c>
      <c r="Q49" s="9">
        <f ca="1">IF(ISERROR(P49),MATCH(I49,'B2'!L:L,0),P49)</f>
        <v>40</v>
      </c>
      <c r="R49" s="9">
        <f ca="1">IF(ISERROR(Q49),MATCH(J49,'B2'!M:M,0),Q49)</f>
        <v>40</v>
      </c>
      <c r="S49" s="9">
        <f t="shared" ca="1" si="8"/>
        <v>1</v>
      </c>
      <c r="T49" s="3">
        <f ca="1">OFFSET('B2'!$C$1,'B3'!M49-1,0)</f>
        <v>4.2884259259259256E-3</v>
      </c>
      <c r="U49" s="3">
        <f ca="1">OFFSET('B2'!$D$1,'B3'!R49-1,0)</f>
        <v>4.4046296296296299E-3</v>
      </c>
      <c r="V49" s="16">
        <f t="shared" ca="1" si="9"/>
        <v>4.4053240740740737E-3</v>
      </c>
      <c r="W49" s="4">
        <f t="shared" si="10"/>
        <v>42</v>
      </c>
      <c r="X49" s="5">
        <f t="shared" ca="1" si="11"/>
        <v>1.3888888888884468E-6</v>
      </c>
      <c r="Y49" s="5">
        <f t="shared" ca="1" si="12"/>
        <v>1.162037037037043E-4</v>
      </c>
      <c r="Z49" s="6">
        <f t="shared" ca="1" si="13"/>
        <v>1.1759259259259275E-4</v>
      </c>
      <c r="AA49" s="12">
        <v>5.2619560185185182E-3</v>
      </c>
      <c r="AB49" s="13">
        <f t="shared" si="14"/>
        <v>1.5625000000000014E-4</v>
      </c>
      <c r="AC49" s="14" t="str">
        <f t="shared" ca="1" si="15"/>
        <v>3.34</v>
      </c>
      <c r="AD49" s="10">
        <v>2.2599999999999998</v>
      </c>
      <c r="AE49" s="3" t="b">
        <f t="shared" si="16"/>
        <v>0</v>
      </c>
      <c r="AG49" s="15"/>
    </row>
    <row r="50" spans="1:33" x14ac:dyDescent="0.3">
      <c r="A50" t="s">
        <v>771</v>
      </c>
      <c r="B50" s="2" t="str">
        <f t="shared" si="1"/>
        <v>这里和之前的情况是一</v>
      </c>
      <c r="C50" s="2" t="str">
        <f t="shared" si="2"/>
        <v>这里和之</v>
      </c>
      <c r="D50" s="2" t="str">
        <f t="shared" si="3"/>
        <v>这里</v>
      </c>
      <c r="E50" s="2" t="str">
        <f t="shared" si="4"/>
        <v>了，因此位置发生了变化。</v>
      </c>
      <c r="F50" s="2" t="str">
        <f t="shared" si="5"/>
        <v>生了变化。</v>
      </c>
      <c r="G50" s="2" t="str">
        <f t="shared" si="5"/>
        <v>生了变化。</v>
      </c>
      <c r="H50" s="2" t="str">
        <f t="shared" si="5"/>
        <v>生了变化。</v>
      </c>
      <c r="I50" s="2" t="str">
        <f t="shared" si="6"/>
        <v>变化。</v>
      </c>
      <c r="J50" s="9">
        <f ca="1">MATCH(B50,'B2'!E:E,0)</f>
        <v>41</v>
      </c>
      <c r="K50" s="9">
        <f ca="1">IF(ISERROR(J50),MATCH(C50,'B2'!F:F,0),J50)</f>
        <v>41</v>
      </c>
      <c r="L50" s="9">
        <f ca="1">IF(ISERROR(K50),MATCH(D50,'B2'!G:G,0),K50)</f>
        <v>41</v>
      </c>
      <c r="M50" s="9">
        <f ca="1">IF(ISERROR(L50),MATCH(E50,'B2'!H:H,0),L50)</f>
        <v>41</v>
      </c>
      <c r="N50" s="9">
        <f t="shared" ca="1" si="7"/>
        <v>1</v>
      </c>
      <c r="O50" s="9">
        <f ca="1">MATCH(E50,'B2'!H:H,0)</f>
        <v>41</v>
      </c>
      <c r="P50" s="9">
        <f ca="1">IF(ISERROR(O50),MATCH(H50,'B2'!K:K,0),O50)</f>
        <v>41</v>
      </c>
      <c r="Q50" s="9">
        <f ca="1">IF(ISERROR(P50),MATCH(I50,'B2'!L:L,0),P50)</f>
        <v>41</v>
      </c>
      <c r="R50" s="9">
        <f ca="1">IF(ISERROR(Q50),MATCH(J50,'B2'!M:M,0),Q50)</f>
        <v>41</v>
      </c>
      <c r="S50" s="9">
        <f t="shared" ca="1" si="8"/>
        <v>1</v>
      </c>
      <c r="T50" s="3">
        <f ca="1">OFFSET('B2'!$C$1,'B3'!M50-1,0)</f>
        <v>4.4060185185185183E-3</v>
      </c>
      <c r="U50" s="3">
        <f ca="1">OFFSET('B2'!$D$1,'B3'!R50-1,0)</f>
        <v>4.4740740740740739E-3</v>
      </c>
      <c r="V50" s="16">
        <f t="shared" ca="1" si="9"/>
        <v>4.4740740740740739E-3</v>
      </c>
      <c r="W50" s="4">
        <f t="shared" si="10"/>
        <v>33</v>
      </c>
      <c r="X50" s="5">
        <f t="shared" ca="1" si="11"/>
        <v>1.3888888888884468E-6</v>
      </c>
      <c r="Y50" s="5">
        <f t="shared" ca="1" si="12"/>
        <v>6.8055555555555577E-5</v>
      </c>
      <c r="Z50" s="6">
        <f t="shared" ca="1" si="13"/>
        <v>6.8749999999999801E-5</v>
      </c>
      <c r="AA50" s="12">
        <v>5.4182060185185184E-3</v>
      </c>
      <c r="AB50" s="13">
        <f t="shared" si="14"/>
        <v>1.3310185185185213E-4</v>
      </c>
      <c r="AC50" s="14" t="str">
        <f t="shared" ca="1" si="15"/>
        <v>5.56</v>
      </c>
      <c r="AD50" s="10">
        <v>7.86</v>
      </c>
      <c r="AE50" s="3" t="b">
        <f t="shared" si="16"/>
        <v>0</v>
      </c>
      <c r="AG50" s="15"/>
    </row>
    <row r="51" spans="1:33" x14ac:dyDescent="0.3">
      <c r="A51" t="s">
        <v>772</v>
      </c>
      <c r="B51" s="2" t="str">
        <f t="shared" si="1"/>
        <v>这是一个十分重要的性</v>
      </c>
      <c r="C51" s="2" t="str">
        <f t="shared" si="2"/>
        <v>这是一个</v>
      </c>
      <c r="D51" s="2" t="str">
        <f t="shared" si="3"/>
        <v>这是</v>
      </c>
      <c r="E51" s="2" t="str">
        <f t="shared" si="4"/>
        <v>一个灯直接推导后面的灯。</v>
      </c>
      <c r="F51" s="2" t="str">
        <f t="shared" si="5"/>
        <v>后面的灯。</v>
      </c>
      <c r="G51" s="2" t="str">
        <f t="shared" si="5"/>
        <v>后面的灯。</v>
      </c>
      <c r="H51" s="2" t="str">
        <f t="shared" si="5"/>
        <v>后面的灯。</v>
      </c>
      <c r="I51" s="2" t="str">
        <f t="shared" si="6"/>
        <v>的灯。</v>
      </c>
      <c r="J51" s="9">
        <f ca="1">MATCH(B51,'B2'!E:E,0)</f>
        <v>42</v>
      </c>
      <c r="K51" s="9">
        <f ca="1">IF(ISERROR(J51),MATCH(C51,'B2'!F:F,0),J51)</f>
        <v>42</v>
      </c>
      <c r="L51" s="9">
        <f ca="1">IF(ISERROR(K51),MATCH(D51,'B2'!G:G,0),K51)</f>
        <v>42</v>
      </c>
      <c r="M51" s="9">
        <f ca="1">IF(ISERROR(L51),MATCH(E51,'B2'!H:H,0),L51)</f>
        <v>42</v>
      </c>
      <c r="N51" s="9">
        <f t="shared" ca="1" si="7"/>
        <v>1</v>
      </c>
      <c r="O51" s="9" t="e">
        <f ca="1">MATCH(E51,'B2'!H:H,0)</f>
        <v>#N/A</v>
      </c>
      <c r="P51" s="9">
        <f ca="1">IF(ISERROR(O51),MATCH(H51,'B2'!K:K,0),O51)</f>
        <v>42</v>
      </c>
      <c r="Q51" s="9">
        <f ca="1">IF(ISERROR(P51),MATCH(I51,'B2'!L:L,0),P51)</f>
        <v>42</v>
      </c>
      <c r="R51" s="9">
        <f ca="1">IF(ISERROR(Q51),MATCH(J51,'B2'!M:M,0),Q51)</f>
        <v>42</v>
      </c>
      <c r="S51" s="9">
        <f t="shared" ca="1" si="8"/>
        <v>1</v>
      </c>
      <c r="T51" s="3">
        <f ca="1">OFFSET('B2'!$C$1,'B3'!M51-1,0)</f>
        <v>4.4740740740740739E-3</v>
      </c>
      <c r="U51" s="3">
        <f ca="1">OFFSET('B2'!$D$1,'B3'!R51-1,0)</f>
        <v>4.5268518518518522E-3</v>
      </c>
      <c r="V51" s="16">
        <f t="shared" ca="1" si="9"/>
        <v>4.52962962962963E-3</v>
      </c>
      <c r="W51" s="4">
        <f t="shared" si="10"/>
        <v>35</v>
      </c>
      <c r="X51" s="5">
        <f t="shared" ca="1" si="11"/>
        <v>0</v>
      </c>
      <c r="Y51" s="5">
        <f t="shared" ca="1" si="12"/>
        <v>5.2777777777778326E-5</v>
      </c>
      <c r="Z51" s="6">
        <f t="shared" ca="1" si="13"/>
        <v>5.5555555555556087E-5</v>
      </c>
      <c r="AA51" s="12">
        <v>5.5513078703703705E-3</v>
      </c>
      <c r="AB51" s="13">
        <f t="shared" si="14"/>
        <v>1.5972222222222169E-4</v>
      </c>
      <c r="AC51" s="14" t="str">
        <f t="shared" ca="1" si="15"/>
        <v>9.00</v>
      </c>
      <c r="AD51" s="10">
        <v>9.48</v>
      </c>
      <c r="AE51" s="3" t="b">
        <f t="shared" si="16"/>
        <v>0</v>
      </c>
      <c r="AG51" s="15"/>
    </row>
    <row r="52" spans="1:33" x14ac:dyDescent="0.3">
      <c r="A52" t="s">
        <v>773</v>
      </c>
      <c r="B52" s="2" t="str">
        <f t="shared" si="1"/>
        <v>在之后的O(n²)算</v>
      </c>
      <c r="C52" s="2" t="str">
        <f t="shared" si="2"/>
        <v>在之后的</v>
      </c>
      <c r="D52" s="2" t="str">
        <f t="shared" si="3"/>
        <v>在之</v>
      </c>
      <c r="E52" s="2" t="str">
        <f t="shared" si="4"/>
        <v>是用这个性质进行的优化。</v>
      </c>
      <c r="F52" s="2" t="str">
        <f t="shared" si="5"/>
        <v>行的优化。</v>
      </c>
      <c r="G52" s="2" t="str">
        <f t="shared" si="5"/>
        <v>行的优化。</v>
      </c>
      <c r="H52" s="2" t="str">
        <f t="shared" si="5"/>
        <v>行的优化。</v>
      </c>
      <c r="I52" s="2" t="str">
        <f t="shared" si="6"/>
        <v>优化。</v>
      </c>
      <c r="J52" s="9" t="e">
        <f ca="1">MATCH(B52,'B2'!E:E,0)</f>
        <v>#N/A</v>
      </c>
      <c r="K52" s="9">
        <f ca="1">IF(ISERROR(J52),MATCH(C52,'B2'!F:F,0),J52)</f>
        <v>43</v>
      </c>
      <c r="L52" s="9">
        <f ca="1">IF(ISERROR(K52),MATCH(D52,'B2'!G:G,0),K52)</f>
        <v>43</v>
      </c>
      <c r="M52" s="9">
        <f ca="1">IF(ISERROR(L52),MATCH(E52,'B2'!H:H,0),L52)</f>
        <v>43</v>
      </c>
      <c r="N52" s="9">
        <f t="shared" ca="1" si="7"/>
        <v>1</v>
      </c>
      <c r="O52" s="9">
        <f ca="1">MATCH(E52,'B2'!H:H,0)</f>
        <v>43</v>
      </c>
      <c r="P52" s="9">
        <f ca="1">IF(ISERROR(O52),MATCH(H52,'B2'!K:K,0),O52)</f>
        <v>43</v>
      </c>
      <c r="Q52" s="9">
        <f ca="1">IF(ISERROR(P52),MATCH(I52,'B2'!L:L,0),P52)</f>
        <v>43</v>
      </c>
      <c r="R52" s="9">
        <f ca="1">IF(ISERROR(Q52),MATCH(J52,'B2'!M:M,0),Q52)</f>
        <v>43</v>
      </c>
      <c r="S52" s="9">
        <f t="shared" ca="1" si="8"/>
        <v>0</v>
      </c>
      <c r="T52" s="3">
        <f ca="1">OFFSET('B2'!$C$1,'B3'!M52-1,0)</f>
        <v>4.5324074074074077E-3</v>
      </c>
      <c r="U52" s="3">
        <f ca="1">OFFSET('B2'!$D$1,'B3'!R52-1,0)</f>
        <v>4.5912037037037041E-3</v>
      </c>
      <c r="V52" s="16">
        <f t="shared" ca="1" si="9"/>
        <v>4.5912037037037041E-3</v>
      </c>
      <c r="W52" s="4">
        <f t="shared" si="10"/>
        <v>29</v>
      </c>
      <c r="X52" s="5">
        <f t="shared" ca="1" si="11"/>
        <v>5.5555555555555219E-6</v>
      </c>
      <c r="Y52" s="5">
        <f t="shared" ca="1" si="12"/>
        <v>5.8796296296296374E-5</v>
      </c>
      <c r="Z52" s="6">
        <f t="shared" ca="1" si="13"/>
        <v>6.1574074074074135E-5</v>
      </c>
      <c r="AA52" s="12">
        <v>5.7110300925925922E-3</v>
      </c>
      <c r="AB52" s="13">
        <f t="shared" si="14"/>
        <v>1.3425925925926018E-4</v>
      </c>
      <c r="AC52" s="14" t="str">
        <f t="shared" ca="1" si="15"/>
        <v>6.28</v>
      </c>
      <c r="AD52" s="10">
        <v>4.1399999999999997</v>
      </c>
      <c r="AE52" s="3" t="b">
        <f t="shared" si="16"/>
        <v>0</v>
      </c>
      <c r="AG52" s="15"/>
    </row>
    <row r="53" spans="1:33" x14ac:dyDescent="0.3">
      <c r="A53" t="s">
        <v>774</v>
      </c>
      <c r="B53" s="2" t="str">
        <f t="shared" si="1"/>
        <v>下面让我们用数学归纳</v>
      </c>
      <c r="C53" s="2" t="str">
        <f t="shared" si="2"/>
        <v>下面让我</v>
      </c>
      <c r="D53" s="2" t="str">
        <f t="shared" si="3"/>
        <v>下面</v>
      </c>
      <c r="E53" s="2" t="str">
        <f t="shared" si="4"/>
        <v>学归纳法，证明这个性质。</v>
      </c>
      <c r="F53" s="2" t="str">
        <f t="shared" si="5"/>
        <v>这个性质。</v>
      </c>
      <c r="G53" s="2" t="str">
        <f t="shared" si="5"/>
        <v>这个性质。</v>
      </c>
      <c r="H53" s="2" t="str">
        <f t="shared" si="5"/>
        <v>这个性质。</v>
      </c>
      <c r="I53" s="2" t="str">
        <f t="shared" si="6"/>
        <v>性质。</v>
      </c>
      <c r="J53" s="9">
        <f ca="1">MATCH(B53,'B2'!E:E,0)</f>
        <v>44</v>
      </c>
      <c r="K53" s="9">
        <f ca="1">IF(ISERROR(J53),MATCH(C53,'B2'!F:F,0),J53)</f>
        <v>44</v>
      </c>
      <c r="L53" s="9">
        <f ca="1">IF(ISERROR(K53),MATCH(D53,'B2'!G:G,0),K53)</f>
        <v>44</v>
      </c>
      <c r="M53" s="9">
        <f ca="1">IF(ISERROR(L53),MATCH(E53,'B2'!H:H,0),L53)</f>
        <v>44</v>
      </c>
      <c r="N53" s="9">
        <f t="shared" ca="1" si="7"/>
        <v>1</v>
      </c>
      <c r="O53" s="9" t="e">
        <f ca="1">MATCH(E53,'B2'!H:H,0)</f>
        <v>#N/A</v>
      </c>
      <c r="P53" s="9">
        <f ca="1">IF(ISERROR(O53),MATCH(H53,'B2'!K:K,0),O53)</f>
        <v>23</v>
      </c>
      <c r="Q53" s="9">
        <f ca="1">IF(ISERROR(P53),MATCH(I53,'B2'!L:L,0),P53)</f>
        <v>23</v>
      </c>
      <c r="R53" s="9">
        <f ca="1">IF(ISERROR(Q53),MATCH(J53,'B2'!M:M,0),Q53)</f>
        <v>23</v>
      </c>
      <c r="S53" s="9">
        <f t="shared" ca="1" si="8"/>
        <v>0</v>
      </c>
      <c r="T53" s="3">
        <f ca="1">OFFSET('B2'!$C$1,'B3'!M53-1,0)</f>
        <v>4.5912037037037041E-3</v>
      </c>
      <c r="U53" s="3">
        <f ca="1">OFFSET('B2'!$D$1,'B3'!R53-1,0)</f>
        <v>2.2259259259259259E-3</v>
      </c>
      <c r="V53" s="16">
        <f t="shared" ca="1" si="9"/>
        <v>3.4324074074074075E-3</v>
      </c>
      <c r="W53" s="4">
        <f t="shared" si="10"/>
        <v>19</v>
      </c>
      <c r="X53" s="5">
        <f t="shared" ca="1" si="11"/>
        <v>0</v>
      </c>
      <c r="Y53" s="5">
        <f t="shared" ca="1" si="12"/>
        <v>-2.3652777777777782E-3</v>
      </c>
      <c r="Z53" s="6">
        <f t="shared" ca="1" si="13"/>
        <v>-1.1587962962962964E-3</v>
      </c>
      <c r="AA53" s="12">
        <v>5.8452893518518524E-3</v>
      </c>
      <c r="AB53" s="13">
        <f t="shared" si="14"/>
        <v>6.9837962962962519E-5</v>
      </c>
      <c r="AC53" s="14" t="str">
        <f t="shared" ca="1" si="15"/>
        <v>46.15</v>
      </c>
      <c r="AD53" s="10">
        <v>1.17</v>
      </c>
      <c r="AE53" s="3" t="b">
        <f t="shared" si="16"/>
        <v>0</v>
      </c>
      <c r="AG53" s="15"/>
    </row>
    <row r="54" spans="1:33" x14ac:dyDescent="0.3">
      <c r="A54" t="s">
        <v>775</v>
      </c>
      <c r="B54" s="2" t="str">
        <f t="shared" si="1"/>
        <v>由于右边的按钮矩阵就</v>
      </c>
      <c r="C54" s="2" t="str">
        <f t="shared" si="2"/>
        <v>由于右边</v>
      </c>
      <c r="D54" s="2" t="str">
        <f t="shared" si="3"/>
        <v>由于</v>
      </c>
      <c r="E54" s="2" t="str">
        <f t="shared" si="4"/>
        <v>便，我们就只看按钮矩阵。</v>
      </c>
      <c r="F54" s="2" t="str">
        <f t="shared" si="5"/>
        <v>按钮矩阵。</v>
      </c>
      <c r="G54" s="2" t="str">
        <f t="shared" si="5"/>
        <v>按钮矩阵。</v>
      </c>
      <c r="H54" s="2" t="str">
        <f t="shared" si="5"/>
        <v>按钮矩阵。</v>
      </c>
      <c r="I54" s="2" t="str">
        <f t="shared" si="6"/>
        <v>矩阵。</v>
      </c>
      <c r="J54" s="9">
        <f ca="1">MATCH(B54,'B2'!E:E,0)</f>
        <v>45</v>
      </c>
      <c r="K54" s="9">
        <f ca="1">IF(ISERROR(J54),MATCH(C54,'B2'!F:F,0),J54)</f>
        <v>45</v>
      </c>
      <c r="L54" s="9">
        <f ca="1">IF(ISERROR(K54),MATCH(D54,'B2'!G:G,0),K54)</f>
        <v>45</v>
      </c>
      <c r="M54" s="9">
        <f ca="1">IF(ISERROR(L54),MATCH(E54,'B2'!H:H,0),L54)</f>
        <v>45</v>
      </c>
      <c r="N54" s="9">
        <f t="shared" ca="1" si="7"/>
        <v>0</v>
      </c>
      <c r="O54" s="9" t="e">
        <f ca="1">MATCH(E54,'B2'!H:H,0)</f>
        <v>#N/A</v>
      </c>
      <c r="P54" s="9">
        <f ca="1">IF(ISERROR(O54),MATCH(H54,'B2'!K:K,0),O54)</f>
        <v>45</v>
      </c>
      <c r="Q54" s="9">
        <f ca="1">IF(ISERROR(P54),MATCH(I54,'B2'!L:L,0),P54)</f>
        <v>45</v>
      </c>
      <c r="R54" s="9">
        <f ca="1">IF(ISERROR(Q54),MATCH(J54,'B2'!M:M,0),Q54)</f>
        <v>45</v>
      </c>
      <c r="S54" s="9">
        <f t="shared" ca="1" si="8"/>
        <v>0</v>
      </c>
      <c r="T54" s="3">
        <f ca="1">OFFSET('B2'!$C$1,'B3'!M54-1,0)</f>
        <v>4.6388888888888894E-3</v>
      </c>
      <c r="U54" s="3">
        <f ca="1">OFFSET('B2'!$D$1,'B3'!R54-1,0)</f>
        <v>4.6916666666666669E-3</v>
      </c>
      <c r="V54" s="16">
        <f t="shared" ca="1" si="9"/>
        <v>4.0118055555555558E-3</v>
      </c>
      <c r="W54" s="4">
        <f t="shared" si="10"/>
        <v>33</v>
      </c>
      <c r="X54" s="5">
        <f t="shared" ca="1" si="11"/>
        <v>2.4129629629629635E-3</v>
      </c>
      <c r="Y54" s="5">
        <f t="shared" ca="1" si="12"/>
        <v>5.2777777777777458E-5</v>
      </c>
      <c r="Z54" s="6">
        <f t="shared" ca="1" si="13"/>
        <v>5.7939814814814789E-4</v>
      </c>
      <c r="AA54" s="12">
        <v>5.9151273148148149E-3</v>
      </c>
      <c r="AB54" s="13">
        <f t="shared" si="14"/>
        <v>1.4351851851851852E-4</v>
      </c>
      <c r="AC54" s="14" t="str">
        <f t="shared" ca="1" si="15"/>
        <v>-37.66</v>
      </c>
      <c r="AD54" s="10">
        <v>1.6</v>
      </c>
      <c r="AE54" s="3" t="b">
        <f t="shared" si="16"/>
        <v>0</v>
      </c>
      <c r="AG54" s="15"/>
    </row>
    <row r="55" spans="1:33" x14ac:dyDescent="0.3">
      <c r="A55" t="s">
        <v>776</v>
      </c>
      <c r="B55" s="2" t="str">
        <f t="shared" si="1"/>
        <v>首先，我们假定前两个</v>
      </c>
      <c r="C55" s="2" t="str">
        <f t="shared" si="2"/>
        <v>首先，我</v>
      </c>
      <c r="D55" s="2" t="str">
        <f t="shared" si="3"/>
        <v>首先</v>
      </c>
      <c r="E55" s="2" t="str">
        <f t="shared" si="4"/>
        <v>B(n)也满足这个性质。</v>
      </c>
      <c r="F55" s="2" t="str">
        <f t="shared" si="5"/>
        <v>这个性质。</v>
      </c>
      <c r="G55" s="2" t="str">
        <f t="shared" si="5"/>
        <v>这个性质。</v>
      </c>
      <c r="H55" s="2" t="str">
        <f t="shared" si="5"/>
        <v>这个性质。</v>
      </c>
      <c r="I55" s="2" t="str">
        <f t="shared" si="6"/>
        <v>性质。</v>
      </c>
      <c r="J55" s="9" t="e">
        <f ca="1">MATCH(B55,'B2'!E:E,0)</f>
        <v>#N/A</v>
      </c>
      <c r="K55" s="9" t="e">
        <f ca="1">IF(ISERROR(J55),MATCH(C55,'B2'!F:F,0),J55)</f>
        <v>#N/A</v>
      </c>
      <c r="L55" s="9">
        <f ca="1">IF(ISERROR(K55),MATCH(D55,'B2'!G:G,0),K55)</f>
        <v>30</v>
      </c>
      <c r="M55" s="9">
        <f ca="1">IF(ISERROR(L55),MATCH(E55,'B2'!H:H,0),L55)</f>
        <v>30</v>
      </c>
      <c r="N55" s="9">
        <f t="shared" ca="1" si="7"/>
        <v>0</v>
      </c>
      <c r="O55" s="9" t="e">
        <f ca="1">MATCH(E55,'B2'!H:H,0)</f>
        <v>#N/A</v>
      </c>
      <c r="P55" s="9">
        <f ca="1">IF(ISERROR(O55),MATCH(H55,'B2'!K:K,0),O55)</f>
        <v>23</v>
      </c>
      <c r="Q55" s="9">
        <f ca="1">IF(ISERROR(P55),MATCH(I55,'B2'!L:L,0),P55)</f>
        <v>23</v>
      </c>
      <c r="R55" s="9">
        <f ca="1">IF(ISERROR(Q55),MATCH(J55,'B2'!M:M,0),Q55)</f>
        <v>23</v>
      </c>
      <c r="S55" s="9">
        <f t="shared" ca="1" si="8"/>
        <v>0</v>
      </c>
      <c r="T55" s="3">
        <f ca="1">OFFSET('B2'!$C$1,'B3'!M55-1,0)</f>
        <v>3.3319444444444442E-3</v>
      </c>
      <c r="U55" s="3">
        <f ca="1">OFFSET('B2'!$D$1,'B3'!R55-1,0)</f>
        <v>2.2259259259259259E-3</v>
      </c>
      <c r="V55" s="16">
        <f t="shared" ca="1" si="9"/>
        <v>3.4918981481481476E-3</v>
      </c>
      <c r="W55" s="4">
        <f t="shared" si="10"/>
        <v>49</v>
      </c>
      <c r="X55" s="5">
        <f t="shared" ca="1" si="11"/>
        <v>-1.3597222222222227E-3</v>
      </c>
      <c r="Y55" s="5">
        <f t="shared" ca="1" si="12"/>
        <v>-1.1060185185185183E-3</v>
      </c>
      <c r="Z55" s="6">
        <f t="shared" ca="1" si="13"/>
        <v>-5.1990740740740773E-4</v>
      </c>
      <c r="AA55" s="12">
        <v>6.0586458333333334E-3</v>
      </c>
      <c r="AB55" s="13">
        <f t="shared" si="14"/>
        <v>8.449074074074088E-5</v>
      </c>
      <c r="AC55" s="14" t="str">
        <f t="shared" ca="1" si="15"/>
        <v>52.22</v>
      </c>
      <c r="AD55" s="10">
        <v>3.64</v>
      </c>
      <c r="AE55" s="3" t="b">
        <f t="shared" si="16"/>
        <v>0</v>
      </c>
      <c r="AG55" s="15"/>
    </row>
    <row r="56" spans="1:33" x14ac:dyDescent="0.3">
      <c r="A56" t="s">
        <v>777</v>
      </c>
      <c r="B56" s="2" t="str">
        <f t="shared" si="1"/>
        <v>将刚才的矩阵递推关系</v>
      </c>
      <c r="C56" s="2" t="str">
        <f t="shared" si="2"/>
        <v>将刚才的</v>
      </c>
      <c r="D56" s="2" t="str">
        <f t="shared" si="3"/>
        <v>将刚</v>
      </c>
      <c r="E56" s="2" t="str">
        <f t="shared" si="4"/>
        <v>推关系加上参数y并重写。</v>
      </c>
      <c r="F56" s="2" t="str">
        <f t="shared" si="5"/>
        <v>y并重写。</v>
      </c>
      <c r="G56" s="2" t="str">
        <f t="shared" si="5"/>
        <v>y并重写。</v>
      </c>
      <c r="H56" s="2" t="str">
        <f t="shared" si="5"/>
        <v>y并重写。</v>
      </c>
      <c r="I56" s="2" t="str">
        <f t="shared" si="6"/>
        <v>重写。</v>
      </c>
      <c r="J56" s="9">
        <f ca="1">MATCH(B56,'B2'!E:E,0)</f>
        <v>47</v>
      </c>
      <c r="K56" s="9">
        <f ca="1">IF(ISERROR(J56),MATCH(C56,'B2'!F:F,0),J56)</f>
        <v>47</v>
      </c>
      <c r="L56" s="9">
        <f ca="1">IF(ISERROR(K56),MATCH(D56,'B2'!G:G,0),K56)</f>
        <v>47</v>
      </c>
      <c r="M56" s="9">
        <f ca="1">IF(ISERROR(L56),MATCH(E56,'B2'!H:H,0),L56)</f>
        <v>47</v>
      </c>
      <c r="N56" s="9">
        <f t="shared" ca="1" si="7"/>
        <v>1</v>
      </c>
      <c r="O56" s="9">
        <f ca="1">MATCH(E56,'B2'!H:H,0)</f>
        <v>47</v>
      </c>
      <c r="P56" s="9">
        <f ca="1">IF(ISERROR(O56),MATCH(H56,'B2'!K:K,0),O56)</f>
        <v>47</v>
      </c>
      <c r="Q56" s="9">
        <f ca="1">IF(ISERROR(P56),MATCH(I56,'B2'!L:L,0),P56)</f>
        <v>47</v>
      </c>
      <c r="R56" s="9">
        <f ca="1">IF(ISERROR(Q56),MATCH(J56,'B2'!M:M,0),Q56)</f>
        <v>47</v>
      </c>
      <c r="S56" s="9">
        <f t="shared" ca="1" si="8"/>
        <v>1</v>
      </c>
      <c r="T56" s="3">
        <f ca="1">OFFSET('B2'!$C$1,'B3'!M56-1,0)</f>
        <v>4.7578703703703698E-3</v>
      </c>
      <c r="U56" s="3">
        <f ca="1">OFFSET('B2'!$D$1,'B3'!R56-1,0)</f>
        <v>4.7782407407407409E-3</v>
      </c>
      <c r="V56" s="16">
        <f t="shared" ca="1" si="9"/>
        <v>4.7782407407407409E-3</v>
      </c>
      <c r="W56" s="4">
        <f t="shared" si="10"/>
        <v>19</v>
      </c>
      <c r="X56" s="5">
        <f t="shared" ca="1" si="11"/>
        <v>2.5319444444444439E-3</v>
      </c>
      <c r="Y56" s="5">
        <f t="shared" ca="1" si="12"/>
        <v>2.0370370370371114E-5</v>
      </c>
      <c r="Z56" s="6">
        <f t="shared" ca="1" si="13"/>
        <v>1.286342592592593E-3</v>
      </c>
      <c r="AA56" s="12">
        <v>6.1431365740740743E-3</v>
      </c>
      <c r="AB56" s="13">
        <f t="shared" si="14"/>
        <v>1.3773148148148173E-4</v>
      </c>
      <c r="AC56" s="14" t="str">
        <f t="shared" ca="1" si="15"/>
        <v>-39.24</v>
      </c>
      <c r="AD56" s="10">
        <v>1.74</v>
      </c>
      <c r="AE56" s="3" t="b">
        <f t="shared" si="16"/>
        <v>0</v>
      </c>
      <c r="AG56" s="15"/>
    </row>
    <row r="57" spans="1:33" x14ac:dyDescent="0.3">
      <c r="A57" t="s">
        <v>778</v>
      </c>
      <c r="B57" s="2" t="str">
        <f t="shared" si="1"/>
        <v>对于B(n)，我们将</v>
      </c>
      <c r="C57" s="2" t="str">
        <f t="shared" si="2"/>
        <v>对于B(</v>
      </c>
      <c r="D57" s="2" t="str">
        <f t="shared" si="3"/>
        <v>对于</v>
      </c>
      <c r="E57" s="2" t="str">
        <f t="shared" si="4"/>
        <v>将递推关系代入这个式子。</v>
      </c>
      <c r="F57" s="2" t="str">
        <f t="shared" si="5"/>
        <v>这个式子。</v>
      </c>
      <c r="G57" s="2" t="str">
        <f t="shared" si="5"/>
        <v>这个式子。</v>
      </c>
      <c r="H57" s="2" t="str">
        <f t="shared" si="5"/>
        <v>这个式子。</v>
      </c>
      <c r="I57" s="2" t="str">
        <f t="shared" si="6"/>
        <v>式子。</v>
      </c>
      <c r="J57" s="9" t="e">
        <f ca="1">MATCH(B57,'B2'!E:E,0)</f>
        <v>#N/A</v>
      </c>
      <c r="K57" s="9" t="e">
        <f ca="1">IF(ISERROR(J57),MATCH(C57,'B2'!F:F,0),J57)</f>
        <v>#N/A</v>
      </c>
      <c r="L57" s="9">
        <f ca="1">IF(ISERROR(K57),MATCH(D57,'B2'!G:G,0),K57)</f>
        <v>48</v>
      </c>
      <c r="M57" s="9">
        <f ca="1">IF(ISERROR(L57),MATCH(E57,'B2'!H:H,0),L57)</f>
        <v>48</v>
      </c>
      <c r="N57" s="9">
        <f t="shared" ca="1" si="7"/>
        <v>1</v>
      </c>
      <c r="O57" s="9">
        <f ca="1">MATCH(E57,'B2'!H:H,0)</f>
        <v>48</v>
      </c>
      <c r="P57" s="9">
        <f ca="1">IF(ISERROR(O57),MATCH(H57,'B2'!K:K,0),O57)</f>
        <v>48</v>
      </c>
      <c r="Q57" s="9">
        <f ca="1">IF(ISERROR(P57),MATCH(I57,'B2'!L:L,0),P57)</f>
        <v>48</v>
      </c>
      <c r="R57" s="9">
        <f ca="1">IF(ISERROR(Q57),MATCH(J57,'B2'!M:M,0),Q57)</f>
        <v>48</v>
      </c>
      <c r="S57" s="9">
        <f t="shared" ca="1" si="8"/>
        <v>1</v>
      </c>
      <c r="T57" s="3">
        <f ca="1">OFFSET('B2'!$C$1,'B3'!M57-1,0)</f>
        <v>4.7782407407407409E-3</v>
      </c>
      <c r="U57" s="3">
        <f ca="1">OFFSET('B2'!$D$1,'B3'!R57-1,0)</f>
        <v>4.8634259259259256E-3</v>
      </c>
      <c r="V57" s="16">
        <f t="shared" ca="1" si="9"/>
        <v>4.8643518518518523E-3</v>
      </c>
      <c r="W57" s="4">
        <f t="shared" si="10"/>
        <v>33</v>
      </c>
      <c r="X57" s="5">
        <f t="shared" ca="1" si="11"/>
        <v>0</v>
      </c>
      <c r="Y57" s="5">
        <f t="shared" ca="1" si="12"/>
        <v>8.518518518518467E-5</v>
      </c>
      <c r="Z57" s="6">
        <f t="shared" ca="1" si="13"/>
        <v>8.6111111111111024E-5</v>
      </c>
      <c r="AA57" s="12">
        <v>6.280868055555556E-3</v>
      </c>
      <c r="AB57" s="13">
        <f t="shared" si="14"/>
        <v>1.4351851851851852E-4</v>
      </c>
      <c r="AC57" s="14" t="str">
        <f t="shared" ca="1" si="15"/>
        <v>4.96</v>
      </c>
      <c r="AD57" s="10">
        <v>1.66</v>
      </c>
      <c r="AE57" s="3" t="b">
        <f t="shared" si="16"/>
        <v>0</v>
      </c>
      <c r="AG57" s="15"/>
    </row>
    <row r="58" spans="1:33" x14ac:dyDescent="0.3">
      <c r="A58" t="s">
        <v>779</v>
      </c>
      <c r="B58" s="2" t="str">
        <f t="shared" si="1"/>
        <v>代入后的式子包含16</v>
      </c>
      <c r="C58" s="2" t="str">
        <f t="shared" si="2"/>
        <v>代入后的</v>
      </c>
      <c r="D58" s="2" t="str">
        <f t="shared" si="3"/>
        <v>代入</v>
      </c>
      <c r="E58" s="2" t="str">
        <f t="shared" si="4"/>
        <v>矩阵》章节中的调换操作。</v>
      </c>
      <c r="F58" s="2" t="str">
        <f t="shared" si="5"/>
        <v>调换操作。</v>
      </c>
      <c r="G58" s="2" t="str">
        <f t="shared" si="5"/>
        <v>调换操作。</v>
      </c>
      <c r="H58" s="2" t="str">
        <f t="shared" si="5"/>
        <v>调换操作。</v>
      </c>
      <c r="I58" s="2" t="str">
        <f t="shared" si="6"/>
        <v>操作。</v>
      </c>
      <c r="J58" s="9">
        <f ca="1">MATCH(B58,'B2'!E:E,0)</f>
        <v>49</v>
      </c>
      <c r="K58" s="9">
        <f ca="1">IF(ISERROR(J58),MATCH(C58,'B2'!F:F,0),J58)</f>
        <v>49</v>
      </c>
      <c r="L58" s="9">
        <f ca="1">IF(ISERROR(K58),MATCH(D58,'B2'!G:G,0),K58)</f>
        <v>49</v>
      </c>
      <c r="M58" s="9">
        <f ca="1">IF(ISERROR(L58),MATCH(E58,'B2'!H:H,0),L58)</f>
        <v>49</v>
      </c>
      <c r="N58" s="9">
        <f t="shared" ca="1" si="7"/>
        <v>1</v>
      </c>
      <c r="O58" s="9" t="e">
        <f ca="1">MATCH(E58,'B2'!H:H,0)</f>
        <v>#N/A</v>
      </c>
      <c r="P58" s="9">
        <f ca="1">IF(ISERROR(O58),MATCH(H58,'B2'!K:K,0),O58)</f>
        <v>49</v>
      </c>
      <c r="Q58" s="9">
        <f ca="1">IF(ISERROR(P58),MATCH(I58,'B2'!L:L,0),P58)</f>
        <v>49</v>
      </c>
      <c r="R58" s="9">
        <f ca="1">IF(ISERROR(Q58),MATCH(J58,'B2'!M:M,0),Q58)</f>
        <v>49</v>
      </c>
      <c r="S58" s="9">
        <f t="shared" ca="1" si="8"/>
        <v>1</v>
      </c>
      <c r="T58" s="3">
        <f ca="1">OFFSET('B2'!$C$1,'B3'!M58-1,0)</f>
        <v>4.8652777777777783E-3</v>
      </c>
      <c r="U58" s="3">
        <f ca="1">OFFSET('B2'!$D$1,'B3'!R58-1,0)</f>
        <v>4.9305555555555552E-3</v>
      </c>
      <c r="V58" s="16">
        <f t="shared" ca="1" si="9"/>
        <v>4.9305555555555552E-3</v>
      </c>
      <c r="W58" s="4">
        <f t="shared" si="10"/>
        <v>49</v>
      </c>
      <c r="X58" s="5">
        <f t="shared" ca="1" si="11"/>
        <v>1.851851851852708E-6</v>
      </c>
      <c r="Y58" s="5">
        <f t="shared" ca="1" si="12"/>
        <v>6.5277777777776949E-5</v>
      </c>
      <c r="Z58" s="6">
        <f t="shared" ca="1" si="13"/>
        <v>6.6203703703703303E-5</v>
      </c>
      <c r="AA58" s="12">
        <v>6.4243865740740745E-3</v>
      </c>
      <c r="AB58" s="13">
        <f t="shared" si="14"/>
        <v>1.3811342592592521E-4</v>
      </c>
      <c r="AC58" s="14" t="str">
        <f t="shared" ca="1" si="15"/>
        <v>6.21</v>
      </c>
      <c r="AD58" s="10">
        <v>0.45</v>
      </c>
      <c r="AE58" s="3" t="b">
        <f t="shared" si="16"/>
        <v>0</v>
      </c>
      <c r="AG58" s="15"/>
    </row>
    <row r="59" spans="1:33" x14ac:dyDescent="0.3">
      <c r="A59" t="s">
        <v>780</v>
      </c>
      <c r="B59" s="2" t="str">
        <f t="shared" si="1"/>
        <v>不难发现，这四项属于</v>
      </c>
      <c r="C59" s="2" t="str">
        <f t="shared" si="2"/>
        <v>不难发现</v>
      </c>
      <c r="D59" s="2" t="str">
        <f t="shared" si="3"/>
        <v>不难</v>
      </c>
      <c r="E59" s="2" t="str">
        <f t="shared" si="4"/>
        <v>，因此整个式子化为了零。</v>
      </c>
      <c r="F59" s="2" t="str">
        <f t="shared" si="5"/>
        <v>化为了零。</v>
      </c>
      <c r="G59" s="2" t="str">
        <f t="shared" si="5"/>
        <v>化为了零。</v>
      </c>
      <c r="H59" s="2" t="str">
        <f t="shared" si="5"/>
        <v>化为了零。</v>
      </c>
      <c r="I59" s="2" t="str">
        <f t="shared" si="6"/>
        <v>了零。</v>
      </c>
      <c r="J59" s="9" t="e">
        <f ca="1">MATCH(B59,'B2'!E:E,0)</f>
        <v>#N/A</v>
      </c>
      <c r="K59" s="9">
        <f ca="1">IF(ISERROR(J59),MATCH(C59,'B2'!F:F,0),J59)</f>
        <v>50</v>
      </c>
      <c r="L59" s="9">
        <f ca="1">IF(ISERROR(K59),MATCH(D59,'B2'!G:G,0),K59)</f>
        <v>50</v>
      </c>
      <c r="M59" s="9">
        <f ca="1">IF(ISERROR(L59),MATCH(E59,'B2'!H:H,0),L59)</f>
        <v>50</v>
      </c>
      <c r="N59" s="9">
        <f t="shared" ca="1" si="7"/>
        <v>0</v>
      </c>
      <c r="O59" s="9">
        <f ca="1">MATCH(E59,'B2'!H:H,0)</f>
        <v>51</v>
      </c>
      <c r="P59" s="9">
        <f ca="1">IF(ISERROR(O59),MATCH(H59,'B2'!K:K,0),O59)</f>
        <v>51</v>
      </c>
      <c r="Q59" s="9">
        <f ca="1">IF(ISERROR(P59),MATCH(I59,'B2'!L:L,0),P59)</f>
        <v>51</v>
      </c>
      <c r="R59" s="9">
        <f ca="1">IF(ISERROR(Q59),MATCH(J59,'B2'!M:M,0),Q59)</f>
        <v>51</v>
      </c>
      <c r="S59" s="9">
        <f t="shared" ca="1" si="8"/>
        <v>1</v>
      </c>
      <c r="T59" s="3">
        <f ca="1">OFFSET('B2'!$C$1,'B3'!M59-1,0)</f>
        <v>4.9305555555555552E-3</v>
      </c>
      <c r="U59" s="3">
        <f ca="1">OFFSET('B2'!$D$1,'B3'!R59-1,0)</f>
        <v>5.0527777777777776E-3</v>
      </c>
      <c r="V59" s="16">
        <f t="shared" ca="1" si="9"/>
        <v>3.4995370370370371E-3</v>
      </c>
      <c r="W59" s="4">
        <f t="shared" si="10"/>
        <v>54</v>
      </c>
      <c r="X59" s="5">
        <f t="shared" ca="1" si="11"/>
        <v>0</v>
      </c>
      <c r="Y59" s="5">
        <f t="shared" ca="1" si="12"/>
        <v>1.2222222222222235E-4</v>
      </c>
      <c r="Z59" s="6">
        <f t="shared" ca="1" si="13"/>
        <v>-1.4310185185185183E-3</v>
      </c>
      <c r="AA59" s="12">
        <v>6.5624999999999998E-3</v>
      </c>
      <c r="AB59" s="13">
        <f t="shared" si="14"/>
        <v>1.4776620370370464E-4</v>
      </c>
      <c r="AC59" s="14" t="str">
        <f t="shared" ca="1" si="15"/>
        <v>16.41</v>
      </c>
      <c r="AD59" s="10">
        <v>1.25</v>
      </c>
      <c r="AE59" s="3" t="b">
        <f t="shared" si="16"/>
        <v>0</v>
      </c>
      <c r="AG59" s="15"/>
    </row>
    <row r="60" spans="1:33" x14ac:dyDescent="0.3">
      <c r="A60" t="s">
        <v>781</v>
      </c>
      <c r="B60" s="2" t="str">
        <f t="shared" si="1"/>
        <v>现在，我们只需要证明</v>
      </c>
      <c r="C60" s="2" t="str">
        <f t="shared" si="2"/>
        <v>现在，我</v>
      </c>
      <c r="D60" s="2" t="str">
        <f t="shared" si="3"/>
        <v>现在</v>
      </c>
      <c r="E60" s="2" t="str">
        <f t="shared" si="4"/>
        <v>矩阵，显然满足这个性质。</v>
      </c>
      <c r="F60" s="2" t="str">
        <f t="shared" si="5"/>
        <v>这个性质。</v>
      </c>
      <c r="G60" s="2" t="str">
        <f t="shared" si="5"/>
        <v>这个性质。</v>
      </c>
      <c r="H60" s="2" t="str">
        <f t="shared" si="5"/>
        <v>这个性质。</v>
      </c>
      <c r="I60" s="2" t="str">
        <f t="shared" si="6"/>
        <v>性质。</v>
      </c>
      <c r="J60" s="9" t="e">
        <f ca="1">MATCH(B60,'B2'!E:E,0)</f>
        <v>#N/A</v>
      </c>
      <c r="K60" s="9" t="e">
        <f ca="1">IF(ISERROR(J60),MATCH(C60,'B2'!F:F,0),J60)</f>
        <v>#N/A</v>
      </c>
      <c r="L60" s="9">
        <f ca="1">IF(ISERROR(K60),MATCH(D60,'B2'!G:G,0),K60)</f>
        <v>22</v>
      </c>
      <c r="M60" s="9">
        <f ca="1">IF(ISERROR(L60),MATCH(E60,'B2'!H:H,0),L60)</f>
        <v>22</v>
      </c>
      <c r="N60" s="9">
        <f t="shared" ca="1" si="7"/>
        <v>0</v>
      </c>
      <c r="O60" s="9">
        <f ca="1">MATCH(E60,'B2'!H:H,0)</f>
        <v>53</v>
      </c>
      <c r="P60" s="9">
        <f ca="1">IF(ISERROR(O60),MATCH(H60,'B2'!K:K,0),O60)</f>
        <v>53</v>
      </c>
      <c r="Q60" s="9">
        <f ca="1">IF(ISERROR(P60),MATCH(I60,'B2'!L:L,0),P60)</f>
        <v>53</v>
      </c>
      <c r="R60" s="9">
        <f ca="1">IF(ISERROR(Q60),MATCH(J60,'B2'!M:M,0),Q60)</f>
        <v>53</v>
      </c>
      <c r="S60" s="9">
        <f t="shared" ca="1" si="8"/>
        <v>1</v>
      </c>
      <c r="T60" s="3">
        <f ca="1">OFFSET('B2'!$C$1,'B3'!M60-1,0)</f>
        <v>1.9462962962962962E-3</v>
      </c>
      <c r="U60" s="3">
        <f ca="1">OFFSET('B2'!$D$1,'B3'!R60-1,0)</f>
        <v>5.1641203703703701E-3</v>
      </c>
      <c r="V60" s="16">
        <f t="shared" ca="1" si="9"/>
        <v>5.1648148148148148E-3</v>
      </c>
      <c r="W60" s="4">
        <f t="shared" si="10"/>
        <v>48</v>
      </c>
      <c r="X60" s="5">
        <f t="shared" ca="1" si="11"/>
        <v>-3.1064814814814813E-3</v>
      </c>
      <c r="Y60" s="5">
        <f t="shared" ca="1" si="12"/>
        <v>3.2178240740740739E-3</v>
      </c>
      <c r="Z60" s="6">
        <f t="shared" ca="1" si="13"/>
        <v>1.6652777777777779E-3</v>
      </c>
      <c r="AA60" s="12">
        <v>6.7102662037037044E-3</v>
      </c>
      <c r="AB60" s="13">
        <f t="shared" si="14"/>
        <v>1.493055555555553E-4</v>
      </c>
      <c r="AC60" s="14" t="str">
        <f t="shared" ca="1" si="15"/>
        <v>-10.98</v>
      </c>
      <c r="AD60" s="10">
        <v>1.26</v>
      </c>
      <c r="AE60" s="3" t="b">
        <f t="shared" si="16"/>
        <v>0</v>
      </c>
      <c r="AG60" s="15"/>
    </row>
    <row r="61" spans="1:33" x14ac:dyDescent="0.3">
      <c r="A61" t="s">
        <v>782</v>
      </c>
      <c r="B61" s="2" t="str">
        <f t="shared" si="1"/>
        <v>第二个矩阵可以表示为</v>
      </c>
      <c r="C61" s="2" t="str">
        <f t="shared" si="2"/>
        <v>第二个矩</v>
      </c>
      <c r="D61" s="2" t="str">
        <f t="shared" si="3"/>
        <v>第二</v>
      </c>
      <c r="E61" s="2" t="str">
        <f t="shared" si="4"/>
        <v>相当于叠加了一个零矩阵。</v>
      </c>
      <c r="F61" s="2" t="str">
        <f t="shared" si="5"/>
        <v>个零矩阵。</v>
      </c>
      <c r="G61" s="2" t="str">
        <f t="shared" si="5"/>
        <v>个零矩阵。</v>
      </c>
      <c r="H61" s="2" t="str">
        <f t="shared" si="5"/>
        <v>个零矩阵。</v>
      </c>
      <c r="I61" s="2" t="str">
        <f t="shared" si="6"/>
        <v>矩阵。</v>
      </c>
      <c r="J61" s="9">
        <f ca="1">MATCH(B61,'B2'!E:E,0)</f>
        <v>54</v>
      </c>
      <c r="K61" s="9">
        <f ca="1">IF(ISERROR(J61),MATCH(C61,'B2'!F:F,0),J61)</f>
        <v>54</v>
      </c>
      <c r="L61" s="9">
        <f ca="1">IF(ISERROR(K61),MATCH(D61,'B2'!G:G,0),K61)</f>
        <v>54</v>
      </c>
      <c r="M61" s="9">
        <f ca="1">IF(ISERROR(L61),MATCH(E61,'B2'!H:H,0),L61)</f>
        <v>54</v>
      </c>
      <c r="N61" s="9">
        <f t="shared" ca="1" si="7"/>
        <v>1</v>
      </c>
      <c r="O61" s="9">
        <f ca="1">MATCH(E61,'B2'!H:H,0)</f>
        <v>55</v>
      </c>
      <c r="P61" s="9">
        <f ca="1">IF(ISERROR(O61),MATCH(H61,'B2'!K:K,0),O61)</f>
        <v>55</v>
      </c>
      <c r="Q61" s="9">
        <f ca="1">IF(ISERROR(P61),MATCH(I61,'B2'!L:L,0),P61)</f>
        <v>55</v>
      </c>
      <c r="R61" s="9">
        <f ca="1">IF(ISERROR(Q61),MATCH(J61,'B2'!M:M,0),Q61)</f>
        <v>55</v>
      </c>
      <c r="S61" s="9">
        <f t="shared" ca="1" si="8"/>
        <v>0</v>
      </c>
      <c r="T61" s="3">
        <f ca="1">OFFSET('B2'!$C$1,'B3'!M61-1,0)</f>
        <v>5.1655092592592594E-3</v>
      </c>
      <c r="U61" s="3">
        <f ca="1">OFFSET('B2'!$D$1,'B3'!R61-1,0)</f>
        <v>5.2877314814814818E-3</v>
      </c>
      <c r="V61" s="16">
        <f t="shared" ca="1" si="9"/>
        <v>5.2886574074074068E-3</v>
      </c>
      <c r="W61" s="4">
        <f t="shared" si="10"/>
        <v>47</v>
      </c>
      <c r="X61" s="5">
        <f t="shared" ca="1" si="11"/>
        <v>1.3888888888893142E-6</v>
      </c>
      <c r="Y61" s="5">
        <f t="shared" ca="1" si="12"/>
        <v>1.2222222222222235E-4</v>
      </c>
      <c r="Z61" s="6">
        <f t="shared" ca="1" si="13"/>
        <v>1.2384259259259249E-4</v>
      </c>
      <c r="AA61" s="12">
        <v>6.8595717592592597E-3</v>
      </c>
      <c r="AB61" s="13">
        <f t="shared" si="14"/>
        <v>1.3425925925925931E-4</v>
      </c>
      <c r="AC61" s="14" t="str">
        <f t="shared" ca="1" si="15"/>
        <v>0.90</v>
      </c>
      <c r="AD61" s="10">
        <v>1.02</v>
      </c>
      <c r="AE61" s="3" t="b">
        <f t="shared" si="16"/>
        <v>0</v>
      </c>
      <c r="AG61" s="15"/>
    </row>
    <row r="62" spans="1:33" x14ac:dyDescent="0.3">
      <c r="A62" t="s">
        <v>783</v>
      </c>
      <c r="B62" s="2" t="str">
        <f t="shared" si="1"/>
        <v>由于零矩阵显然满足这</v>
      </c>
      <c r="C62" s="2" t="str">
        <f t="shared" si="2"/>
        <v>由于零矩</v>
      </c>
      <c r="D62" s="2" t="str">
        <f t="shared" si="3"/>
        <v>由于</v>
      </c>
      <c r="E62" s="2" t="str">
        <f t="shared" si="4"/>
        <v>二个矩阵也满足这个性质。</v>
      </c>
      <c r="F62" s="2" t="str">
        <f t="shared" si="5"/>
        <v>这个性质。</v>
      </c>
      <c r="G62" s="2" t="str">
        <f t="shared" si="5"/>
        <v>这个性质。</v>
      </c>
      <c r="H62" s="2" t="str">
        <f t="shared" si="5"/>
        <v>这个性质。</v>
      </c>
      <c r="I62" s="2" t="str">
        <f t="shared" si="6"/>
        <v>性质。</v>
      </c>
      <c r="J62" s="9">
        <f ca="1">MATCH(B62,'B2'!E:E,0)</f>
        <v>56</v>
      </c>
      <c r="K62" s="9">
        <f ca="1">IF(ISERROR(J62),MATCH(C62,'B2'!F:F,0),J62)</f>
        <v>56</v>
      </c>
      <c r="L62" s="9">
        <f ca="1">IF(ISERROR(K62),MATCH(D62,'B2'!G:G,0),K62)</f>
        <v>56</v>
      </c>
      <c r="M62" s="9">
        <f ca="1">IF(ISERROR(L62),MATCH(E62,'B2'!H:H,0),L62)</f>
        <v>56</v>
      </c>
      <c r="N62" s="9">
        <f t="shared" ca="1" si="7"/>
        <v>0</v>
      </c>
      <c r="O62" s="9" t="e">
        <f ca="1">MATCH(E62,'B2'!H:H,0)</f>
        <v>#N/A</v>
      </c>
      <c r="P62" s="9">
        <f ca="1">IF(ISERROR(O62),MATCH(H62,'B2'!K:K,0),O62)</f>
        <v>23</v>
      </c>
      <c r="Q62" s="9">
        <f ca="1">IF(ISERROR(P62),MATCH(I62,'B2'!L:L,0),P62)</f>
        <v>23</v>
      </c>
      <c r="R62" s="9">
        <f ca="1">IF(ISERROR(Q62),MATCH(J62,'B2'!M:M,0),Q62)</f>
        <v>23</v>
      </c>
      <c r="S62" s="9" t="e">
        <f t="shared" ca="1" si="8"/>
        <v>#N/A</v>
      </c>
      <c r="T62" s="3">
        <f ca="1">OFFSET('B2'!$C$1,'B3'!M62-1,0)</f>
        <v>5.2895833333333328E-3</v>
      </c>
      <c r="U62" s="3">
        <f ca="1">OFFSET('B2'!$D$1,'B3'!R62-1,0)</f>
        <v>2.2259259259259259E-3</v>
      </c>
      <c r="V62" s="16">
        <f t="shared" ca="1" si="9"/>
        <v>1.4004629629629629E-3</v>
      </c>
      <c r="W62" s="4">
        <f t="shared" si="10"/>
        <v>29</v>
      </c>
      <c r="X62" s="5">
        <f t="shared" ca="1" si="11"/>
        <v>1.8518518518509733E-6</v>
      </c>
      <c r="Y62" s="5">
        <f t="shared" ca="1" si="12"/>
        <v>-3.0636574074074069E-3</v>
      </c>
      <c r="Z62" s="6">
        <f t="shared" ca="1" si="13"/>
        <v>-3.8881944444444441E-3</v>
      </c>
      <c r="AA62" s="12">
        <v>6.993831018518519E-3</v>
      </c>
      <c r="AB62" s="13">
        <f t="shared" si="14"/>
        <v>1.493055555555553E-4</v>
      </c>
      <c r="AC62" s="14" t="str">
        <f t="shared" ca="1" si="15"/>
        <v>48.84</v>
      </c>
      <c r="AD62" s="10">
        <v>3.24</v>
      </c>
      <c r="AE62" s="3" t="b">
        <f t="shared" si="16"/>
        <v>0</v>
      </c>
      <c r="AG62" s="15"/>
    </row>
    <row r="63" spans="1:33" x14ac:dyDescent="0.3">
      <c r="A63" t="s">
        <v>784</v>
      </c>
      <c r="B63" s="2" t="str">
        <f t="shared" si="1"/>
        <v>因为B(n)有了这个</v>
      </c>
      <c r="C63" s="2" t="str">
        <f t="shared" si="2"/>
        <v>因为B(</v>
      </c>
      <c r="D63" s="2" t="str">
        <f t="shared" si="3"/>
        <v>因为</v>
      </c>
      <c r="E63" s="2" t="str">
        <f t="shared" si="4"/>
        <v>求得完整的矩阵B(n)。</v>
      </c>
      <c r="F63" s="2" t="str">
        <f t="shared" si="5"/>
        <v>B(n)。</v>
      </c>
      <c r="G63" s="2" t="str">
        <f t="shared" si="5"/>
        <v>B(n)。</v>
      </c>
      <c r="H63" s="2" t="str">
        <f t="shared" si="5"/>
        <v>B(n)。</v>
      </c>
      <c r="I63" s="2" t="str">
        <f t="shared" si="6"/>
        <v>n)。</v>
      </c>
      <c r="J63" s="9" t="e">
        <f ca="1">MATCH(B63,'B2'!E:E,0)</f>
        <v>#N/A</v>
      </c>
      <c r="K63" s="9" t="e">
        <f ca="1">IF(ISERROR(J63),MATCH(C63,'B2'!F:F,0),J63)</f>
        <v>#N/A</v>
      </c>
      <c r="L63" s="9">
        <f ca="1">IF(ISERROR(K63),MATCH(D63,'B2'!G:G,0),K63)</f>
        <v>8</v>
      </c>
      <c r="M63" s="9">
        <f ca="1">IF(ISERROR(L63),MATCH(E63,'B2'!H:H,0),L63)</f>
        <v>8</v>
      </c>
      <c r="N63" s="9">
        <f t="shared" ca="1" si="7"/>
        <v>0</v>
      </c>
      <c r="O63" s="9" t="e">
        <f ca="1">MATCH(E63,'B2'!H:H,0)</f>
        <v>#N/A</v>
      </c>
      <c r="P63" s="9" t="e">
        <f ca="1">IF(ISERROR(O63),MATCH(H63,'B2'!K:K,0),O63)</f>
        <v>#N/A</v>
      </c>
      <c r="Q63" s="9" t="e">
        <f ca="1">IF(ISERROR(P63),MATCH(I63,'B2'!L:L,0),P63)</f>
        <v>#N/A</v>
      </c>
      <c r="R63" s="9" t="e">
        <f ca="1">IF(ISERROR(Q63),MATCH(J63,'B2'!M:M,0),Q63)</f>
        <v>#N/A</v>
      </c>
      <c r="S63" s="9" t="e">
        <f t="shared" ca="1" si="8"/>
        <v>#N/A</v>
      </c>
      <c r="T63" s="3">
        <f ca="1">OFFSET('B2'!$C$1,'B3'!M63-1,0)</f>
        <v>5.7499999999999999E-4</v>
      </c>
      <c r="U63" s="3" t="e">
        <f ca="1">OFFSET('B2'!$D$1,'B3'!R63-1,0)</f>
        <v>#N/A</v>
      </c>
      <c r="V63" s="16" t="e">
        <f t="shared" ca="1" si="9"/>
        <v>#N/A</v>
      </c>
      <c r="W63" s="4">
        <f t="shared" si="10"/>
        <v>55</v>
      </c>
      <c r="X63" s="5">
        <f t="shared" ca="1" si="11"/>
        <v>-1.6509259259259259E-3</v>
      </c>
      <c r="Y63" s="5" t="e">
        <f t="shared" ca="1" si="12"/>
        <v>#N/A</v>
      </c>
      <c r="Z63" s="6" t="e">
        <f t="shared" ca="1" si="13"/>
        <v>#N/A</v>
      </c>
      <c r="AA63" s="12">
        <v>7.1431365740740743E-3</v>
      </c>
      <c r="AB63" s="13">
        <f t="shared" si="14"/>
        <v>1.4120370370370328E-4</v>
      </c>
      <c r="AC63" s="14" t="e">
        <f t="shared" ca="1" si="15"/>
        <v>#N/A</v>
      </c>
      <c r="AD63" s="10">
        <v>1.5</v>
      </c>
      <c r="AE63" s="3" t="b">
        <f t="shared" si="16"/>
        <v>0</v>
      </c>
      <c r="AG63" s="15"/>
    </row>
    <row r="64" spans="1:33" x14ac:dyDescent="0.3">
      <c r="A64" t="s">
        <v>785</v>
      </c>
      <c r="B64" s="2" t="str">
        <f t="shared" si="1"/>
        <v>为了实现O(n²)的</v>
      </c>
      <c r="C64" s="2" t="str">
        <f t="shared" si="2"/>
        <v>为了实现</v>
      </c>
      <c r="D64" s="2" t="str">
        <f t="shared" si="3"/>
        <v>为了</v>
      </c>
      <c r="E64" s="2" t="str">
        <f t="shared" si="4"/>
        <v>通过第一行来求逆或求解。</v>
      </c>
      <c r="F64" s="2" t="str">
        <f t="shared" si="5"/>
        <v>逆或求解。</v>
      </c>
      <c r="G64" s="2" t="str">
        <f t="shared" si="5"/>
        <v>逆或求解。</v>
      </c>
      <c r="H64" s="2" t="str">
        <f t="shared" si="5"/>
        <v>逆或求解。</v>
      </c>
      <c r="I64" s="2" t="str">
        <f t="shared" si="6"/>
        <v>求解。</v>
      </c>
      <c r="J64" s="9" t="e">
        <f ca="1">MATCH(B64,'B2'!E:E,0)</f>
        <v>#N/A</v>
      </c>
      <c r="K64" s="9">
        <f ca="1">IF(ISERROR(J64),MATCH(C64,'B2'!F:F,0),J64)</f>
        <v>58</v>
      </c>
      <c r="L64" s="9">
        <f ca="1">IF(ISERROR(K64),MATCH(D64,'B2'!G:G,0),K64)</f>
        <v>58</v>
      </c>
      <c r="M64" s="9">
        <f ca="1">IF(ISERROR(L64),MATCH(E64,'B2'!H:H,0),L64)</f>
        <v>58</v>
      </c>
      <c r="N64" s="9">
        <f t="shared" ca="1" si="7"/>
        <v>1</v>
      </c>
      <c r="O64" s="9">
        <f ca="1">MATCH(E64,'B2'!H:H,0)</f>
        <v>58</v>
      </c>
      <c r="P64" s="9">
        <f ca="1">IF(ISERROR(O64),MATCH(H64,'B2'!K:K,0),O64)</f>
        <v>58</v>
      </c>
      <c r="Q64" s="9">
        <f ca="1">IF(ISERROR(P64),MATCH(I64,'B2'!L:L,0),P64)</f>
        <v>58</v>
      </c>
      <c r="R64" s="9">
        <f ca="1">IF(ISERROR(Q64),MATCH(J64,'B2'!M:M,0),Q64)</f>
        <v>58</v>
      </c>
      <c r="S64" s="9" t="e">
        <f t="shared" ca="1" si="8"/>
        <v>#N/A</v>
      </c>
      <c r="T64" s="3">
        <f ca="1">OFFSET('B2'!$C$1,'B3'!M64-1,0)</f>
        <v>5.4881944444444448E-3</v>
      </c>
      <c r="U64" s="3">
        <f ca="1">OFFSET('B2'!$D$1,'B3'!R64-1,0)</f>
        <v>5.613194444444445E-3</v>
      </c>
      <c r="V64" s="16">
        <f t="shared" ca="1" si="9"/>
        <v>5.613194444444445E-3</v>
      </c>
      <c r="W64" s="4">
        <f t="shared" si="10"/>
        <v>54</v>
      </c>
      <c r="X64" s="5" t="e">
        <f t="shared" ca="1" si="11"/>
        <v>#N/A</v>
      </c>
      <c r="Y64" s="5">
        <f t="shared" ca="1" si="12"/>
        <v>1.2500000000000011E-4</v>
      </c>
      <c r="Z64" s="6" t="e">
        <f t="shared" ca="1" si="13"/>
        <v>#N/A</v>
      </c>
      <c r="AA64" s="12">
        <v>7.2843402777777776E-3</v>
      </c>
      <c r="AB64" s="13">
        <f t="shared" si="14"/>
        <v>9.5289351851852479E-5</v>
      </c>
      <c r="AC64" s="14" t="e">
        <f t="shared" ca="1" si="15"/>
        <v>#N/A</v>
      </c>
      <c r="AD64" s="10">
        <v>1.57</v>
      </c>
      <c r="AE64" s="3" t="b">
        <f t="shared" si="16"/>
        <v>0</v>
      </c>
      <c r="AG64" s="15"/>
    </row>
    <row r="65" spans="1:33" x14ac:dyDescent="0.3">
      <c r="A65" t="s">
        <v>786</v>
      </c>
      <c r="B65" s="2" t="str">
        <f t="shared" si="1"/>
        <v>我们以n=7为例。这</v>
      </c>
      <c r="C65" s="2" t="str">
        <f t="shared" si="2"/>
        <v>我们以n</v>
      </c>
      <c r="D65" s="2" t="str">
        <f t="shared" si="3"/>
        <v>我们</v>
      </c>
      <c r="E65" s="2" t="str">
        <f t="shared" si="4"/>
        <v>，即B(n)的增广向量。</v>
      </c>
      <c r="F65" s="2" t="str">
        <f t="shared" si="5"/>
        <v>增广向量。</v>
      </c>
      <c r="G65" s="2" t="str">
        <f t="shared" si="5"/>
        <v>增广向量。</v>
      </c>
      <c r="H65" s="2" t="str">
        <f t="shared" si="5"/>
        <v>增广向量。</v>
      </c>
      <c r="I65" s="2" t="str">
        <f t="shared" si="6"/>
        <v>向量。</v>
      </c>
      <c r="J65" s="9" t="e">
        <f ca="1">MATCH(B65,'B2'!E:E,0)</f>
        <v>#N/A</v>
      </c>
      <c r="K65" s="9">
        <f ca="1">IF(ISERROR(J65),MATCH(C65,'B2'!F:F,0),J65)</f>
        <v>59</v>
      </c>
      <c r="L65" s="9">
        <f ca="1">IF(ISERROR(K65),MATCH(D65,'B2'!G:G,0),K65)</f>
        <v>59</v>
      </c>
      <c r="M65" s="9">
        <f ca="1">IF(ISERROR(L65),MATCH(E65,'B2'!H:H,0),L65)</f>
        <v>59</v>
      </c>
      <c r="N65" s="9">
        <f t="shared" ca="1" si="7"/>
        <v>1</v>
      </c>
      <c r="O65" s="9" t="e">
        <f ca="1">MATCH(E65,'B2'!H:H,0)</f>
        <v>#N/A</v>
      </c>
      <c r="P65" s="9">
        <f ca="1">IF(ISERROR(O65),MATCH(H65,'B2'!K:K,0),O65)</f>
        <v>60</v>
      </c>
      <c r="Q65" s="9">
        <f ca="1">IF(ISERROR(P65),MATCH(I65,'B2'!L:L,0),P65)</f>
        <v>60</v>
      </c>
      <c r="R65" s="9">
        <f ca="1">IF(ISERROR(Q65),MATCH(J65,'B2'!M:M,0),Q65)</f>
        <v>60</v>
      </c>
      <c r="S65" s="9">
        <f t="shared" ca="1" si="8"/>
        <v>1</v>
      </c>
      <c r="T65" s="3">
        <f ca="1">OFFSET('B2'!$C$1,'B3'!M65-1,0)</f>
        <v>5.613194444444445E-3</v>
      </c>
      <c r="U65" s="3">
        <f ca="1">OFFSET('B2'!$D$1,'B3'!R65-1,0)</f>
        <v>5.6969907407407412E-3</v>
      </c>
      <c r="V65" s="16">
        <f t="shared" ca="1" si="9"/>
        <v>5.6976851851851858E-3</v>
      </c>
      <c r="W65" s="4">
        <f t="shared" si="10"/>
        <v>54</v>
      </c>
      <c r="X65" s="5">
        <f t="shared" ca="1" si="11"/>
        <v>0</v>
      </c>
      <c r="Y65" s="5">
        <f t="shared" ca="1" si="12"/>
        <v>8.3796296296296223E-5</v>
      </c>
      <c r="Z65" s="6">
        <f t="shared" ca="1" si="13"/>
        <v>8.4490740740740446E-5</v>
      </c>
      <c r="AA65" s="12">
        <v>7.3796296296296301E-3</v>
      </c>
      <c r="AB65" s="13">
        <f t="shared" si="14"/>
        <v>1.3425925925925931E-4</v>
      </c>
      <c r="AC65" s="14" t="str">
        <f t="shared" ca="1" si="15"/>
        <v>4.30</v>
      </c>
      <c r="AD65" s="10">
        <v>1.04</v>
      </c>
      <c r="AE65" s="3" t="b">
        <f t="shared" ref="AE65:AE96" si="17">AF65=A65</f>
        <v>0</v>
      </c>
      <c r="AG65" s="15"/>
    </row>
    <row r="66" spans="1:33" x14ac:dyDescent="0.3">
      <c r="A66" t="s">
        <v>787</v>
      </c>
      <c r="B66" s="2" t="str">
        <f t="shared" ref="B66:B118" si="18">LEFT($A66,10)</f>
        <v>我们的目标是：对于B</v>
      </c>
      <c r="C66" s="2" t="str">
        <f t="shared" ref="C66:C118" si="19">LEFT($A66,4)</f>
        <v>我们的目</v>
      </c>
      <c r="D66" s="2" t="str">
        <f t="shared" ref="D66:D118" si="20">LEFT($A66,2)</f>
        <v>我们</v>
      </c>
      <c r="E66" s="2" t="str">
        <f t="shared" ref="E66:E118" si="21">RIGHT($A66,12)</f>
        <v>第一行和y的情况下求x。</v>
      </c>
      <c r="F66" s="2" t="str">
        <f t="shared" ref="F66:H118" si="22">RIGHT($A66,5)</f>
        <v>况下求x。</v>
      </c>
      <c r="G66" s="2" t="str">
        <f t="shared" si="22"/>
        <v>况下求x。</v>
      </c>
      <c r="H66" s="2" t="str">
        <f t="shared" si="22"/>
        <v>况下求x。</v>
      </c>
      <c r="I66" s="2" t="str">
        <f t="shared" ref="I66:I118" si="23">RIGHT($A66,3)</f>
        <v>求x。</v>
      </c>
      <c r="J66" s="9" t="e">
        <f ca="1">MATCH(B66,'B2'!E:E,0)</f>
        <v>#N/A</v>
      </c>
      <c r="K66" s="9">
        <f ca="1">IF(ISERROR(J66),MATCH(C66,'B2'!F:F,0),J66)</f>
        <v>61</v>
      </c>
      <c r="L66" s="9">
        <f ca="1">IF(ISERROR(K66),MATCH(D66,'B2'!G:G,0),K66)</f>
        <v>61</v>
      </c>
      <c r="M66" s="9">
        <f ca="1">IF(ISERROR(L66),MATCH(E66,'B2'!H:H,0),L66)</f>
        <v>61</v>
      </c>
      <c r="N66" s="9">
        <f t="shared" ref="N66:N118" ca="1" si="24">AND((M66&gt;M65),(M66&lt;M67))*1</f>
        <v>1</v>
      </c>
      <c r="O66" s="9">
        <f ca="1">MATCH(E66,'B2'!H:H,0)</f>
        <v>61</v>
      </c>
      <c r="P66" s="9">
        <f ca="1">IF(ISERROR(O66),MATCH(H66,'B2'!K:K,0),O66)</f>
        <v>61</v>
      </c>
      <c r="Q66" s="9">
        <f ca="1">IF(ISERROR(P66),MATCH(I66,'B2'!L:L,0),P66)</f>
        <v>61</v>
      </c>
      <c r="R66" s="9">
        <f ca="1">IF(ISERROR(Q66),MATCH(J66,'B2'!M:M,0),Q66)</f>
        <v>61</v>
      </c>
      <c r="S66" s="9" t="e">
        <f t="shared" ref="S66:S118" ca="1" si="25">AND((R66&gt;R65),(R66&lt;R67))*1</f>
        <v>#N/A</v>
      </c>
      <c r="T66" s="3">
        <f ca="1">OFFSET('B2'!$C$1,'B3'!M66-1,0)</f>
        <v>5.6983796296296296E-3</v>
      </c>
      <c r="U66" s="3">
        <f ca="1">OFFSET('B2'!$D$1,'B3'!R66-1,0)</f>
        <v>5.7483796296296302E-3</v>
      </c>
      <c r="V66" s="16">
        <f t="shared" ref="V66:V117" ca="1" si="26">(U66+T67)/2</f>
        <v>5.7493055555555561E-3</v>
      </c>
      <c r="W66" s="4">
        <f t="shared" ref="W66:W118" si="27">LEN(A66)</f>
        <v>31</v>
      </c>
      <c r="X66" s="5">
        <f t="shared" ref="X66:X118" ca="1" si="28">T66-U65</f>
        <v>1.3888888888884468E-6</v>
      </c>
      <c r="Y66" s="5">
        <f t="shared" ref="Y66:Y118" ca="1" si="29">U66-T66</f>
        <v>5.0000000000000565E-5</v>
      </c>
      <c r="Z66" s="6">
        <f t="shared" ref="Z66:Z118" ca="1" si="30">Y66+(X66+X67)/2</f>
        <v>5.1620370370370275E-5</v>
      </c>
      <c r="AA66" s="12">
        <v>7.5138888888888894E-3</v>
      </c>
      <c r="AB66" s="13">
        <f t="shared" ref="AB66:AB117" si="31">AA67-AA66</f>
        <v>1.0300925925925929E-4</v>
      </c>
      <c r="AC66" s="14" t="str">
        <f t="shared" ref="AC66:AC117" ca="1" si="32">IF(AB66-Z66&lt;0,"-"&amp;TEXT(ABS(AB66-Z66),"s.00"),TEXT(AB66-Z66,"s.00"))</f>
        <v>4.44</v>
      </c>
      <c r="AD66" s="10">
        <v>0.96</v>
      </c>
      <c r="AE66" s="3" t="b">
        <f t="shared" si="17"/>
        <v>0</v>
      </c>
      <c r="AG66" s="15"/>
    </row>
    <row r="67" spans="1:33" x14ac:dyDescent="0.3">
      <c r="A67" t="s">
        <v>788</v>
      </c>
      <c r="B67" s="2" t="str">
        <f t="shared" si="18"/>
        <v>如果将n在不同情况下</v>
      </c>
      <c r="C67" s="2" t="str">
        <f t="shared" si="19"/>
        <v>如果将n</v>
      </c>
      <c r="D67" s="2" t="str">
        <f t="shared" si="20"/>
        <v>如果</v>
      </c>
      <c r="E67" s="2" t="str">
        <f t="shared" si="21"/>
        <v>，矩阵长这样，记为B'。</v>
      </c>
      <c r="F67" s="2" t="str">
        <f t="shared" si="22"/>
        <v>记为B'。</v>
      </c>
      <c r="G67" s="2" t="str">
        <f t="shared" si="22"/>
        <v>记为B'。</v>
      </c>
      <c r="H67" s="2" t="str">
        <f t="shared" si="22"/>
        <v>记为B'。</v>
      </c>
      <c r="I67" s="2" t="str">
        <f t="shared" si="23"/>
        <v>B'。</v>
      </c>
      <c r="J67" s="9">
        <f ca="1">MATCH(B67,'B2'!E:E,0)</f>
        <v>62</v>
      </c>
      <c r="K67" s="9">
        <f ca="1">IF(ISERROR(J67),MATCH(C67,'B2'!F:F,0),J67)</f>
        <v>62</v>
      </c>
      <c r="L67" s="9">
        <f ca="1">IF(ISERROR(K67),MATCH(D67,'B2'!G:G,0),K67)</f>
        <v>62</v>
      </c>
      <c r="M67" s="9">
        <f ca="1">IF(ISERROR(L67),MATCH(E67,'B2'!H:H,0),L67)</f>
        <v>62</v>
      </c>
      <c r="N67" s="9">
        <f t="shared" ca="1" si="24"/>
        <v>1</v>
      </c>
      <c r="O67" s="9" t="e">
        <f ca="1">MATCH(E67,'B2'!H:H,0)</f>
        <v>#N/A</v>
      </c>
      <c r="P67" s="9" t="e">
        <f ca="1">IF(ISERROR(O67),MATCH(H67,'B2'!K:K,0),O67)</f>
        <v>#N/A</v>
      </c>
      <c r="Q67" s="9" t="e">
        <f ca="1">IF(ISERROR(P67),MATCH(I67,'B2'!L:L,0),P67)</f>
        <v>#N/A</v>
      </c>
      <c r="R67" s="9" t="e">
        <f ca="1">IF(ISERROR(Q67),MATCH(J67,'B2'!M:M,0),Q67)</f>
        <v>#N/A</v>
      </c>
      <c r="S67" s="9" t="e">
        <f t="shared" ca="1" si="25"/>
        <v>#N/A</v>
      </c>
      <c r="T67" s="3">
        <f ca="1">OFFSET('B2'!$C$1,'B3'!M67-1,0)</f>
        <v>5.7502314814814812E-3</v>
      </c>
      <c r="U67" s="3" t="e">
        <f ca="1">OFFSET('B2'!$D$1,'B3'!R67-1,0)</f>
        <v>#N/A</v>
      </c>
      <c r="V67" s="16" t="e">
        <f t="shared" ca="1" si="26"/>
        <v>#N/A</v>
      </c>
      <c r="W67" s="4">
        <f t="shared" si="27"/>
        <v>32</v>
      </c>
      <c r="X67" s="5">
        <f t="shared" ca="1" si="28"/>
        <v>1.8518518518509733E-6</v>
      </c>
      <c r="Y67" s="5" t="e">
        <f t="shared" ca="1" si="29"/>
        <v>#N/A</v>
      </c>
      <c r="Z67" s="6" t="e">
        <f t="shared" ca="1" si="30"/>
        <v>#N/A</v>
      </c>
      <c r="AA67" s="12">
        <v>7.6168981481481487E-3</v>
      </c>
      <c r="AB67" s="13">
        <f t="shared" si="31"/>
        <v>1.2615740740740729E-4</v>
      </c>
      <c r="AC67" s="14" t="e">
        <f t="shared" ca="1" si="32"/>
        <v>#N/A</v>
      </c>
      <c r="AD67" s="10">
        <v>1.24</v>
      </c>
      <c r="AE67" s="3" t="b">
        <f t="shared" si="17"/>
        <v>0</v>
      </c>
      <c r="AG67" s="15"/>
    </row>
    <row r="68" spans="1:33" x14ac:dyDescent="0.3">
      <c r="A68" t="s">
        <v>789</v>
      </c>
      <c r="B68" s="2" t="str">
        <f t="shared" si="18"/>
        <v>注意，这里的B'矩阵</v>
      </c>
      <c r="C68" s="2" t="str">
        <f t="shared" si="19"/>
        <v>注意，这</v>
      </c>
      <c r="D68" s="2" t="str">
        <f t="shared" si="20"/>
        <v>注意</v>
      </c>
      <c r="E68" s="2" t="str">
        <f t="shared" si="21"/>
        <v>的第一行拼接起来的结果。</v>
      </c>
      <c r="F68" s="2" t="str">
        <f t="shared" si="22"/>
        <v>来的结果。</v>
      </c>
      <c r="G68" s="2" t="str">
        <f t="shared" si="22"/>
        <v>来的结果。</v>
      </c>
      <c r="H68" s="2" t="str">
        <f t="shared" si="22"/>
        <v>来的结果。</v>
      </c>
      <c r="I68" s="2" t="str">
        <f t="shared" si="23"/>
        <v>结果。</v>
      </c>
      <c r="J68" s="9" t="e">
        <f ca="1">MATCH(B68,'B2'!E:E,0)</f>
        <v>#N/A</v>
      </c>
      <c r="K68" s="9" t="e">
        <f ca="1">IF(ISERROR(J68),MATCH(C68,'B2'!F:F,0),J68)</f>
        <v>#N/A</v>
      </c>
      <c r="L68" s="9">
        <f ca="1">IF(ISERROR(K68),MATCH(D68,'B2'!G:G,0),K68)</f>
        <v>63</v>
      </c>
      <c r="M68" s="9">
        <f ca="1">IF(ISERROR(L68),MATCH(E68,'B2'!H:H,0),L68)</f>
        <v>63</v>
      </c>
      <c r="N68" s="9">
        <f t="shared" ca="1" si="24"/>
        <v>0</v>
      </c>
      <c r="O68" s="9" t="e">
        <f ca="1">MATCH(E68,'B2'!H:H,0)</f>
        <v>#N/A</v>
      </c>
      <c r="P68" s="9" t="e">
        <f ca="1">IF(ISERROR(O68),MATCH(H68,'B2'!K:K,0),O68)</f>
        <v>#N/A</v>
      </c>
      <c r="Q68" s="9" t="e">
        <f ca="1">IF(ISERROR(P68),MATCH(I68,'B2'!L:L,0),P68)</f>
        <v>#N/A</v>
      </c>
      <c r="R68" s="9" t="e">
        <f ca="1">IF(ISERROR(Q68),MATCH(J68,'B2'!M:M,0),Q68)</f>
        <v>#N/A</v>
      </c>
      <c r="S68" s="9" t="e">
        <f t="shared" ca="1" si="25"/>
        <v>#N/A</v>
      </c>
      <c r="T68" s="3">
        <f ca="1">OFFSET('B2'!$C$1,'B3'!M68-1,0)</f>
        <v>5.8002314814814817E-3</v>
      </c>
      <c r="U68" s="3" t="e">
        <f ca="1">OFFSET('B2'!$D$1,'B3'!R68-1,0)</f>
        <v>#N/A</v>
      </c>
      <c r="V68" s="16" t="e">
        <f t="shared" ca="1" si="26"/>
        <v>#N/A</v>
      </c>
      <c r="W68" s="4">
        <f t="shared" si="27"/>
        <v>47</v>
      </c>
      <c r="X68" s="5" t="e">
        <f t="shared" ca="1" si="28"/>
        <v>#N/A</v>
      </c>
      <c r="Y68" s="5" t="e">
        <f t="shared" ca="1" si="29"/>
        <v>#N/A</v>
      </c>
      <c r="Z68" s="6" t="e">
        <f t="shared" ca="1" si="30"/>
        <v>#N/A</v>
      </c>
      <c r="AA68" s="12">
        <v>7.743055555555556E-3</v>
      </c>
      <c r="AB68" s="13">
        <f t="shared" si="31"/>
        <v>1.2268518518518488E-4</v>
      </c>
      <c r="AC68" s="14" t="e">
        <f t="shared" ca="1" si="32"/>
        <v>#N/A</v>
      </c>
      <c r="AD68" s="10">
        <v>1.22</v>
      </c>
      <c r="AE68" s="3" t="b">
        <f t="shared" si="17"/>
        <v>0</v>
      </c>
      <c r="AG68" s="15"/>
    </row>
    <row r="69" spans="1:33" x14ac:dyDescent="0.3">
      <c r="A69" t="s">
        <v>790</v>
      </c>
      <c r="B69" s="2" t="str">
        <f t="shared" si="18"/>
        <v>另外，这里从n=0开</v>
      </c>
      <c r="C69" s="2" t="str">
        <f t="shared" si="19"/>
        <v>另外，这</v>
      </c>
      <c r="D69" s="2" t="str">
        <f t="shared" si="20"/>
        <v>另外</v>
      </c>
      <c r="E69" s="2" t="str">
        <f t="shared" si="21"/>
        <v>011，最后一个1省去。</v>
      </c>
      <c r="F69" s="2" t="str">
        <f t="shared" si="22"/>
        <v>个1省去。</v>
      </c>
      <c r="G69" s="2" t="str">
        <f t="shared" si="22"/>
        <v>个1省去。</v>
      </c>
      <c r="H69" s="2" t="str">
        <f t="shared" si="22"/>
        <v>个1省去。</v>
      </c>
      <c r="I69" s="2" t="str">
        <f t="shared" si="23"/>
        <v>省去。</v>
      </c>
      <c r="J69" s="9" t="e">
        <f ca="1">MATCH(B69,'B2'!E:E,0)</f>
        <v>#N/A</v>
      </c>
      <c r="K69" s="9" t="e">
        <f ca="1">IF(ISERROR(J69),MATCH(C69,'B2'!F:F,0),J69)</f>
        <v>#N/A</v>
      </c>
      <c r="L69" s="9">
        <f ca="1">IF(ISERROR(K69),MATCH(D69,'B2'!G:G,0),K69)</f>
        <v>34</v>
      </c>
      <c r="M69" s="9">
        <f ca="1">IF(ISERROR(L69),MATCH(E69,'B2'!H:H,0),L69)</f>
        <v>34</v>
      </c>
      <c r="N69" s="9" t="e">
        <f t="shared" ca="1" si="24"/>
        <v>#N/A</v>
      </c>
      <c r="O69" s="9" t="e">
        <f ca="1">MATCH(E69,'B2'!H:H,0)</f>
        <v>#N/A</v>
      </c>
      <c r="P69" s="9" t="e">
        <f ca="1">IF(ISERROR(O69),MATCH(H69,'B2'!K:K,0),O69)</f>
        <v>#N/A</v>
      </c>
      <c r="Q69" s="9" t="e">
        <f ca="1">IF(ISERROR(P69),MATCH(I69,'B2'!L:L,0),P69)</f>
        <v>#N/A</v>
      </c>
      <c r="R69" s="9" t="e">
        <f ca="1">IF(ISERROR(Q69),MATCH(J69,'B2'!M:M,0),Q69)</f>
        <v>#N/A</v>
      </c>
      <c r="S69" s="9" t="e">
        <f t="shared" ca="1" si="25"/>
        <v>#N/A</v>
      </c>
      <c r="T69" s="3">
        <f ca="1">OFFSET('B2'!$C$1,'B3'!M69-1,0)</f>
        <v>3.8865740740740744E-3</v>
      </c>
      <c r="U69" s="3" t="e">
        <f ca="1">OFFSET('B2'!$D$1,'B3'!R69-1,0)</f>
        <v>#N/A</v>
      </c>
      <c r="V69" s="16" t="e">
        <f t="shared" ca="1" si="26"/>
        <v>#N/A</v>
      </c>
      <c r="W69" s="4">
        <f t="shared" si="27"/>
        <v>63</v>
      </c>
      <c r="X69" s="5" t="e">
        <f t="shared" ca="1" si="28"/>
        <v>#N/A</v>
      </c>
      <c r="Y69" s="5" t="e">
        <f t="shared" ca="1" si="29"/>
        <v>#N/A</v>
      </c>
      <c r="Z69" s="6" t="e">
        <f t="shared" ca="1" si="30"/>
        <v>#N/A</v>
      </c>
      <c r="AA69" s="12">
        <v>7.8657407407407409E-3</v>
      </c>
      <c r="AB69" s="13">
        <f t="shared" si="31"/>
        <v>1.2152777777777769E-4</v>
      </c>
      <c r="AC69" s="14" t="e">
        <f t="shared" ca="1" si="32"/>
        <v>#N/A</v>
      </c>
      <c r="AD69" s="10">
        <v>1.44</v>
      </c>
      <c r="AE69" s="3" t="b">
        <f t="shared" si="17"/>
        <v>0</v>
      </c>
      <c r="AG69" s="15"/>
    </row>
    <row r="70" spans="1:33" x14ac:dyDescent="0.3">
      <c r="A70" t="s">
        <v>791</v>
      </c>
      <c r="B70" s="2" t="str">
        <f t="shared" si="18"/>
        <v>改写后的矩阵记为B'</v>
      </c>
      <c r="C70" s="2" t="str">
        <f t="shared" si="19"/>
        <v>改写后的</v>
      </c>
      <c r="D70" s="2" t="str">
        <f t="shared" si="20"/>
        <v>改写</v>
      </c>
      <c r="E70" s="2" t="str">
        <f t="shared" si="21"/>
        <v>阵记为B''=B'⊕I。</v>
      </c>
      <c r="F70" s="2" t="str">
        <f t="shared" si="22"/>
        <v>B'⊕I。</v>
      </c>
      <c r="G70" s="2" t="str">
        <f t="shared" si="22"/>
        <v>B'⊕I。</v>
      </c>
      <c r="H70" s="2" t="str">
        <f t="shared" si="22"/>
        <v>B'⊕I。</v>
      </c>
      <c r="I70" s="2" t="str">
        <f t="shared" si="23"/>
        <v>⊕I。</v>
      </c>
      <c r="J70" s="9" t="e">
        <f ca="1">MATCH(B70,'B2'!E:E,0)</f>
        <v>#N/A</v>
      </c>
      <c r="K70" s="9" t="e">
        <f ca="1">IF(ISERROR(J70),MATCH(C70,'B2'!F:F,0),J70)</f>
        <v>#N/A</v>
      </c>
      <c r="L70" s="9" t="e">
        <f ca="1">IF(ISERROR(K70),MATCH(D70,'B2'!G:G,0),K70)</f>
        <v>#N/A</v>
      </c>
      <c r="M70" s="9" t="e">
        <f ca="1">IF(ISERROR(L70),MATCH(E70,'B2'!H:H,0),L70)</f>
        <v>#N/A</v>
      </c>
      <c r="N70" s="9" t="e">
        <f t="shared" ca="1" si="24"/>
        <v>#N/A</v>
      </c>
      <c r="O70" s="9" t="e">
        <f ca="1">MATCH(E70,'B2'!H:H,0)</f>
        <v>#N/A</v>
      </c>
      <c r="P70" s="9" t="e">
        <f ca="1">IF(ISERROR(O70),MATCH(H70,'B2'!K:K,0),O70)</f>
        <v>#N/A</v>
      </c>
      <c r="Q70" s="9" t="e">
        <f ca="1">IF(ISERROR(P70),MATCH(I70,'B2'!L:L,0),P70)</f>
        <v>#N/A</v>
      </c>
      <c r="R70" s="9" t="e">
        <f ca="1">IF(ISERROR(Q70),MATCH(J70,'B2'!M:M,0),Q70)</f>
        <v>#N/A</v>
      </c>
      <c r="S70" s="9" t="e">
        <f t="shared" ca="1" si="25"/>
        <v>#N/A</v>
      </c>
      <c r="T70" s="3" t="e">
        <f ca="1">OFFSET('B2'!$C$1,'B3'!M70-1,0)</f>
        <v>#N/A</v>
      </c>
      <c r="U70" s="3" t="e">
        <f ca="1">OFFSET('B2'!$D$1,'B3'!R70-1,0)</f>
        <v>#N/A</v>
      </c>
      <c r="V70" s="16" t="e">
        <f t="shared" ca="1" si="26"/>
        <v>#N/A</v>
      </c>
      <c r="W70" s="4">
        <f t="shared" si="27"/>
        <v>17</v>
      </c>
      <c r="X70" s="5" t="e">
        <f t="shared" ca="1" si="28"/>
        <v>#N/A</v>
      </c>
      <c r="Y70" s="5" t="e">
        <f t="shared" ca="1" si="29"/>
        <v>#N/A</v>
      </c>
      <c r="Z70" s="6" t="e">
        <f t="shared" ca="1" si="30"/>
        <v>#N/A</v>
      </c>
      <c r="AA70" s="12">
        <v>7.9872685185185185E-3</v>
      </c>
      <c r="AB70" s="13">
        <f t="shared" si="31"/>
        <v>9.8379629629630552E-5</v>
      </c>
      <c r="AC70" s="14" t="e">
        <f t="shared" ca="1" si="32"/>
        <v>#N/A</v>
      </c>
      <c r="AD70" s="10">
        <v>1.5</v>
      </c>
      <c r="AE70" s="3" t="b">
        <f t="shared" si="17"/>
        <v>0</v>
      </c>
      <c r="AG70" s="15"/>
    </row>
    <row r="71" spans="1:33" x14ac:dyDescent="0.3">
      <c r="A71" t="s">
        <v>792</v>
      </c>
      <c r="B71" s="2" t="str">
        <f t="shared" si="18"/>
        <v>把Y的第一行写在一起</v>
      </c>
      <c r="C71" s="2" t="str">
        <f t="shared" si="19"/>
        <v>把Y的第</v>
      </c>
      <c r="D71" s="2" t="str">
        <f t="shared" si="20"/>
        <v>把Y</v>
      </c>
      <c r="E71" s="2" t="str">
        <f t="shared" si="21"/>
        <v>一起是这样的，记为Y'。</v>
      </c>
      <c r="F71" s="2" t="str">
        <f t="shared" si="22"/>
        <v>记为Y'。</v>
      </c>
      <c r="G71" s="2" t="str">
        <f t="shared" si="22"/>
        <v>记为Y'。</v>
      </c>
      <c r="H71" s="2" t="str">
        <f t="shared" si="22"/>
        <v>记为Y'。</v>
      </c>
      <c r="I71" s="2" t="str">
        <f t="shared" si="23"/>
        <v>Y'。</v>
      </c>
      <c r="J71" s="9" t="e">
        <f ca="1">MATCH(B71,'B2'!E:E,0)</f>
        <v>#N/A</v>
      </c>
      <c r="K71" s="9" t="e">
        <f ca="1">IF(ISERROR(J71),MATCH(C71,'B2'!F:F,0),J71)</f>
        <v>#N/A</v>
      </c>
      <c r="L71" s="9" t="e">
        <f ca="1">IF(ISERROR(K71),MATCH(D71,'B2'!G:G,0),K71)</f>
        <v>#N/A</v>
      </c>
      <c r="M71" s="9" t="e">
        <f ca="1">IF(ISERROR(L71),MATCH(E71,'B2'!H:H,0),L71)</f>
        <v>#N/A</v>
      </c>
      <c r="N71" s="9" t="e">
        <f t="shared" ca="1" si="24"/>
        <v>#N/A</v>
      </c>
      <c r="O71" s="9" t="e">
        <f ca="1">MATCH(E71,'B2'!H:H,0)</f>
        <v>#N/A</v>
      </c>
      <c r="P71" s="9" t="e">
        <f ca="1">IF(ISERROR(O71),MATCH(H71,'B2'!K:K,0),O71)</f>
        <v>#N/A</v>
      </c>
      <c r="Q71" s="9" t="e">
        <f ca="1">IF(ISERROR(P71),MATCH(I71,'B2'!L:L,0),P71)</f>
        <v>#N/A</v>
      </c>
      <c r="R71" s="9" t="e">
        <f ca="1">IF(ISERROR(Q71),MATCH(J71,'B2'!M:M,0),Q71)</f>
        <v>#N/A</v>
      </c>
      <c r="S71" s="9" t="e">
        <f t="shared" ca="1" si="25"/>
        <v>#N/A</v>
      </c>
      <c r="T71" s="3" t="e">
        <f ca="1">OFFSET('B2'!$C$1,'B3'!M71-1,0)</f>
        <v>#N/A</v>
      </c>
      <c r="U71" s="3" t="e">
        <f ca="1">OFFSET('B2'!$D$1,'B3'!R71-1,0)</f>
        <v>#N/A</v>
      </c>
      <c r="V71" s="16" t="e">
        <f t="shared" ca="1" si="26"/>
        <v>#N/A</v>
      </c>
      <c r="W71" s="4">
        <f t="shared" si="27"/>
        <v>20</v>
      </c>
      <c r="X71" s="5" t="e">
        <f t="shared" ca="1" si="28"/>
        <v>#N/A</v>
      </c>
      <c r="Y71" s="5" t="e">
        <f t="shared" ca="1" si="29"/>
        <v>#N/A</v>
      </c>
      <c r="Z71" s="6" t="e">
        <f t="shared" ca="1" si="30"/>
        <v>#N/A</v>
      </c>
      <c r="AA71" s="12">
        <v>8.0856481481481491E-3</v>
      </c>
      <c r="AB71" s="13">
        <f t="shared" si="31"/>
        <v>5.3240740740740852E-5</v>
      </c>
      <c r="AC71" s="14" t="e">
        <f t="shared" ca="1" si="32"/>
        <v>#N/A</v>
      </c>
      <c r="AD71" s="10">
        <v>2.36</v>
      </c>
      <c r="AE71" s="3" t="b">
        <f t="shared" si="17"/>
        <v>0</v>
      </c>
      <c r="AG71" s="15"/>
    </row>
    <row r="72" spans="1:33" x14ac:dyDescent="0.3">
      <c r="A72" t="s">
        <v>793</v>
      </c>
      <c r="B72" s="2" t="str">
        <f t="shared" si="18"/>
        <v>合并在一起后的Y'有</v>
      </c>
      <c r="C72" s="2" t="str">
        <f t="shared" si="19"/>
        <v>合并在一</v>
      </c>
      <c r="D72" s="2" t="str">
        <f t="shared" si="20"/>
        <v>合并</v>
      </c>
      <c r="E72" s="2" t="str">
        <f t="shared" si="21"/>
        <v>后的Y'有以上递推公式。</v>
      </c>
      <c r="F72" s="2" t="str">
        <f t="shared" si="22"/>
        <v>递推公式。</v>
      </c>
      <c r="G72" s="2" t="str">
        <f t="shared" si="22"/>
        <v>递推公式。</v>
      </c>
      <c r="H72" s="2" t="str">
        <f t="shared" si="22"/>
        <v>递推公式。</v>
      </c>
      <c r="I72" s="2" t="str">
        <f t="shared" si="23"/>
        <v>公式。</v>
      </c>
      <c r="J72" s="9" t="e">
        <f ca="1">MATCH(B72,'B2'!E:E,0)</f>
        <v>#N/A</v>
      </c>
      <c r="K72" s="9">
        <f ca="1">IF(ISERROR(J72),MATCH(C72,'B2'!F:F,0),J72)</f>
        <v>65</v>
      </c>
      <c r="L72" s="9">
        <f ca="1">IF(ISERROR(K72),MATCH(D72,'B2'!G:G,0),K72)</f>
        <v>65</v>
      </c>
      <c r="M72" s="9">
        <f ca="1">IF(ISERROR(L72),MATCH(E72,'B2'!H:H,0),L72)</f>
        <v>65</v>
      </c>
      <c r="N72" s="9" t="e">
        <f t="shared" ca="1" si="24"/>
        <v>#N/A</v>
      </c>
      <c r="O72" s="9" t="e">
        <f ca="1">MATCH(E72,'B2'!H:H,0)</f>
        <v>#N/A</v>
      </c>
      <c r="P72" s="9">
        <f ca="1">IF(ISERROR(O72),MATCH(H72,'B2'!K:K,0),O72)</f>
        <v>65</v>
      </c>
      <c r="Q72" s="9">
        <f ca="1">IF(ISERROR(P72),MATCH(I72,'B2'!L:L,0),P72)</f>
        <v>65</v>
      </c>
      <c r="R72" s="9">
        <f ca="1">IF(ISERROR(Q72),MATCH(J72,'B2'!M:M,0),Q72)</f>
        <v>65</v>
      </c>
      <c r="S72" s="9" t="e">
        <f t="shared" ca="1" si="25"/>
        <v>#N/A</v>
      </c>
      <c r="T72" s="3">
        <f ca="1">OFFSET('B2'!$C$1,'B3'!M72-1,0)</f>
        <v>6.2266203703703702E-3</v>
      </c>
      <c r="U72" s="3">
        <f ca="1">OFFSET('B2'!$D$1,'B3'!R72-1,0)</f>
        <v>6.309027777777778E-3</v>
      </c>
      <c r="V72" s="16">
        <f t="shared" ca="1" si="26"/>
        <v>6.3101851851851852E-3</v>
      </c>
      <c r="W72" s="4">
        <f t="shared" si="27"/>
        <v>17</v>
      </c>
      <c r="X72" s="5" t="e">
        <f t="shared" ca="1" si="28"/>
        <v>#N/A</v>
      </c>
      <c r="Y72" s="5">
        <f t="shared" ca="1" si="29"/>
        <v>8.2407407407407776E-5</v>
      </c>
      <c r="Z72" s="6" t="e">
        <f t="shared" ca="1" si="30"/>
        <v>#N/A</v>
      </c>
      <c r="AA72" s="12">
        <v>8.1388888888888899E-3</v>
      </c>
      <c r="AB72" s="13">
        <f t="shared" si="31"/>
        <v>1.0532407407407192E-4</v>
      </c>
      <c r="AC72" s="14" t="e">
        <f t="shared" ca="1" si="32"/>
        <v>#N/A</v>
      </c>
      <c r="AD72" s="10">
        <v>1.08</v>
      </c>
      <c r="AE72" s="3" t="b">
        <f t="shared" si="17"/>
        <v>0</v>
      </c>
      <c r="AG72" s="15"/>
    </row>
    <row r="73" spans="1:33" x14ac:dyDescent="0.3">
      <c r="A73" t="s">
        <v>794</v>
      </c>
      <c r="B73" s="2" t="str">
        <f t="shared" si="18"/>
        <v>为了不对整个矩阵进行</v>
      </c>
      <c r="C73" s="2" t="str">
        <f t="shared" si="19"/>
        <v>为了不对</v>
      </c>
      <c r="D73" s="2" t="str">
        <f t="shared" si="20"/>
        <v>为了</v>
      </c>
      <c r="E73" s="2" t="str">
        <f t="shared" si="21"/>
        <v>阵H，称为邻接扩散矩阵。</v>
      </c>
      <c r="F73" s="2" t="str">
        <f t="shared" si="22"/>
        <v>扩散矩阵。</v>
      </c>
      <c r="G73" s="2" t="str">
        <f t="shared" si="22"/>
        <v>扩散矩阵。</v>
      </c>
      <c r="H73" s="2" t="str">
        <f t="shared" si="22"/>
        <v>扩散矩阵。</v>
      </c>
      <c r="I73" s="2" t="str">
        <f t="shared" si="23"/>
        <v>矩阵。</v>
      </c>
      <c r="J73" s="9">
        <f ca="1">MATCH(B73,'B2'!E:E,0)</f>
        <v>66</v>
      </c>
      <c r="K73" s="9">
        <f ca="1">IF(ISERROR(J73),MATCH(C73,'B2'!F:F,0),J73)</f>
        <v>66</v>
      </c>
      <c r="L73" s="9">
        <f ca="1">IF(ISERROR(K73),MATCH(D73,'B2'!G:G,0),K73)</f>
        <v>66</v>
      </c>
      <c r="M73" s="9">
        <f ca="1">IF(ISERROR(L73),MATCH(E73,'B2'!H:H,0),L73)</f>
        <v>66</v>
      </c>
      <c r="N73" s="9">
        <f t="shared" ca="1" si="24"/>
        <v>1</v>
      </c>
      <c r="O73" s="9">
        <f ca="1">MATCH(E73,'B2'!H:H,0)</f>
        <v>67</v>
      </c>
      <c r="P73" s="9">
        <f ca="1">IF(ISERROR(O73),MATCH(H73,'B2'!K:K,0),O73)</f>
        <v>67</v>
      </c>
      <c r="Q73" s="9">
        <f ca="1">IF(ISERROR(P73),MATCH(I73,'B2'!L:L,0),P73)</f>
        <v>67</v>
      </c>
      <c r="R73" s="9">
        <f ca="1">IF(ISERROR(Q73),MATCH(J73,'B2'!M:M,0),Q73)</f>
        <v>67</v>
      </c>
      <c r="S73" s="9">
        <f t="shared" ca="1" si="25"/>
        <v>1</v>
      </c>
      <c r="T73" s="3">
        <f ca="1">OFFSET('B2'!$C$1,'B3'!M73-1,0)</f>
        <v>6.3113425925925924E-3</v>
      </c>
      <c r="U73" s="3">
        <f ca="1">OFFSET('B2'!$D$1,'B3'!R73-1,0)</f>
        <v>6.4493055555555553E-3</v>
      </c>
      <c r="V73" s="16">
        <f t="shared" ca="1" si="26"/>
        <v>6.45E-3</v>
      </c>
      <c r="W73" s="4">
        <f t="shared" si="27"/>
        <v>50</v>
      </c>
      <c r="X73" s="5">
        <f t="shared" ca="1" si="28"/>
        <v>2.3148148148143671E-6</v>
      </c>
      <c r="Y73" s="5">
        <f t="shared" ca="1" si="29"/>
        <v>1.37962962962963E-4</v>
      </c>
      <c r="Z73" s="6">
        <f t="shared" ca="1" si="30"/>
        <v>1.3981481481481484E-4</v>
      </c>
      <c r="AA73" s="12">
        <v>8.2442129629629619E-3</v>
      </c>
      <c r="AB73" s="13">
        <f t="shared" si="31"/>
        <v>1.2152777777777769E-4</v>
      </c>
      <c r="AC73" s="14" t="str">
        <f t="shared" ca="1" si="32"/>
        <v>-1.58</v>
      </c>
      <c r="AD73" s="10">
        <v>2.8</v>
      </c>
      <c r="AE73" s="3" t="b">
        <f t="shared" si="17"/>
        <v>0</v>
      </c>
      <c r="AG73" s="15"/>
    </row>
    <row r="74" spans="1:33" x14ac:dyDescent="0.3">
      <c r="A74" t="s">
        <v>795</v>
      </c>
      <c r="B74" s="2" t="str">
        <f t="shared" si="18"/>
        <v>对于H的每一个元素，</v>
      </c>
      <c r="C74" s="2" t="str">
        <f t="shared" si="19"/>
        <v>对于H的</v>
      </c>
      <c r="D74" s="2" t="str">
        <f t="shared" si="20"/>
        <v>对于</v>
      </c>
      <c r="E74" s="2" t="str">
        <f t="shared" si="21"/>
        <v>个元素向左右扩散后叠加。</v>
      </c>
      <c r="F74" s="2" t="str">
        <f t="shared" si="22"/>
        <v>散后叠加。</v>
      </c>
      <c r="G74" s="2" t="str">
        <f t="shared" si="22"/>
        <v>散后叠加。</v>
      </c>
      <c r="H74" s="2" t="str">
        <f t="shared" si="22"/>
        <v>散后叠加。</v>
      </c>
      <c r="I74" s="2" t="str">
        <f t="shared" si="23"/>
        <v>叠加。</v>
      </c>
      <c r="J74" s="9">
        <f ca="1">MATCH(B74,'B2'!E:E,0)</f>
        <v>68</v>
      </c>
      <c r="K74" s="9">
        <f ca="1">IF(ISERROR(J74),MATCH(C74,'B2'!F:F,0),J74)</f>
        <v>68</v>
      </c>
      <c r="L74" s="9">
        <f ca="1">IF(ISERROR(K74),MATCH(D74,'B2'!G:G,0),K74)</f>
        <v>68</v>
      </c>
      <c r="M74" s="9">
        <f ca="1">IF(ISERROR(L74),MATCH(E74,'B2'!H:H,0),L74)</f>
        <v>68</v>
      </c>
      <c r="N74" s="9">
        <f t="shared" ca="1" si="24"/>
        <v>1</v>
      </c>
      <c r="O74" s="9">
        <f ca="1">MATCH(E74,'B2'!H:H,0)</f>
        <v>69</v>
      </c>
      <c r="P74" s="9">
        <f ca="1">IF(ISERROR(O74),MATCH(H74,'B2'!K:K,0),O74)</f>
        <v>69</v>
      </c>
      <c r="Q74" s="9">
        <f ca="1">IF(ISERROR(P74),MATCH(I74,'B2'!L:L,0),P74)</f>
        <v>69</v>
      </c>
      <c r="R74" s="9">
        <f ca="1">IF(ISERROR(Q74),MATCH(J74,'B2'!M:M,0),Q74)</f>
        <v>69</v>
      </c>
      <c r="S74" s="9" t="e">
        <f t="shared" ca="1" si="25"/>
        <v>#N/A</v>
      </c>
      <c r="T74" s="3">
        <f ca="1">OFFSET('B2'!$C$1,'B3'!M74-1,0)</f>
        <v>6.4506944444444447E-3</v>
      </c>
      <c r="U74" s="3">
        <f ca="1">OFFSET('B2'!$D$1,'B3'!R74-1,0)</f>
        <v>6.5881944444444451E-3</v>
      </c>
      <c r="V74" s="16">
        <f t="shared" ca="1" si="26"/>
        <v>6.5888888888888889E-3</v>
      </c>
      <c r="W74" s="4">
        <f t="shared" si="27"/>
        <v>61</v>
      </c>
      <c r="X74" s="5">
        <f t="shared" ca="1" si="28"/>
        <v>1.3888888888893142E-6</v>
      </c>
      <c r="Y74" s="5">
        <f t="shared" ca="1" si="29"/>
        <v>1.3750000000000047E-4</v>
      </c>
      <c r="Z74" s="6">
        <f t="shared" ca="1" si="30"/>
        <v>1.3888888888888935E-4</v>
      </c>
      <c r="AA74" s="12">
        <v>8.3657407407407396E-3</v>
      </c>
      <c r="AB74" s="13">
        <f t="shared" si="31"/>
        <v>8.9120370370371349E-5</v>
      </c>
      <c r="AC74" s="14" t="str">
        <f t="shared" ca="1" si="32"/>
        <v>-4.30</v>
      </c>
      <c r="AD74" s="10">
        <v>1.36</v>
      </c>
      <c r="AE74" s="3" t="b">
        <f t="shared" si="17"/>
        <v>0</v>
      </c>
      <c r="AG74" s="15"/>
    </row>
    <row r="75" spans="1:33" x14ac:dyDescent="0.3">
      <c r="A75" t="s">
        <v>796</v>
      </c>
      <c r="B75" s="2" t="str">
        <f t="shared" si="18"/>
        <v>这是因为，矩阵的对应</v>
      </c>
      <c r="C75" s="2" t="str">
        <f t="shared" si="19"/>
        <v>这是因为</v>
      </c>
      <c r="D75" s="2" t="str">
        <f t="shared" si="20"/>
        <v>这是</v>
      </c>
      <c r="E75" s="2" t="str">
        <f t="shared" si="21"/>
        <v>每个元素左右扩散的结果。</v>
      </c>
      <c r="F75" s="2" t="str">
        <f t="shared" si="22"/>
        <v>散的结果。</v>
      </c>
      <c r="G75" s="2" t="str">
        <f t="shared" si="22"/>
        <v>散的结果。</v>
      </c>
      <c r="H75" s="2" t="str">
        <f t="shared" si="22"/>
        <v>散的结果。</v>
      </c>
      <c r="I75" s="2" t="str">
        <f t="shared" si="23"/>
        <v>结果。</v>
      </c>
      <c r="J75" s="9" t="e">
        <f ca="1">MATCH(B75,'B2'!E:E,0)</f>
        <v>#N/A</v>
      </c>
      <c r="K75" s="9">
        <f ca="1">IF(ISERROR(J75),MATCH(C75,'B2'!F:F,0),J75)</f>
        <v>70</v>
      </c>
      <c r="L75" s="9">
        <f ca="1">IF(ISERROR(K75),MATCH(D75,'B2'!G:G,0),K75)</f>
        <v>70</v>
      </c>
      <c r="M75" s="9">
        <f ca="1">IF(ISERROR(L75),MATCH(E75,'B2'!H:H,0),L75)</f>
        <v>70</v>
      </c>
      <c r="N75" s="9">
        <f t="shared" ca="1" si="24"/>
        <v>1</v>
      </c>
      <c r="O75" s="9" t="e">
        <f ca="1">MATCH(E75,'B2'!H:H,0)</f>
        <v>#N/A</v>
      </c>
      <c r="P75" s="9" t="e">
        <f ca="1">IF(ISERROR(O75),MATCH(H75,'B2'!K:K,0),O75)</f>
        <v>#N/A</v>
      </c>
      <c r="Q75" s="9" t="e">
        <f ca="1">IF(ISERROR(P75),MATCH(I75,'B2'!L:L,0),P75)</f>
        <v>#N/A</v>
      </c>
      <c r="R75" s="9" t="e">
        <f ca="1">IF(ISERROR(Q75),MATCH(J75,'B2'!M:M,0),Q75)</f>
        <v>#N/A</v>
      </c>
      <c r="S75" s="9" t="e">
        <f t="shared" ca="1" si="25"/>
        <v>#N/A</v>
      </c>
      <c r="T75" s="3">
        <f ca="1">OFFSET('B2'!$C$1,'B3'!M75-1,0)</f>
        <v>6.5895833333333336E-3</v>
      </c>
      <c r="U75" s="3" t="e">
        <f ca="1">OFFSET('B2'!$D$1,'B3'!R75-1,0)</f>
        <v>#N/A</v>
      </c>
      <c r="V75" s="16" t="e">
        <f t="shared" ca="1" si="26"/>
        <v>#N/A</v>
      </c>
      <c r="W75" s="4">
        <f t="shared" si="27"/>
        <v>27</v>
      </c>
      <c r="X75" s="5">
        <f t="shared" ca="1" si="28"/>
        <v>1.3888888888884468E-6</v>
      </c>
      <c r="Y75" s="5" t="e">
        <f t="shared" ca="1" si="29"/>
        <v>#N/A</v>
      </c>
      <c r="Z75" s="6" t="e">
        <f t="shared" ca="1" si="30"/>
        <v>#N/A</v>
      </c>
      <c r="AA75" s="12">
        <v>8.4548611111111109E-3</v>
      </c>
      <c r="AB75" s="13">
        <f t="shared" si="31"/>
        <v>1.307870370370369E-4</v>
      </c>
      <c r="AC75" s="14" t="e">
        <f t="shared" ca="1" si="32"/>
        <v>#N/A</v>
      </c>
      <c r="AD75" s="10">
        <v>4.9000000000000004</v>
      </c>
      <c r="AE75" s="3" t="b">
        <f t="shared" si="17"/>
        <v>0</v>
      </c>
      <c r="AG75" s="15"/>
    </row>
    <row r="76" spans="1:33" x14ac:dyDescent="0.3">
      <c r="A76" t="s">
        <v>797</v>
      </c>
      <c r="B76" s="2" t="str">
        <f t="shared" si="18"/>
        <v>不难发现，《首行叠加</v>
      </c>
      <c r="C76" s="2" t="str">
        <f t="shared" si="19"/>
        <v>不难发现</v>
      </c>
      <c r="D76" s="2" t="str">
        <f t="shared" si="20"/>
        <v>不难</v>
      </c>
      <c r="E76" s="2" t="str">
        <f t="shared" si="21"/>
        <v>可以用H表示为以上公式。</v>
      </c>
      <c r="F76" s="2" t="str">
        <f t="shared" si="22"/>
        <v>以上公式。</v>
      </c>
      <c r="G76" s="2" t="str">
        <f t="shared" si="22"/>
        <v>以上公式。</v>
      </c>
      <c r="H76" s="2" t="str">
        <f t="shared" si="22"/>
        <v>以上公式。</v>
      </c>
      <c r="I76" s="2" t="str">
        <f t="shared" si="23"/>
        <v>公式。</v>
      </c>
      <c r="J76" s="9" t="e">
        <f ca="1">MATCH(B76,'B2'!E:E,0)</f>
        <v>#N/A</v>
      </c>
      <c r="K76" s="9">
        <f ca="1">IF(ISERROR(J76),MATCH(C76,'B2'!F:F,0),J76)</f>
        <v>50</v>
      </c>
      <c r="L76" s="9">
        <f ca="1">IF(ISERROR(K76),MATCH(D76,'B2'!G:G,0),K76)</f>
        <v>50</v>
      </c>
      <c r="M76" s="9">
        <v>107</v>
      </c>
      <c r="N76" s="9">
        <f t="shared" ca="1" si="24"/>
        <v>0</v>
      </c>
      <c r="O76" s="9" t="e">
        <f ca="1">MATCH(E76,'B2'!H:H,0)</f>
        <v>#N/A</v>
      </c>
      <c r="P76" s="9">
        <f ca="1">IF(ISERROR(O76),MATCH(H76,'B2'!K:K,0),O76)</f>
        <v>22</v>
      </c>
      <c r="Q76" s="9">
        <f ca="1">IF(ISERROR(P76),MATCH(I76,'B2'!L:L,0),P76)</f>
        <v>22</v>
      </c>
      <c r="R76" s="9">
        <f ca="1">IF(ISERROR(Q76),MATCH(J76,'B2'!M:M,0),Q76)</f>
        <v>22</v>
      </c>
      <c r="S76" s="9" t="e">
        <f t="shared" ca="1" si="25"/>
        <v>#N/A</v>
      </c>
      <c r="T76" s="3" t="e">
        <f ca="1">OFFSET('B2'!$C$1,'B3'!M76-1,0)</f>
        <v>#N/A</v>
      </c>
      <c r="U76" s="3">
        <f ca="1">OFFSET('B2'!$D$1,'B3'!R76-1,0)</f>
        <v>2.0083333333333333E-3</v>
      </c>
      <c r="V76" s="16">
        <f t="shared" ca="1" si="26"/>
        <v>1.5884259259259259E-3</v>
      </c>
      <c r="W76" s="4">
        <f t="shared" si="27"/>
        <v>32</v>
      </c>
      <c r="X76" s="5" t="e">
        <f t="shared" ca="1" si="28"/>
        <v>#N/A</v>
      </c>
      <c r="Y76" s="5" t="e">
        <f t="shared" ca="1" si="29"/>
        <v>#N/A</v>
      </c>
      <c r="Z76" s="6" t="e">
        <f t="shared" ca="1" si="30"/>
        <v>#N/A</v>
      </c>
      <c r="AA76" s="12">
        <v>8.5856481481481478E-3</v>
      </c>
      <c r="AB76" s="13">
        <f t="shared" si="31"/>
        <v>1.2384259259259379E-4</v>
      </c>
      <c r="AC76" s="14" t="e">
        <f t="shared" ca="1" si="32"/>
        <v>#N/A</v>
      </c>
      <c r="AD76" s="10">
        <v>1.32</v>
      </c>
      <c r="AE76" s="3" t="b">
        <f t="shared" si="17"/>
        <v>0</v>
      </c>
      <c r="AG76" s="15"/>
    </row>
    <row r="77" spans="1:33" x14ac:dyDescent="0.3">
      <c r="A77" t="s">
        <v>798</v>
      </c>
      <c r="B77" s="2" t="str">
        <f t="shared" si="18"/>
        <v>这里，B(0)、B(</v>
      </c>
      <c r="C77" s="2" t="str">
        <f t="shared" si="19"/>
        <v>这里，B</v>
      </c>
      <c r="D77" s="2" t="str">
        <f t="shared" si="20"/>
        <v>这里</v>
      </c>
      <c r="E77" s="2" t="str">
        <f t="shared" si="21"/>
        <v>示为H的不同次数的叠加。</v>
      </c>
      <c r="F77" s="2" t="str">
        <f t="shared" si="22"/>
        <v>数的叠加。</v>
      </c>
      <c r="G77" s="2" t="str">
        <f t="shared" si="22"/>
        <v>数的叠加。</v>
      </c>
      <c r="H77" s="2" t="str">
        <f t="shared" si="22"/>
        <v>数的叠加。</v>
      </c>
      <c r="I77" s="2" t="str">
        <f t="shared" si="23"/>
        <v>叠加。</v>
      </c>
      <c r="J77" s="9" t="e">
        <f ca="1">MATCH(B77,'B2'!E:E,0)</f>
        <v>#N/A</v>
      </c>
      <c r="K77" s="9" t="e">
        <f ca="1">IF(ISERROR(J77),MATCH(C77,'B2'!F:F,0),J77)</f>
        <v>#N/A</v>
      </c>
      <c r="L77" s="9">
        <f ca="1">IF(ISERROR(K77),MATCH(D77,'B2'!G:G,0),K77)</f>
        <v>12</v>
      </c>
      <c r="M77" s="9">
        <f ca="1">IF(ISERROR(L77),MATCH(E77,'B2'!H:H,0),L77)</f>
        <v>12</v>
      </c>
      <c r="N77" s="9" t="e">
        <f t="shared" ca="1" si="24"/>
        <v>#N/A</v>
      </c>
      <c r="O77" s="9" t="e">
        <f ca="1">MATCH(E77,'B2'!H:H,0)</f>
        <v>#N/A</v>
      </c>
      <c r="P77" s="9" t="e">
        <f ca="1">IF(ISERROR(O77),MATCH(H77,'B2'!K:K,0),O77)</f>
        <v>#N/A</v>
      </c>
      <c r="Q77" s="9">
        <f ca="1">IF(ISERROR(P77),MATCH(I77,'B2'!L:L,0),P77)</f>
        <v>11</v>
      </c>
      <c r="R77" s="9">
        <f ca="1">IF(ISERROR(Q77),MATCH(J77,'B2'!M:M,0),Q77)</f>
        <v>11</v>
      </c>
      <c r="S77" s="9" t="e">
        <f t="shared" ca="1" si="25"/>
        <v>#N/A</v>
      </c>
      <c r="T77" s="3">
        <f ca="1">OFFSET('B2'!$C$1,'B3'!M77-1,0)</f>
        <v>1.1685185185185186E-3</v>
      </c>
      <c r="U77" s="3">
        <f ca="1">OFFSET('B2'!$D$1,'B3'!R77-1,0)</f>
        <v>1.1675925925925925E-3</v>
      </c>
      <c r="V77" s="16" t="e">
        <f t="shared" ca="1" si="26"/>
        <v>#N/A</v>
      </c>
      <c r="W77" s="4">
        <f t="shared" si="27"/>
        <v>32</v>
      </c>
      <c r="X77" s="5">
        <f t="shared" ca="1" si="28"/>
        <v>-8.3981481481481472E-4</v>
      </c>
      <c r="Y77" s="5">
        <f t="shared" ca="1" si="29"/>
        <v>-9.2592592592613716E-7</v>
      </c>
      <c r="Z77" s="6" t="e">
        <f t="shared" ca="1" si="30"/>
        <v>#N/A</v>
      </c>
      <c r="AA77" s="12">
        <v>8.7094907407407416E-3</v>
      </c>
      <c r="AB77" s="13">
        <f t="shared" si="31"/>
        <v>1.5393518518518404E-4</v>
      </c>
      <c r="AC77" s="14" t="e">
        <f t="shared" ca="1" si="32"/>
        <v>#N/A</v>
      </c>
      <c r="AD77" s="10">
        <v>1.3</v>
      </c>
      <c r="AE77" s="3" t="b">
        <f t="shared" si="17"/>
        <v>0</v>
      </c>
      <c r="AG77" s="15"/>
    </row>
    <row r="78" spans="1:33" x14ac:dyDescent="0.3">
      <c r="A78" t="s">
        <v>799</v>
      </c>
      <c r="B78" s="2" t="str">
        <f t="shared" si="18"/>
        <v>将这些H的系数用多项</v>
      </c>
      <c r="C78" s="2" t="str">
        <f t="shared" si="19"/>
        <v>将这些H</v>
      </c>
      <c r="D78" s="2" t="str">
        <f t="shared" si="20"/>
        <v>将这</v>
      </c>
      <c r="E78" s="2" t="str">
        <f t="shared" si="21"/>
        <v>写成矩阵的形式，记为C。</v>
      </c>
      <c r="F78" s="2" t="str">
        <f t="shared" si="22"/>
        <v>，记为C。</v>
      </c>
      <c r="G78" s="2" t="str">
        <f t="shared" si="22"/>
        <v>，记为C。</v>
      </c>
      <c r="H78" s="2" t="str">
        <f t="shared" si="22"/>
        <v>，记为C。</v>
      </c>
      <c r="I78" s="2" t="str">
        <f t="shared" si="23"/>
        <v>为C。</v>
      </c>
      <c r="J78" s="9" t="e">
        <f ca="1">MATCH(B78,'B2'!E:E,0)</f>
        <v>#N/A</v>
      </c>
      <c r="K78" s="9" t="e">
        <f ca="1">IF(ISERROR(J78),MATCH(C78,'B2'!F:F,0),J78)</f>
        <v>#N/A</v>
      </c>
      <c r="L78" s="9" t="e">
        <f ca="1">IF(ISERROR(K78),MATCH(D78,'B2'!G:G,0),K78)</f>
        <v>#N/A</v>
      </c>
      <c r="M78" s="9" t="e">
        <f ca="1">IF(ISERROR(L78),MATCH(E78,'B2'!H:H,0),L78)</f>
        <v>#N/A</v>
      </c>
      <c r="N78" s="9" t="e">
        <f t="shared" ca="1" si="24"/>
        <v>#N/A</v>
      </c>
      <c r="O78" s="9" t="e">
        <f ca="1">MATCH(E78,'B2'!H:H,0)</f>
        <v>#N/A</v>
      </c>
      <c r="P78" s="9" t="e">
        <f ca="1">IF(ISERROR(O78),MATCH(H78,'B2'!K:K,0),O78)</f>
        <v>#N/A</v>
      </c>
      <c r="Q78" s="9" t="e">
        <f ca="1">IF(ISERROR(P78),MATCH(I78,'B2'!L:L,0),P78)</f>
        <v>#N/A</v>
      </c>
      <c r="R78" s="9" t="e">
        <f ca="1">IF(ISERROR(Q78),MATCH(J78,'B2'!M:M,0),Q78)</f>
        <v>#N/A</v>
      </c>
      <c r="S78" s="9" t="e">
        <f t="shared" ca="1" si="25"/>
        <v>#N/A</v>
      </c>
      <c r="T78" s="3" t="e">
        <f ca="1">OFFSET('B2'!$C$1,'B3'!M78-1,0)</f>
        <v>#N/A</v>
      </c>
      <c r="U78" s="3" t="e">
        <f ca="1">OFFSET('B2'!$D$1,'B3'!R78-1,0)</f>
        <v>#N/A</v>
      </c>
      <c r="V78" s="16" t="e">
        <f t="shared" ca="1" si="26"/>
        <v>#N/A</v>
      </c>
      <c r="W78" s="4">
        <f t="shared" si="27"/>
        <v>53</v>
      </c>
      <c r="X78" s="5" t="e">
        <f t="shared" ca="1" si="28"/>
        <v>#N/A</v>
      </c>
      <c r="Y78" s="5" t="e">
        <f t="shared" ca="1" si="29"/>
        <v>#N/A</v>
      </c>
      <c r="Z78" s="6" t="e">
        <f t="shared" ca="1" si="30"/>
        <v>#N/A</v>
      </c>
      <c r="AA78" s="12">
        <v>8.8634259259259256E-3</v>
      </c>
      <c r="AB78" s="13">
        <f t="shared" si="31"/>
        <v>1.2268518518518574E-4</v>
      </c>
      <c r="AC78" s="14" t="e">
        <f t="shared" ca="1" si="32"/>
        <v>#N/A</v>
      </c>
      <c r="AD78" s="10">
        <v>1.22</v>
      </c>
      <c r="AE78" s="3" t="b">
        <f t="shared" si="17"/>
        <v>0</v>
      </c>
      <c r="AG78" s="15"/>
    </row>
    <row r="79" spans="1:33" x14ac:dyDescent="0.3">
      <c r="A79" t="s">
        <v>800</v>
      </c>
      <c r="B79" s="2" t="str">
        <f t="shared" si="18"/>
        <v>注意，这里的乘以H的</v>
      </c>
      <c r="C79" s="2" t="str">
        <f t="shared" si="19"/>
        <v>注意，这</v>
      </c>
      <c r="D79" s="2" t="str">
        <f t="shared" si="20"/>
        <v>注意</v>
      </c>
      <c r="E79" s="2" t="str">
        <f t="shared" si="21"/>
        <v>只有x-1而没有x+1。</v>
      </c>
      <c r="F79" s="2" t="str">
        <f t="shared" si="22"/>
        <v>有x+1。</v>
      </c>
      <c r="G79" s="2" t="str">
        <f t="shared" si="22"/>
        <v>有x+1。</v>
      </c>
      <c r="H79" s="2" t="str">
        <f t="shared" si="22"/>
        <v>有x+1。</v>
      </c>
      <c r="I79" s="2" t="str">
        <f t="shared" si="23"/>
        <v>+1。</v>
      </c>
      <c r="J79" s="9" t="e">
        <f ca="1">MATCH(B79,'B2'!E:E,0)</f>
        <v>#N/A</v>
      </c>
      <c r="K79" s="9" t="e">
        <f ca="1">IF(ISERROR(J79),MATCH(C79,'B2'!F:F,0),J79)</f>
        <v>#N/A</v>
      </c>
      <c r="L79" s="9">
        <f ca="1">IF(ISERROR(K79),MATCH(D79,'B2'!G:G,0),K79)</f>
        <v>63</v>
      </c>
      <c r="M79" s="9">
        <f ca="1">IF(ISERROR(L79),MATCH(E79,'B2'!H:H,0),L79)</f>
        <v>63</v>
      </c>
      <c r="N79" s="9" t="e">
        <f t="shared" ca="1" si="24"/>
        <v>#N/A</v>
      </c>
      <c r="O79" s="9" t="e">
        <f ca="1">MATCH(E79,'B2'!H:H,0)</f>
        <v>#N/A</v>
      </c>
      <c r="P79" s="9" t="e">
        <f ca="1">IF(ISERROR(O79),MATCH(H79,'B2'!K:K,0),O79)</f>
        <v>#N/A</v>
      </c>
      <c r="Q79" s="9" t="e">
        <f ca="1">IF(ISERROR(P79),MATCH(I79,'B2'!L:L,0),P79)</f>
        <v>#N/A</v>
      </c>
      <c r="R79" s="9" t="e">
        <f ca="1">IF(ISERROR(Q79),MATCH(J79,'B2'!M:M,0),Q79)</f>
        <v>#N/A</v>
      </c>
      <c r="S79" s="9" t="e">
        <f t="shared" ca="1" si="25"/>
        <v>#N/A</v>
      </c>
      <c r="T79" s="3">
        <f ca="1">OFFSET('B2'!$C$1,'B3'!M79-1,0)</f>
        <v>5.8002314814814817E-3</v>
      </c>
      <c r="U79" s="3" t="e">
        <f ca="1">OFFSET('B2'!$D$1,'B3'!R79-1,0)</f>
        <v>#N/A</v>
      </c>
      <c r="V79" s="16" t="e">
        <f t="shared" ca="1" si="26"/>
        <v>#N/A</v>
      </c>
      <c r="W79" s="4">
        <f t="shared" si="27"/>
        <v>47</v>
      </c>
      <c r="X79" s="5" t="e">
        <f t="shared" ca="1" si="28"/>
        <v>#N/A</v>
      </c>
      <c r="Y79" s="5" t="e">
        <f t="shared" ca="1" si="29"/>
        <v>#N/A</v>
      </c>
      <c r="Z79" s="6" t="e">
        <f t="shared" ca="1" si="30"/>
        <v>#N/A</v>
      </c>
      <c r="AA79" s="12">
        <v>8.9861111111111114E-3</v>
      </c>
      <c r="AB79" s="13">
        <f t="shared" si="31"/>
        <v>1.4583333333333288E-4</v>
      </c>
      <c r="AC79" s="14" t="e">
        <f t="shared" ca="1" si="32"/>
        <v>#N/A</v>
      </c>
      <c r="AD79" s="10">
        <v>1.42</v>
      </c>
      <c r="AE79" s="3" t="b">
        <f t="shared" si="17"/>
        <v>0</v>
      </c>
      <c r="AG79" s="15"/>
    </row>
    <row r="80" spans="1:33" x14ac:dyDescent="0.3">
      <c r="A80" t="s">
        <v>801</v>
      </c>
      <c r="B80" s="2" t="str">
        <f t="shared" si="18"/>
        <v>现在，如果我们将多个</v>
      </c>
      <c r="C80" s="2" t="str">
        <f t="shared" si="19"/>
        <v>现在，如</v>
      </c>
      <c r="D80" s="2" t="str">
        <f t="shared" si="20"/>
        <v>现在</v>
      </c>
      <c r="E80" s="2" t="str">
        <f t="shared" si="21"/>
        <v>起来，看起来像是这样的。</v>
      </c>
      <c r="F80" s="2" t="str">
        <f t="shared" si="22"/>
        <v>是这样的。</v>
      </c>
      <c r="G80" s="2" t="str">
        <f t="shared" si="22"/>
        <v>是这样的。</v>
      </c>
      <c r="H80" s="2" t="str">
        <f t="shared" si="22"/>
        <v>是这样的。</v>
      </c>
      <c r="I80" s="2" t="str">
        <f t="shared" si="23"/>
        <v>样的。</v>
      </c>
      <c r="J80" s="9" t="e">
        <f ca="1">MATCH(B80,'B2'!E:E,0)</f>
        <v>#N/A</v>
      </c>
      <c r="K80" s="9" t="e">
        <f ca="1">IF(ISERROR(J80),MATCH(C80,'B2'!F:F,0),J80)</f>
        <v>#N/A</v>
      </c>
      <c r="L80" s="9">
        <f ca="1">IF(ISERROR(K80),MATCH(D80,'B2'!G:G,0),K80)</f>
        <v>22</v>
      </c>
      <c r="M80" s="9">
        <f ca="1">IF(ISERROR(L80),MATCH(E80,'B2'!H:H,0),L80)</f>
        <v>22</v>
      </c>
      <c r="N80" s="9">
        <f t="shared" ca="1" si="24"/>
        <v>0</v>
      </c>
      <c r="O80" s="9" t="e">
        <f ca="1">MATCH(E80,'B2'!H:H,0)</f>
        <v>#N/A</v>
      </c>
      <c r="P80" s="9" t="e">
        <f ca="1">IF(ISERROR(O80),MATCH(H80,'B2'!K:K,0),O80)</f>
        <v>#N/A</v>
      </c>
      <c r="Q80" s="9" t="e">
        <f ca="1">IF(ISERROR(P80),MATCH(I80,'B2'!L:L,0),P80)</f>
        <v>#N/A</v>
      </c>
      <c r="R80" s="9" t="e">
        <f ca="1">IF(ISERROR(Q80),MATCH(J80,'B2'!M:M,0),Q80)</f>
        <v>#N/A</v>
      </c>
      <c r="S80" s="9" t="e">
        <f t="shared" ca="1" si="25"/>
        <v>#N/A</v>
      </c>
      <c r="T80" s="3">
        <f ca="1">OFFSET('B2'!$C$1,'B3'!M80-1,0)</f>
        <v>1.9462962962962962E-3</v>
      </c>
      <c r="U80" s="3" t="e">
        <f ca="1">OFFSET('B2'!$D$1,'B3'!R80-1,0)</f>
        <v>#N/A</v>
      </c>
      <c r="V80" s="16" t="e">
        <f t="shared" ca="1" si="26"/>
        <v>#N/A</v>
      </c>
      <c r="W80" s="4">
        <f t="shared" si="27"/>
        <v>43</v>
      </c>
      <c r="X80" s="5" t="e">
        <f t="shared" ca="1" si="28"/>
        <v>#N/A</v>
      </c>
      <c r="Y80" s="5" t="e">
        <f t="shared" ca="1" si="29"/>
        <v>#N/A</v>
      </c>
      <c r="Z80" s="6" t="e">
        <f t="shared" ca="1" si="30"/>
        <v>#N/A</v>
      </c>
      <c r="AA80" s="12">
        <v>9.1319444444444443E-3</v>
      </c>
      <c r="AB80" s="13">
        <f t="shared" si="31"/>
        <v>1.516203703703714E-4</v>
      </c>
      <c r="AC80" s="14" t="e">
        <f t="shared" ca="1" si="32"/>
        <v>#N/A</v>
      </c>
      <c r="AD80" s="10">
        <v>2.5</v>
      </c>
      <c r="AE80" s="3" t="b">
        <f t="shared" si="17"/>
        <v>0</v>
      </c>
      <c r="AG80" s="15"/>
    </row>
    <row r="81" spans="1:33" x14ac:dyDescent="0.3">
      <c r="A81" t="s">
        <v>802</v>
      </c>
      <c r="B81" s="2" t="str">
        <f t="shared" si="18"/>
        <v>我们把这个下三角矩阵</v>
      </c>
      <c r="C81" s="2" t="str">
        <f t="shared" si="19"/>
        <v>我们把这</v>
      </c>
      <c r="D81" s="2" t="str">
        <f t="shared" si="20"/>
        <v>我们</v>
      </c>
      <c r="E81" s="2" t="str">
        <f t="shared" si="21"/>
        <v>K的第n行，有以上公式。</v>
      </c>
      <c r="F81" s="2" t="str">
        <f t="shared" si="22"/>
        <v>以上公式。</v>
      </c>
      <c r="G81" s="2" t="str">
        <f t="shared" si="22"/>
        <v>以上公式。</v>
      </c>
      <c r="H81" s="2" t="str">
        <f t="shared" si="22"/>
        <v>以上公式。</v>
      </c>
      <c r="I81" s="2" t="str">
        <f t="shared" si="23"/>
        <v>公式。</v>
      </c>
      <c r="J81" s="9" t="e">
        <f ca="1">MATCH(B81,'B2'!E:E,0)</f>
        <v>#N/A</v>
      </c>
      <c r="K81" s="9">
        <f ca="1">IF(ISERROR(J81),MATCH(C81,'B2'!F:F,0),J81)</f>
        <v>36</v>
      </c>
      <c r="L81" s="9">
        <f ca="1">IF(ISERROR(K81),MATCH(D81,'B2'!G:G,0),K81)</f>
        <v>36</v>
      </c>
      <c r="M81" s="9">
        <f ca="1">IF(ISERROR(L81),MATCH(E81,'B2'!H:H,0),L81)</f>
        <v>36</v>
      </c>
      <c r="N81" s="9">
        <f t="shared" ca="1" si="24"/>
        <v>0</v>
      </c>
      <c r="O81" s="9" t="e">
        <f ca="1">MATCH(E81,'B2'!H:H,0)</f>
        <v>#N/A</v>
      </c>
      <c r="P81" s="9">
        <f ca="1">IF(ISERROR(O81),MATCH(H81,'B2'!K:K,0),O81)</f>
        <v>22</v>
      </c>
      <c r="Q81" s="9">
        <f ca="1">IF(ISERROR(P81),MATCH(I81,'B2'!L:L,0),P81)</f>
        <v>22</v>
      </c>
      <c r="R81" s="9">
        <f ca="1">IF(ISERROR(Q81),MATCH(J81,'B2'!M:M,0),Q81)</f>
        <v>22</v>
      </c>
      <c r="S81" s="9" t="e">
        <f t="shared" ca="1" si="25"/>
        <v>#N/A</v>
      </c>
      <c r="T81" s="3">
        <f ca="1">OFFSET('B2'!$C$1,'B3'!M81-1,0)</f>
        <v>4.0375000000000003E-3</v>
      </c>
      <c r="U81" s="3">
        <f ca="1">OFFSET('B2'!$D$1,'B3'!R81-1,0)</f>
        <v>2.0083333333333333E-3</v>
      </c>
      <c r="V81" s="16">
        <f t="shared" ca="1" si="26"/>
        <v>1.5884259259259259E-3</v>
      </c>
      <c r="W81" s="4">
        <f t="shared" si="27"/>
        <v>45</v>
      </c>
      <c r="X81" s="5" t="e">
        <f t="shared" ca="1" si="28"/>
        <v>#N/A</v>
      </c>
      <c r="Y81" s="5">
        <f t="shared" ca="1" si="29"/>
        <v>-2.029166666666667E-3</v>
      </c>
      <c r="Z81" s="6" t="e">
        <f t="shared" ca="1" si="30"/>
        <v>#N/A</v>
      </c>
      <c r="AA81" s="12">
        <v>9.2835648148148157E-3</v>
      </c>
      <c r="AB81" s="13">
        <f t="shared" si="31"/>
        <v>1.0995370370370239E-4</v>
      </c>
      <c r="AC81" s="14" t="e">
        <f t="shared" ca="1" si="32"/>
        <v>#N/A</v>
      </c>
      <c r="AD81" s="10">
        <v>2.46</v>
      </c>
      <c r="AE81" s="3" t="b">
        <f t="shared" si="17"/>
        <v>0</v>
      </c>
      <c r="AG81" s="15"/>
    </row>
    <row r="82" spans="1:33" x14ac:dyDescent="0.3">
      <c r="A82" t="s">
        <v>803</v>
      </c>
      <c r="B82" s="2" t="str">
        <f t="shared" si="18"/>
        <v>这里后一行是前一行乘</v>
      </c>
      <c r="C82" s="2" t="str">
        <f t="shared" si="19"/>
        <v>这里后一</v>
      </c>
      <c r="D82" s="2" t="str">
        <f t="shared" si="20"/>
        <v>这里</v>
      </c>
      <c r="E82" s="2" t="str">
        <f t="shared" si="21"/>
        <v>个元素，有以上递推公式。</v>
      </c>
      <c r="F82" s="2" t="str">
        <f t="shared" si="22"/>
        <v>递推公式。</v>
      </c>
      <c r="G82" s="2" t="str">
        <f t="shared" si="22"/>
        <v>递推公式。</v>
      </c>
      <c r="H82" s="2" t="str">
        <f t="shared" si="22"/>
        <v>递推公式。</v>
      </c>
      <c r="I82" s="2" t="str">
        <f t="shared" si="23"/>
        <v>公式。</v>
      </c>
      <c r="J82" s="9" t="e">
        <f ca="1">MATCH(B82,'B2'!E:E,0)</f>
        <v>#N/A</v>
      </c>
      <c r="K82" s="9" t="e">
        <f ca="1">IF(ISERROR(J82),MATCH(C82,'B2'!F:F,0),J82)</f>
        <v>#N/A</v>
      </c>
      <c r="L82" s="9">
        <f ca="1">IF(ISERROR(K82),MATCH(D82,'B2'!G:G,0),K82)</f>
        <v>12</v>
      </c>
      <c r="M82" s="9">
        <f ca="1">IF(ISERROR(L82),MATCH(E82,'B2'!H:H,0),L82)</f>
        <v>12</v>
      </c>
      <c r="N82" s="9">
        <f t="shared" ca="1" si="24"/>
        <v>0</v>
      </c>
      <c r="O82" s="9" t="e">
        <f ca="1">MATCH(E82,'B2'!H:H,0)</f>
        <v>#N/A</v>
      </c>
      <c r="P82" s="9">
        <f ca="1">IF(ISERROR(O82),MATCH(H82,'B2'!K:K,0),O82)</f>
        <v>65</v>
      </c>
      <c r="Q82" s="9">
        <f ca="1">IF(ISERROR(P82),MATCH(I82,'B2'!L:L,0),P82)</f>
        <v>65</v>
      </c>
      <c r="R82" s="9">
        <f ca="1">IF(ISERROR(Q82),MATCH(J82,'B2'!M:M,0),Q82)</f>
        <v>65</v>
      </c>
      <c r="S82" s="9" t="e">
        <f t="shared" ca="1" si="25"/>
        <v>#N/A</v>
      </c>
      <c r="T82" s="3">
        <f ca="1">OFFSET('B2'!$C$1,'B3'!M82-1,0)</f>
        <v>1.1685185185185186E-3</v>
      </c>
      <c r="U82" s="3">
        <f ca="1">OFFSET('B2'!$D$1,'B3'!R82-1,0)</f>
        <v>6.309027777777778E-3</v>
      </c>
      <c r="V82" s="16">
        <f t="shared" ca="1" si="26"/>
        <v>4.1276620370370373E-3</v>
      </c>
      <c r="W82" s="4">
        <f t="shared" si="27"/>
        <v>44</v>
      </c>
      <c r="X82" s="5">
        <f t="shared" ca="1" si="28"/>
        <v>-8.3981481481481472E-4</v>
      </c>
      <c r="Y82" s="5">
        <f t="shared" ca="1" si="29"/>
        <v>5.1405092592592596E-3</v>
      </c>
      <c r="Z82" s="6">
        <f t="shared" ca="1" si="30"/>
        <v>2.5392361111111115E-3</v>
      </c>
      <c r="AA82" s="12">
        <v>9.3935185185185181E-3</v>
      </c>
      <c r="AB82" s="13">
        <f t="shared" si="31"/>
        <v>1.1111111111111217E-4</v>
      </c>
      <c r="AC82" s="14" t="str">
        <f t="shared" ca="1" si="32"/>
        <v>-29.79</v>
      </c>
      <c r="AD82" s="10">
        <v>1.48</v>
      </c>
      <c r="AE82" s="3" t="b">
        <f t="shared" si="17"/>
        <v>0</v>
      </c>
      <c r="AG82" s="15"/>
    </row>
    <row r="83" spans="1:33" x14ac:dyDescent="0.3">
      <c r="A83" t="s">
        <v>804</v>
      </c>
      <c r="B83" s="2" t="str">
        <f t="shared" si="18"/>
        <v>现在，定义多项式p(</v>
      </c>
      <c r="C83" s="2" t="str">
        <f t="shared" si="19"/>
        <v>现在，定</v>
      </c>
      <c r="D83" s="2" t="str">
        <f t="shared" si="20"/>
        <v>现在</v>
      </c>
      <c r="E83" s="2" t="str">
        <f t="shared" si="21"/>
        <v>的目标是把B拆分成Hⁿ。</v>
      </c>
      <c r="F83" s="2" t="str">
        <f t="shared" si="22"/>
        <v>分成Hⁿ。</v>
      </c>
      <c r="G83" s="2" t="str">
        <f t="shared" si="22"/>
        <v>分成Hⁿ。</v>
      </c>
      <c r="H83" s="2" t="str">
        <f t="shared" si="22"/>
        <v>分成Hⁿ。</v>
      </c>
      <c r="I83" s="2" t="str">
        <f t="shared" si="23"/>
        <v>Hⁿ。</v>
      </c>
      <c r="J83" s="9" t="e">
        <f ca="1">MATCH(B83,'B2'!E:E,0)</f>
        <v>#N/A</v>
      </c>
      <c r="K83" s="9" t="e">
        <f ca="1">IF(ISERROR(J83),MATCH(C83,'B2'!F:F,0),J83)</f>
        <v>#N/A</v>
      </c>
      <c r="L83" s="9">
        <f ca="1">IF(ISERROR(K83),MATCH(D83,'B2'!G:G,0),K83)</f>
        <v>22</v>
      </c>
      <c r="M83" s="9">
        <f ca="1">IF(ISERROR(L83),MATCH(E83,'B2'!H:H,0),L83)</f>
        <v>22</v>
      </c>
      <c r="N83" s="9" t="e">
        <f t="shared" ca="1" si="24"/>
        <v>#N/A</v>
      </c>
      <c r="O83" s="9" t="e">
        <f ca="1">MATCH(E83,'B2'!H:H,0)</f>
        <v>#N/A</v>
      </c>
      <c r="P83" s="9" t="e">
        <f ca="1">IF(ISERROR(O83),MATCH(H83,'B2'!K:K,0),O83)</f>
        <v>#N/A</v>
      </c>
      <c r="Q83" s="9" t="e">
        <f ca="1">IF(ISERROR(P83),MATCH(I83,'B2'!L:L,0),P83)</f>
        <v>#N/A</v>
      </c>
      <c r="R83" s="9" t="e">
        <f ca="1">IF(ISERROR(Q83),MATCH(J83,'B2'!M:M,0),Q83)</f>
        <v>#N/A</v>
      </c>
      <c r="S83" s="9" t="e">
        <f t="shared" ca="1" si="25"/>
        <v>#N/A</v>
      </c>
      <c r="T83" s="3">
        <f ca="1">OFFSET('B2'!$C$1,'B3'!M83-1,0)</f>
        <v>1.9462962962962962E-3</v>
      </c>
      <c r="U83" s="3" t="e">
        <f ca="1">OFFSET('B2'!$D$1,'B3'!R83-1,0)</f>
        <v>#N/A</v>
      </c>
      <c r="V83" s="16" t="e">
        <f t="shared" ca="1" si="26"/>
        <v>#N/A</v>
      </c>
      <c r="W83" s="4">
        <f t="shared" si="27"/>
        <v>27</v>
      </c>
      <c r="X83" s="5">
        <f t="shared" ca="1" si="28"/>
        <v>-4.3627314814814813E-3</v>
      </c>
      <c r="Y83" s="5" t="e">
        <f t="shared" ca="1" si="29"/>
        <v>#N/A</v>
      </c>
      <c r="Z83" s="6" t="e">
        <f t="shared" ca="1" si="30"/>
        <v>#N/A</v>
      </c>
      <c r="AA83" s="12">
        <v>9.5046296296296302E-3</v>
      </c>
      <c r="AB83" s="13">
        <f t="shared" si="31"/>
        <v>1.1689814814814722E-4</v>
      </c>
      <c r="AC83" s="14" t="e">
        <f t="shared" ca="1" si="32"/>
        <v>#N/A</v>
      </c>
      <c r="AD83" s="10">
        <v>3.46</v>
      </c>
      <c r="AE83" s="3" t="b">
        <f t="shared" si="17"/>
        <v>0</v>
      </c>
      <c r="AG83" s="15"/>
    </row>
    <row r="84" spans="1:33" x14ac:dyDescent="0.3">
      <c r="A84" t="s">
        <v>805</v>
      </c>
      <c r="B84" s="2" t="str">
        <f t="shared" si="18"/>
        <v>将矩阵H代入多项式p</v>
      </c>
      <c r="C84" s="2" t="str">
        <f t="shared" si="19"/>
        <v>将矩阵H</v>
      </c>
      <c r="D84" s="2" t="str">
        <f t="shared" si="20"/>
        <v>将矩</v>
      </c>
      <c r="E84" s="2" t="str">
        <f t="shared" si="21"/>
        <v>H)，并用其表示矩阵B。</v>
      </c>
      <c r="F84" s="2" t="str">
        <f t="shared" si="22"/>
        <v>示矩阵B。</v>
      </c>
      <c r="G84" s="2" t="str">
        <f t="shared" si="22"/>
        <v>示矩阵B。</v>
      </c>
      <c r="H84" s="2" t="str">
        <f t="shared" si="22"/>
        <v>示矩阵B。</v>
      </c>
      <c r="I84" s="2" t="str">
        <f t="shared" si="23"/>
        <v>阵B。</v>
      </c>
      <c r="J84" s="9" t="e">
        <f ca="1">MATCH(B84,'B2'!E:E,0)</f>
        <v>#N/A</v>
      </c>
      <c r="K84" s="9" t="e">
        <f ca="1">IF(ISERROR(J84),MATCH(C84,'B2'!F:F,0),J84)</f>
        <v>#N/A</v>
      </c>
      <c r="L84" s="9" t="e">
        <f ca="1">IF(ISERROR(K84),MATCH(D84,'B2'!G:G,0),K84)</f>
        <v>#N/A</v>
      </c>
      <c r="M84" s="9" t="e">
        <f ca="1">IF(ISERROR(L84),MATCH(E84,'B2'!H:H,0),L84)</f>
        <v>#N/A</v>
      </c>
      <c r="N84" s="9" t="e">
        <f t="shared" ca="1" si="24"/>
        <v>#N/A</v>
      </c>
      <c r="O84" s="9" t="e">
        <f ca="1">MATCH(E84,'B2'!H:H,0)</f>
        <v>#N/A</v>
      </c>
      <c r="P84" s="9" t="e">
        <f ca="1">IF(ISERROR(O84),MATCH(H84,'B2'!K:K,0),O84)</f>
        <v>#N/A</v>
      </c>
      <c r="Q84" s="9">
        <f ca="1">IF(ISERROR(P84),MATCH(I84,'B2'!L:L,0),P84)</f>
        <v>63</v>
      </c>
      <c r="R84" s="9">
        <f ca="1">IF(ISERROR(Q84),MATCH(J84,'B2'!M:M,0),Q84)</f>
        <v>63</v>
      </c>
      <c r="S84" s="9" t="e">
        <f t="shared" ca="1" si="25"/>
        <v>#N/A</v>
      </c>
      <c r="T84" s="3" t="e">
        <f ca="1">OFFSET('B2'!$C$1,'B3'!M84-1,0)</f>
        <v>#N/A</v>
      </c>
      <c r="U84" s="3">
        <f ca="1">OFFSET('B2'!$D$1,'B3'!R84-1,0)</f>
        <v>5.8474537037037037E-3</v>
      </c>
      <c r="V84" s="16">
        <f t="shared" ca="1" si="26"/>
        <v>3.8540509259259257E-3</v>
      </c>
      <c r="W84" s="4">
        <f t="shared" si="27"/>
        <v>30</v>
      </c>
      <c r="X84" s="5" t="e">
        <f t="shared" ca="1" si="28"/>
        <v>#N/A</v>
      </c>
      <c r="Y84" s="5" t="e">
        <f t="shared" ca="1" si="29"/>
        <v>#N/A</v>
      </c>
      <c r="Z84" s="6" t="e">
        <f t="shared" ca="1" si="30"/>
        <v>#N/A</v>
      </c>
      <c r="AA84" s="12">
        <v>9.6215277777777775E-3</v>
      </c>
      <c r="AB84" s="13">
        <f t="shared" si="31"/>
        <v>1.4583333333333288E-4</v>
      </c>
      <c r="AC84" s="14" t="e">
        <f t="shared" ca="1" si="32"/>
        <v>#N/A</v>
      </c>
      <c r="AD84" s="10">
        <v>4.82</v>
      </c>
      <c r="AE84" s="3" t="b">
        <f t="shared" si="17"/>
        <v>0</v>
      </c>
      <c r="AG84" s="15"/>
    </row>
    <row r="85" spans="1:33" x14ac:dyDescent="0.3">
      <c r="A85" t="s">
        <v>806</v>
      </c>
      <c r="B85" s="2" t="str">
        <f t="shared" si="18"/>
        <v>这样，原始求x的问题</v>
      </c>
      <c r="C85" s="2" t="str">
        <f t="shared" si="19"/>
        <v>这样，原</v>
      </c>
      <c r="D85" s="2" t="str">
        <f t="shared" si="20"/>
        <v>这样</v>
      </c>
      <c r="E85" s="2" t="str">
        <f t="shared" si="21"/>
        <v>转化为了p(H)x=y。</v>
      </c>
      <c r="F85" s="2" t="str">
        <f t="shared" si="22"/>
        <v>)x=y。</v>
      </c>
      <c r="G85" s="2" t="str">
        <f t="shared" si="22"/>
        <v>)x=y。</v>
      </c>
      <c r="H85" s="2" t="str">
        <f t="shared" si="22"/>
        <v>)x=y。</v>
      </c>
      <c r="I85" s="2" t="str">
        <f t="shared" si="23"/>
        <v>=y。</v>
      </c>
      <c r="J85" s="9" t="e">
        <f ca="1">MATCH(B85,'B2'!E:E,0)</f>
        <v>#N/A</v>
      </c>
      <c r="K85" s="9" t="e">
        <f ca="1">IF(ISERROR(J85),MATCH(C85,'B2'!F:F,0),J85)</f>
        <v>#N/A</v>
      </c>
      <c r="L85" s="9">
        <f ca="1">IF(ISERROR(K85),MATCH(D85,'B2'!G:G,0),K85)</f>
        <v>21</v>
      </c>
      <c r="M85" s="9">
        <f ca="1">IF(ISERROR(L85),MATCH(E85,'B2'!H:H,0),L85)</f>
        <v>21</v>
      </c>
      <c r="N85" s="9" t="e">
        <f t="shared" ca="1" si="24"/>
        <v>#N/A</v>
      </c>
      <c r="O85" s="9" t="e">
        <f ca="1">MATCH(E85,'B2'!H:H,0)</f>
        <v>#N/A</v>
      </c>
      <c r="P85" s="9" t="e">
        <f ca="1">IF(ISERROR(O85),MATCH(H85,'B2'!K:K,0),O85)</f>
        <v>#N/A</v>
      </c>
      <c r="Q85" s="9" t="e">
        <f ca="1">IF(ISERROR(P85),MATCH(I85,'B2'!L:L,0),P85)</f>
        <v>#N/A</v>
      </c>
      <c r="R85" s="9" t="e">
        <f ca="1">IF(ISERROR(Q85),MATCH(J85,'B2'!M:M,0),Q85)</f>
        <v>#N/A</v>
      </c>
      <c r="S85" s="9" t="e">
        <f t="shared" ca="1" si="25"/>
        <v>#N/A</v>
      </c>
      <c r="T85" s="3">
        <f ca="1">OFFSET('B2'!$C$1,'B3'!M85-1,0)</f>
        <v>1.8606481481481479E-3</v>
      </c>
      <c r="U85" s="3" t="e">
        <f ca="1">OFFSET('B2'!$D$1,'B3'!R85-1,0)</f>
        <v>#N/A</v>
      </c>
      <c r="V85" s="16" t="e">
        <f t="shared" ca="1" si="26"/>
        <v>#N/A</v>
      </c>
      <c r="W85" s="4">
        <f t="shared" si="27"/>
        <v>23</v>
      </c>
      <c r="X85" s="5">
        <f t="shared" ca="1" si="28"/>
        <v>-3.9868055555555559E-3</v>
      </c>
      <c r="Y85" s="5" t="e">
        <f t="shared" ca="1" si="29"/>
        <v>#N/A</v>
      </c>
      <c r="Z85" s="6" t="e">
        <f t="shared" ca="1" si="30"/>
        <v>#N/A</v>
      </c>
      <c r="AA85" s="12">
        <v>9.7673611111111103E-3</v>
      </c>
      <c r="AB85" s="13">
        <f t="shared" si="31"/>
        <v>1.1342592592592654E-4</v>
      </c>
      <c r="AC85" s="14" t="e">
        <f t="shared" ca="1" si="32"/>
        <v>#N/A</v>
      </c>
      <c r="AD85" s="10">
        <v>4.08</v>
      </c>
      <c r="AE85" s="3" t="b">
        <f t="shared" si="17"/>
        <v>0</v>
      </c>
      <c r="AG85" s="15"/>
    </row>
    <row r="86" spans="1:33" x14ac:dyDescent="0.3">
      <c r="A86" t="s">
        <v>807</v>
      </c>
      <c r="B86" s="2" t="str">
        <f t="shared" si="18"/>
        <v>现在，我们需要把多项</v>
      </c>
      <c r="C86" s="2" t="str">
        <f t="shared" si="19"/>
        <v>现在，我</v>
      </c>
      <c r="D86" s="2" t="str">
        <f t="shared" si="20"/>
        <v>现在</v>
      </c>
      <c r="E86" s="2" t="str">
        <f t="shared" si="21"/>
        <v>数构成的向量我们记为p。</v>
      </c>
      <c r="F86" s="2" t="str">
        <f t="shared" si="22"/>
        <v>们记为p。</v>
      </c>
      <c r="G86" s="2" t="str">
        <f t="shared" si="22"/>
        <v>们记为p。</v>
      </c>
      <c r="H86" s="2" t="str">
        <f t="shared" si="22"/>
        <v>们记为p。</v>
      </c>
      <c r="I86" s="2" t="str">
        <f t="shared" si="23"/>
        <v>为p。</v>
      </c>
      <c r="J86" s="9" t="e">
        <f ca="1">MATCH(B86,'B2'!E:E,0)</f>
        <v>#N/A</v>
      </c>
      <c r="K86" s="9" t="e">
        <f ca="1">IF(ISERROR(J86),MATCH(C86,'B2'!F:F,0),J86)</f>
        <v>#N/A</v>
      </c>
      <c r="L86" s="9">
        <f ca="1">IF(ISERROR(K86),MATCH(D86,'B2'!G:G,0),K86)</f>
        <v>22</v>
      </c>
      <c r="M86" s="9">
        <f ca="1">IF(ISERROR(L86),MATCH(E86,'B2'!H:H,0),L86)</f>
        <v>22</v>
      </c>
      <c r="N86" s="9">
        <f t="shared" ca="1" si="24"/>
        <v>1</v>
      </c>
      <c r="O86" s="9">
        <f ca="1">MATCH(E86,'B2'!H:H,0)</f>
        <v>74</v>
      </c>
      <c r="P86" s="9">
        <f ca="1">IF(ISERROR(O86),MATCH(H86,'B2'!K:K,0),O86)</f>
        <v>74</v>
      </c>
      <c r="Q86" s="9">
        <f ca="1">IF(ISERROR(P86),MATCH(I86,'B2'!L:L,0),P86)</f>
        <v>74</v>
      </c>
      <c r="R86" s="9">
        <f ca="1">IF(ISERROR(Q86),MATCH(J86,'B2'!M:M,0),Q86)</f>
        <v>74</v>
      </c>
      <c r="S86" s="9" t="e">
        <f t="shared" ca="1" si="25"/>
        <v>#N/A</v>
      </c>
      <c r="T86" s="3">
        <f ca="1">OFFSET('B2'!$C$1,'B3'!M86-1,0)</f>
        <v>1.9462962962962962E-3</v>
      </c>
      <c r="U86" s="3">
        <f ca="1">OFFSET('B2'!$D$1,'B3'!R86-1,0)</f>
        <v>7.4775462962962955E-3</v>
      </c>
      <c r="V86" s="16">
        <f t="shared" ca="1" si="26"/>
        <v>7.4780092592592589E-3</v>
      </c>
      <c r="W86" s="4">
        <f t="shared" si="27"/>
        <v>38</v>
      </c>
      <c r="X86" s="5" t="e">
        <f t="shared" ca="1" si="28"/>
        <v>#N/A</v>
      </c>
      <c r="Y86" s="5">
        <f t="shared" ca="1" si="29"/>
        <v>5.5312499999999997E-3</v>
      </c>
      <c r="Z86" s="6" t="e">
        <f t="shared" ca="1" si="30"/>
        <v>#N/A</v>
      </c>
      <c r="AA86" s="12">
        <v>9.8807870370370369E-3</v>
      </c>
      <c r="AB86" s="13">
        <f t="shared" si="31"/>
        <v>1.2962962962962885E-4</v>
      </c>
      <c r="AC86" s="14" t="e">
        <f t="shared" ca="1" si="32"/>
        <v>#N/A</v>
      </c>
      <c r="AD86" s="10">
        <v>0.84</v>
      </c>
      <c r="AE86" s="3" t="b">
        <f t="shared" si="17"/>
        <v>0</v>
      </c>
      <c r="AG86" s="15"/>
    </row>
    <row r="87" spans="1:33" x14ac:dyDescent="0.3">
      <c r="A87" t="s">
        <v>808</v>
      </c>
      <c r="B87" s="2" t="str">
        <f t="shared" si="18"/>
        <v>为了简化运算，我们只</v>
      </c>
      <c r="C87" s="2" t="str">
        <f t="shared" si="19"/>
        <v>为了简化</v>
      </c>
      <c r="D87" s="2" t="str">
        <f t="shared" si="20"/>
        <v>为了</v>
      </c>
      <c r="E87" s="2" t="str">
        <f t="shared" si="21"/>
        <v>，我们可以得到b=Kp。</v>
      </c>
      <c r="F87" s="2" t="str">
        <f t="shared" si="22"/>
        <v>b=Kp。</v>
      </c>
      <c r="G87" s="2" t="str">
        <f t="shared" si="22"/>
        <v>b=Kp。</v>
      </c>
      <c r="H87" s="2" t="str">
        <f t="shared" si="22"/>
        <v>b=Kp。</v>
      </c>
      <c r="I87" s="2" t="str">
        <f t="shared" si="23"/>
        <v>Kp。</v>
      </c>
      <c r="J87" s="9">
        <f ca="1">MATCH(B87,'B2'!E:E,0)</f>
        <v>75</v>
      </c>
      <c r="K87" s="9">
        <f ca="1">IF(ISERROR(J87),MATCH(C87,'B2'!F:F,0),J87)</f>
        <v>75</v>
      </c>
      <c r="L87" s="9">
        <f ca="1">IF(ISERROR(K87),MATCH(D87,'B2'!G:G,0),K87)</f>
        <v>75</v>
      </c>
      <c r="M87" s="9">
        <f ca="1">IF(ISERROR(L87),MATCH(E87,'B2'!H:H,0),L87)</f>
        <v>75</v>
      </c>
      <c r="N87" s="9">
        <f t="shared" ca="1" si="24"/>
        <v>1</v>
      </c>
      <c r="O87" s="9" t="e">
        <f ca="1">MATCH(E87,'B2'!H:H,0)</f>
        <v>#N/A</v>
      </c>
      <c r="P87" s="9" t="e">
        <f ca="1">IF(ISERROR(O87),MATCH(H87,'B2'!K:K,0),O87)</f>
        <v>#N/A</v>
      </c>
      <c r="Q87" s="9">
        <f ca="1">IF(ISERROR(P87),MATCH(I87,'B2'!L:L,0),P87)</f>
        <v>76</v>
      </c>
      <c r="R87" s="9">
        <f ca="1">IF(ISERROR(Q87),MATCH(J87,'B2'!M:M,0),Q87)</f>
        <v>76</v>
      </c>
      <c r="S87" s="9">
        <f t="shared" ca="1" si="25"/>
        <v>0</v>
      </c>
      <c r="T87" s="3">
        <f ca="1">OFFSET('B2'!$C$1,'B3'!M87-1,0)</f>
        <v>7.4784722222222223E-3</v>
      </c>
      <c r="U87" s="3">
        <f ca="1">OFFSET('B2'!$D$1,'B3'!R87-1,0)</f>
        <v>7.6400462962962967E-3</v>
      </c>
      <c r="V87" s="16">
        <f t="shared" ca="1" si="26"/>
        <v>7.6400462962962967E-3</v>
      </c>
      <c r="W87" s="4">
        <f t="shared" si="27"/>
        <v>46</v>
      </c>
      <c r="X87" s="5">
        <f t="shared" ca="1" si="28"/>
        <v>9.2592592592678769E-7</v>
      </c>
      <c r="Y87" s="5">
        <f t="shared" ca="1" si="29"/>
        <v>1.615740740740744E-4</v>
      </c>
      <c r="Z87" s="6">
        <f t="shared" ca="1" si="30"/>
        <v>1.6203703703703779E-4</v>
      </c>
      <c r="AA87" s="12">
        <v>1.0010416666666666E-2</v>
      </c>
      <c r="AB87" s="13">
        <f t="shared" si="31"/>
        <v>1.423611111111122E-4</v>
      </c>
      <c r="AC87" s="14" t="str">
        <f t="shared" ca="1" si="32"/>
        <v>-1.70</v>
      </c>
      <c r="AD87" s="10">
        <v>0.96</v>
      </c>
      <c r="AE87" s="3" t="b">
        <f t="shared" si="17"/>
        <v>0</v>
      </c>
      <c r="AG87" s="15"/>
    </row>
    <row r="88" spans="1:33" x14ac:dyDescent="0.3">
      <c r="A88" t="s">
        <v>809</v>
      </c>
      <c r="B88" s="2" t="str">
        <f t="shared" si="18"/>
        <v>为了求得p，我们可以</v>
      </c>
      <c r="C88" s="2" t="str">
        <f t="shared" si="19"/>
        <v>为了求得</v>
      </c>
      <c r="D88" s="2" t="str">
        <f t="shared" si="20"/>
        <v>为了</v>
      </c>
      <c r="E88" s="2" t="str">
        <f t="shared" si="21"/>
        <v>ylov矩阵或解耦矩阵。</v>
      </c>
      <c r="F88" s="2" t="str">
        <f t="shared" si="22"/>
        <v>解耦矩阵。</v>
      </c>
      <c r="G88" s="2" t="str">
        <f t="shared" si="22"/>
        <v>解耦矩阵。</v>
      </c>
      <c r="H88" s="2" t="str">
        <f t="shared" si="22"/>
        <v>解耦矩阵。</v>
      </c>
      <c r="I88" s="2" t="str">
        <f t="shared" si="23"/>
        <v>矩阵。</v>
      </c>
      <c r="J88" s="9">
        <f ca="1">MATCH(B88,'B2'!E:E,0)</f>
        <v>77</v>
      </c>
      <c r="K88" s="9">
        <f ca="1">IF(ISERROR(J88),MATCH(C88,'B2'!F:F,0),J88)</f>
        <v>77</v>
      </c>
      <c r="L88" s="9">
        <f ca="1">IF(ISERROR(K88),MATCH(D88,'B2'!G:G,0),K88)</f>
        <v>77</v>
      </c>
      <c r="M88" s="9">
        <f ca="1">IF(ISERROR(L88),MATCH(E88,'B2'!H:H,0),L88)</f>
        <v>77</v>
      </c>
      <c r="N88" s="9">
        <f t="shared" ca="1" si="24"/>
        <v>1</v>
      </c>
      <c r="O88" s="9" t="e">
        <f ca="1">MATCH(E88,'B2'!H:H,0)</f>
        <v>#N/A</v>
      </c>
      <c r="P88" s="9" t="e">
        <f ca="1">IF(ISERROR(O88),MATCH(H88,'B2'!K:K,0),O88)</f>
        <v>#N/A</v>
      </c>
      <c r="Q88" s="9">
        <f ca="1">IF(ISERROR(P88),MATCH(I88,'B2'!L:L,0),P88)</f>
        <v>21</v>
      </c>
      <c r="R88" s="9">
        <f ca="1">IF(ISERROR(Q88),MATCH(J88,'B2'!M:M,0),Q88)</f>
        <v>21</v>
      </c>
      <c r="S88" s="9">
        <f t="shared" ca="1" si="25"/>
        <v>0</v>
      </c>
      <c r="T88" s="3">
        <f ca="1">OFFSET('B2'!$C$1,'B3'!M88-1,0)</f>
        <v>7.6400462962962967E-3</v>
      </c>
      <c r="U88" s="3">
        <f ca="1">OFFSET('B2'!$D$1,'B3'!R88-1,0)</f>
        <v>1.9462962962962962E-3</v>
      </c>
      <c r="V88" s="16">
        <f t="shared" ca="1" si="26"/>
        <v>4.8994212962962967E-3</v>
      </c>
      <c r="W88" s="4">
        <f t="shared" si="27"/>
        <v>44</v>
      </c>
      <c r="X88" s="5">
        <f t="shared" ca="1" si="28"/>
        <v>0</v>
      </c>
      <c r="Y88" s="5">
        <f t="shared" ca="1" si="29"/>
        <v>-5.6937500000000009E-3</v>
      </c>
      <c r="Z88" s="6">
        <f t="shared" ca="1" si="30"/>
        <v>-2.7406250000000009E-3</v>
      </c>
      <c r="AA88" s="12">
        <v>1.0152777777777778E-2</v>
      </c>
      <c r="AB88" s="13">
        <f t="shared" si="31"/>
        <v>1.7978009259259249E-4</v>
      </c>
      <c r="AC88" s="14" t="str">
        <f t="shared" ca="1" si="32"/>
        <v>12.32</v>
      </c>
      <c r="AD88" s="10">
        <v>4.7699999999999996</v>
      </c>
      <c r="AE88" s="3" t="b">
        <f t="shared" si="17"/>
        <v>0</v>
      </c>
      <c r="AG88" s="15"/>
    </row>
    <row r="89" spans="1:33" x14ac:dyDescent="0.3">
      <c r="A89" t="s">
        <v>810</v>
      </c>
      <c r="B89" s="2" t="str">
        <f t="shared" si="18"/>
        <v>这个矩阵F也是下三角</v>
      </c>
      <c r="C89" s="2" t="str">
        <f t="shared" si="19"/>
        <v>这个矩阵</v>
      </c>
      <c r="D89" s="2" t="str">
        <f t="shared" si="20"/>
        <v>这个</v>
      </c>
      <c r="E89" s="2" t="str">
        <f t="shared" si="21"/>
        <v>矩阵F也满足类似的性质。</v>
      </c>
      <c r="F89" s="2" t="str">
        <f t="shared" si="22"/>
        <v>似的性质。</v>
      </c>
      <c r="G89" s="2" t="str">
        <f t="shared" si="22"/>
        <v>似的性质。</v>
      </c>
      <c r="H89" s="2" t="str">
        <f t="shared" si="22"/>
        <v>似的性质。</v>
      </c>
      <c r="I89" s="2" t="str">
        <f t="shared" si="23"/>
        <v>性质。</v>
      </c>
      <c r="J89" s="9">
        <f ca="1">MATCH(B89,'B2'!E:E,0)</f>
        <v>78</v>
      </c>
      <c r="K89" s="9">
        <f ca="1">IF(ISERROR(J89),MATCH(C89,'B2'!F:F,0),J89)</f>
        <v>78</v>
      </c>
      <c r="L89" s="9">
        <f ca="1">IF(ISERROR(K89),MATCH(D89,'B2'!G:G,0),K89)</f>
        <v>78</v>
      </c>
      <c r="M89" s="9">
        <f ca="1">IF(ISERROR(L89),MATCH(E89,'B2'!H:H,0),L89)</f>
        <v>78</v>
      </c>
      <c r="N89" s="9">
        <f t="shared" ca="1" si="24"/>
        <v>1</v>
      </c>
      <c r="O89" s="9">
        <f ca="1">MATCH(E89,'B2'!H:H,0)</f>
        <v>79</v>
      </c>
      <c r="P89" s="9">
        <f ca="1">IF(ISERROR(O89),MATCH(H89,'B2'!K:K,0),O89)</f>
        <v>79</v>
      </c>
      <c r="Q89" s="9">
        <f ca="1">IF(ISERROR(P89),MATCH(I89,'B2'!L:L,0),P89)</f>
        <v>79</v>
      </c>
      <c r="R89" s="9">
        <f ca="1">IF(ISERROR(Q89),MATCH(J89,'B2'!M:M,0),Q89)</f>
        <v>79</v>
      </c>
      <c r="S89" s="9">
        <f t="shared" ca="1" si="25"/>
        <v>1</v>
      </c>
      <c r="T89" s="3">
        <f ca="1">OFFSET('B2'!$C$1,'B3'!M89-1,0)</f>
        <v>7.8525462962962967E-3</v>
      </c>
      <c r="U89" s="3">
        <f ca="1">OFFSET('B2'!$D$1,'B3'!R89-1,0)</f>
        <v>8.0932870370370377E-3</v>
      </c>
      <c r="V89" s="16">
        <f t="shared" ca="1" si="26"/>
        <v>8.0932870370370377E-3</v>
      </c>
      <c r="W89" s="4">
        <f t="shared" si="27"/>
        <v>51</v>
      </c>
      <c r="X89" s="5">
        <f t="shared" ca="1" si="28"/>
        <v>5.90625E-3</v>
      </c>
      <c r="Y89" s="5">
        <f t="shared" ca="1" si="29"/>
        <v>2.4074074074074102E-4</v>
      </c>
      <c r="Z89" s="6">
        <f t="shared" ca="1" si="30"/>
        <v>3.193865740740741E-3</v>
      </c>
      <c r="AA89" s="12">
        <v>1.033255787037037E-2</v>
      </c>
      <c r="AB89" s="13">
        <f t="shared" si="31"/>
        <v>1.3002314814814821E-4</v>
      </c>
      <c r="AC89" s="14" t="str">
        <f t="shared" ca="1" si="32"/>
        <v>-24.72</v>
      </c>
      <c r="AD89" s="10">
        <v>1.03</v>
      </c>
      <c r="AE89" s="3" t="b">
        <f t="shared" si="17"/>
        <v>0</v>
      </c>
      <c r="AG89" s="15"/>
    </row>
    <row r="90" spans="1:33" x14ac:dyDescent="0.3">
      <c r="A90" t="s">
        <v>811</v>
      </c>
      <c r="B90" s="2" t="str">
        <f t="shared" si="18"/>
        <v>使用这两个性质构造的</v>
      </c>
      <c r="C90" s="2" t="str">
        <f t="shared" si="19"/>
        <v>使用这两</v>
      </c>
      <c r="D90" s="2" t="str">
        <f t="shared" si="20"/>
        <v>使用</v>
      </c>
      <c r="E90" s="2" t="str">
        <f t="shared" si="21"/>
        <v>伴可以自己试着证明一下。</v>
      </c>
      <c r="F90" s="2" t="str">
        <f t="shared" si="22"/>
        <v>证明一下。</v>
      </c>
      <c r="G90" s="2" t="str">
        <f t="shared" si="22"/>
        <v>证明一下。</v>
      </c>
      <c r="H90" s="2" t="str">
        <f t="shared" si="22"/>
        <v>证明一下。</v>
      </c>
      <c r="I90" s="2" t="str">
        <f t="shared" si="23"/>
        <v>一下。</v>
      </c>
      <c r="J90" s="9">
        <f ca="1">MATCH(B90,'B2'!E:E,0)</f>
        <v>80</v>
      </c>
      <c r="K90" s="9">
        <f ca="1">IF(ISERROR(J90),MATCH(C90,'B2'!F:F,0),J90)</f>
        <v>80</v>
      </c>
      <c r="L90" s="9">
        <f ca="1">IF(ISERROR(K90),MATCH(D90,'B2'!G:G,0),K90)</f>
        <v>80</v>
      </c>
      <c r="M90" s="9">
        <f ca="1">IF(ISERROR(L90),MATCH(E90,'B2'!H:H,0),L90)</f>
        <v>80</v>
      </c>
      <c r="N90" s="9">
        <f t="shared" ca="1" si="24"/>
        <v>1</v>
      </c>
      <c r="O90" s="9">
        <f ca="1">MATCH(E90,'B2'!H:H,0)</f>
        <v>80</v>
      </c>
      <c r="P90" s="9">
        <f ca="1">IF(ISERROR(O90),MATCH(H90,'B2'!K:K,0),O90)</f>
        <v>80</v>
      </c>
      <c r="Q90" s="9">
        <f ca="1">IF(ISERROR(P90),MATCH(I90,'B2'!L:L,0),P90)</f>
        <v>80</v>
      </c>
      <c r="R90" s="9">
        <f ca="1">IF(ISERROR(Q90),MATCH(J90,'B2'!M:M,0),Q90)</f>
        <v>80</v>
      </c>
      <c r="S90" s="9">
        <f t="shared" ca="1" si="25"/>
        <v>1</v>
      </c>
      <c r="T90" s="3">
        <f ca="1">OFFSET('B2'!$C$1,'B3'!M90-1,0)</f>
        <v>8.0932870370370377E-3</v>
      </c>
      <c r="U90" s="3">
        <f ca="1">OFFSET('B2'!$D$1,'B3'!R90-1,0)</f>
        <v>8.1993055555555552E-3</v>
      </c>
      <c r="V90" s="16">
        <f t="shared" ca="1" si="26"/>
        <v>8.1997685185185194E-3</v>
      </c>
      <c r="W90" s="4">
        <f t="shared" si="27"/>
        <v>49</v>
      </c>
      <c r="X90" s="5">
        <f t="shared" ca="1" si="28"/>
        <v>0</v>
      </c>
      <c r="Y90" s="5">
        <f t="shared" ca="1" si="29"/>
        <v>1.0601851851851744E-4</v>
      </c>
      <c r="Z90" s="6">
        <f t="shared" ca="1" si="30"/>
        <v>1.0648148148148084E-4</v>
      </c>
      <c r="AA90" s="12">
        <v>1.0462581018518519E-2</v>
      </c>
      <c r="AB90" s="13">
        <f t="shared" si="31"/>
        <v>1.1458333333333286E-4</v>
      </c>
      <c r="AC90" s="14" t="str">
        <f t="shared" ca="1" si="32"/>
        <v>0.70</v>
      </c>
      <c r="AD90" s="10">
        <v>1.44</v>
      </c>
      <c r="AE90" s="3" t="b">
        <f t="shared" si="17"/>
        <v>0</v>
      </c>
      <c r="AG90" s="15"/>
    </row>
    <row r="91" spans="1:33" x14ac:dyDescent="0.3">
      <c r="A91" t="s">
        <v>812</v>
      </c>
      <c r="B91" s="2" t="str">
        <f t="shared" si="18"/>
        <v>提示：矩阵S=KF满</v>
      </c>
      <c r="C91" s="2" t="str">
        <f t="shared" si="19"/>
        <v>提示：矩</v>
      </c>
      <c r="D91" s="2" t="str">
        <f t="shared" si="20"/>
        <v>提示</v>
      </c>
      <c r="E91" s="2" t="str">
        <f t="shared" si="21"/>
        <v>也就是满足以上递推公式。</v>
      </c>
      <c r="F91" s="2" t="str">
        <f t="shared" si="22"/>
        <v>递推公式。</v>
      </c>
      <c r="G91" s="2" t="str">
        <f t="shared" si="22"/>
        <v>递推公式。</v>
      </c>
      <c r="H91" s="2" t="str">
        <f t="shared" si="22"/>
        <v>递推公式。</v>
      </c>
      <c r="I91" s="2" t="str">
        <f t="shared" si="23"/>
        <v>公式。</v>
      </c>
      <c r="J91" s="9" t="e">
        <f ca="1">MATCH(B91,'B2'!E:E,0)</f>
        <v>#N/A</v>
      </c>
      <c r="K91" s="9" t="e">
        <f ca="1">IF(ISERROR(J91),MATCH(C91,'B2'!F:F,0),J91)</f>
        <v>#N/A</v>
      </c>
      <c r="L91" s="9">
        <f ca="1">IF(ISERROR(K91),MATCH(D91,'B2'!G:G,0),K91)</f>
        <v>81</v>
      </c>
      <c r="M91" s="9">
        <f ca="1">IF(ISERROR(L91),MATCH(E91,'B2'!H:H,0),L91)</f>
        <v>81</v>
      </c>
      <c r="N91" s="9">
        <f t="shared" ca="1" si="24"/>
        <v>1</v>
      </c>
      <c r="O91" s="9">
        <f ca="1">MATCH(E91,'B2'!H:H,0)</f>
        <v>81</v>
      </c>
      <c r="P91" s="9">
        <f ca="1">IF(ISERROR(O91),MATCH(H91,'B2'!K:K,0),O91)</f>
        <v>81</v>
      </c>
      <c r="Q91" s="9">
        <f ca="1">IF(ISERROR(P91),MATCH(I91,'B2'!L:L,0),P91)</f>
        <v>81</v>
      </c>
      <c r="R91" s="9">
        <f ca="1">IF(ISERROR(Q91),MATCH(J91,'B2'!M:M,0),Q91)</f>
        <v>81</v>
      </c>
      <c r="S91" s="9">
        <f t="shared" ca="1" si="25"/>
        <v>1</v>
      </c>
      <c r="T91" s="3">
        <f ca="1">OFFSET('B2'!$C$1,'B3'!M91-1,0)</f>
        <v>8.200231481481482E-3</v>
      </c>
      <c r="U91" s="3">
        <f ca="1">OFFSET('B2'!$D$1,'B3'!R91-1,0)</f>
        <v>8.2372685185185188E-3</v>
      </c>
      <c r="V91" s="16">
        <f t="shared" ca="1" si="26"/>
        <v>8.2377314814814813E-3</v>
      </c>
      <c r="W91" s="4">
        <f t="shared" si="27"/>
        <v>31</v>
      </c>
      <c r="X91" s="5">
        <f t="shared" ca="1" si="28"/>
        <v>9.2592592592678769E-7</v>
      </c>
      <c r="Y91" s="5">
        <f t="shared" ca="1" si="29"/>
        <v>3.7037037037036813E-5</v>
      </c>
      <c r="Z91" s="6">
        <f t="shared" ca="1" si="30"/>
        <v>3.7962962962962733E-5</v>
      </c>
      <c r="AA91" s="12">
        <v>1.0577164351851851E-2</v>
      </c>
      <c r="AB91" s="13">
        <f t="shared" si="31"/>
        <v>1.5315972222222293E-4</v>
      </c>
      <c r="AC91" s="14" t="str">
        <f t="shared" ca="1" si="32"/>
        <v>9.95</v>
      </c>
      <c r="AD91" s="10">
        <v>4.8899999999999997</v>
      </c>
      <c r="AE91" s="3" t="b">
        <f t="shared" si="17"/>
        <v>0</v>
      </c>
      <c r="AG91" s="15"/>
    </row>
    <row r="92" spans="1:33" x14ac:dyDescent="0.3">
      <c r="A92" t="s">
        <v>813</v>
      </c>
      <c r="B92" s="2" t="str">
        <f t="shared" si="18"/>
        <v>这里说明一下，矩阵F</v>
      </c>
      <c r="C92" s="2" t="str">
        <f t="shared" si="19"/>
        <v>这里说明</v>
      </c>
      <c r="D92" s="2" t="str">
        <f t="shared" si="20"/>
        <v>这里</v>
      </c>
      <c r="E92" s="2" t="str">
        <f t="shared" si="21"/>
        <v>ibonacci多项式。</v>
      </c>
      <c r="F92" s="2" t="str">
        <f t="shared" si="22"/>
        <v>i多项式。</v>
      </c>
      <c r="G92" s="2" t="str">
        <f t="shared" si="22"/>
        <v>i多项式。</v>
      </c>
      <c r="H92" s="2" t="str">
        <f t="shared" si="22"/>
        <v>i多项式。</v>
      </c>
      <c r="I92" s="2" t="str">
        <f t="shared" si="23"/>
        <v>项式。</v>
      </c>
      <c r="J92" s="9" t="e">
        <f ca="1">MATCH(B92,'B2'!E:E,0)</f>
        <v>#N/A</v>
      </c>
      <c r="K92" s="9">
        <f ca="1">IF(ISERROR(J92),MATCH(C92,'B2'!F:F,0),J92)</f>
        <v>82</v>
      </c>
      <c r="L92" s="9">
        <f ca="1">IF(ISERROR(K92),MATCH(D92,'B2'!G:G,0),K92)</f>
        <v>82</v>
      </c>
      <c r="M92" s="9">
        <f ca="1">IF(ISERROR(L92),MATCH(E92,'B2'!H:H,0),L92)</f>
        <v>82</v>
      </c>
      <c r="N92" s="9">
        <f t="shared" ca="1" si="24"/>
        <v>1</v>
      </c>
      <c r="O92" s="9" t="e">
        <f ca="1">MATCH(E92,'B2'!H:H,0)</f>
        <v>#N/A</v>
      </c>
      <c r="P92" s="9" t="e">
        <f ca="1">IF(ISERROR(O92),MATCH(H92,'B2'!K:K,0),O92)</f>
        <v>#N/A</v>
      </c>
      <c r="Q92" s="9">
        <f ca="1">IF(ISERROR(P92),MATCH(I92,'B2'!L:L,0),P92)</f>
        <v>82</v>
      </c>
      <c r="R92" s="9">
        <f ca="1">IF(ISERROR(Q92),MATCH(J92,'B2'!M:M,0),Q92)</f>
        <v>82</v>
      </c>
      <c r="S92" s="9" t="e">
        <f t="shared" ca="1" si="25"/>
        <v>#N/A</v>
      </c>
      <c r="T92" s="3">
        <f ca="1">OFFSET('B2'!$C$1,'B3'!M92-1,0)</f>
        <v>8.2381944444444438E-3</v>
      </c>
      <c r="U92" s="3">
        <f ca="1">OFFSET('B2'!$D$1,'B3'!R92-1,0)</f>
        <v>8.3006944444444439E-3</v>
      </c>
      <c r="V92" s="16">
        <f t="shared" ca="1" si="26"/>
        <v>8.3006944444444439E-3</v>
      </c>
      <c r="W92" s="4">
        <f t="shared" si="27"/>
        <v>63</v>
      </c>
      <c r="X92" s="5">
        <f t="shared" ca="1" si="28"/>
        <v>9.2592592592505296E-7</v>
      </c>
      <c r="Y92" s="5">
        <f t="shared" ca="1" si="29"/>
        <v>6.2500000000000056E-5</v>
      </c>
      <c r="Z92" s="6">
        <f t="shared" ca="1" si="30"/>
        <v>6.2962962962962582E-5</v>
      </c>
      <c r="AA92" s="12">
        <v>1.0730324074074074E-2</v>
      </c>
      <c r="AB92" s="13">
        <f t="shared" si="31"/>
        <v>1.2037037037036964E-4</v>
      </c>
      <c r="AC92" s="14" t="str">
        <f t="shared" ca="1" si="32"/>
        <v>4.96</v>
      </c>
      <c r="AD92" s="10">
        <v>6.34</v>
      </c>
      <c r="AE92" s="3" t="b">
        <f t="shared" si="17"/>
        <v>0</v>
      </c>
      <c r="AG92" s="15"/>
    </row>
    <row r="93" spans="1:33" x14ac:dyDescent="0.3">
      <c r="A93" t="s">
        <v>814</v>
      </c>
      <c r="B93" s="2" t="str">
        <f t="shared" si="18"/>
        <v>此外，刚才递推得到的</v>
      </c>
      <c r="C93" s="2" t="str">
        <f t="shared" si="19"/>
        <v>此外，刚</v>
      </c>
      <c r="D93" s="2" t="str">
        <f t="shared" si="20"/>
        <v>此外</v>
      </c>
      <c r="E93" s="2" t="str">
        <f t="shared" si="21"/>
        <v>提到的f(n,x+1)。</v>
      </c>
      <c r="F93" s="2" t="str">
        <f t="shared" si="22"/>
        <v>x+1)。</v>
      </c>
      <c r="G93" s="2" t="str">
        <f t="shared" si="22"/>
        <v>x+1)。</v>
      </c>
      <c r="H93" s="2" t="str">
        <f t="shared" si="22"/>
        <v>x+1)。</v>
      </c>
      <c r="I93" s="2" t="str">
        <f t="shared" si="23"/>
        <v>1)。</v>
      </c>
      <c r="J93" s="9">
        <f ca="1">MATCH(B93,'B2'!E:E,0)</f>
        <v>83</v>
      </c>
      <c r="K93" s="9">
        <f ca="1">IF(ISERROR(J93),MATCH(C93,'B2'!F:F,0),J93)</f>
        <v>83</v>
      </c>
      <c r="L93" s="9">
        <f ca="1">IF(ISERROR(K93),MATCH(D93,'B2'!G:G,0),K93)</f>
        <v>83</v>
      </c>
      <c r="M93" s="9">
        <f ca="1">IF(ISERROR(L93),MATCH(E93,'B2'!H:H,0),L93)</f>
        <v>83</v>
      </c>
      <c r="N93" s="9">
        <f t="shared" ca="1" si="24"/>
        <v>1</v>
      </c>
      <c r="O93" s="9" t="e">
        <f ca="1">MATCH(E93,'B2'!H:H,0)</f>
        <v>#N/A</v>
      </c>
      <c r="P93" s="9" t="e">
        <f ca="1">IF(ISERROR(O93),MATCH(H93,'B2'!K:K,0),O93)</f>
        <v>#N/A</v>
      </c>
      <c r="Q93" s="9" t="e">
        <f ca="1">IF(ISERROR(P93),MATCH(I93,'B2'!L:L,0),P93)</f>
        <v>#N/A</v>
      </c>
      <c r="R93" s="9" t="e">
        <f ca="1">IF(ISERROR(Q93),MATCH(J93,'B2'!M:M,0),Q93)</f>
        <v>#N/A</v>
      </c>
      <c r="S93" s="9" t="e">
        <f t="shared" ca="1" si="25"/>
        <v>#N/A</v>
      </c>
      <c r="T93" s="3">
        <f ca="1">OFFSET('B2'!$C$1,'B3'!M93-1,0)</f>
        <v>8.3006944444444439E-3</v>
      </c>
      <c r="U93" s="3" t="e">
        <f ca="1">OFFSET('B2'!$D$1,'B3'!R93-1,0)</f>
        <v>#N/A</v>
      </c>
      <c r="V93" s="16" t="e">
        <f t="shared" ca="1" si="26"/>
        <v>#N/A</v>
      </c>
      <c r="W93" s="4">
        <f t="shared" si="27"/>
        <v>49</v>
      </c>
      <c r="X93" s="5">
        <f t="shared" ca="1" si="28"/>
        <v>0</v>
      </c>
      <c r="Y93" s="5" t="e">
        <f t="shared" ca="1" si="29"/>
        <v>#N/A</v>
      </c>
      <c r="Z93" s="6" t="e">
        <f t="shared" ca="1" si="30"/>
        <v>#N/A</v>
      </c>
      <c r="AA93" s="12">
        <v>1.0850694444444444E-2</v>
      </c>
      <c r="AB93" s="13">
        <f t="shared" si="31"/>
        <v>1.759259259259266E-4</v>
      </c>
      <c r="AC93" s="14" t="e">
        <f t="shared" ca="1" si="32"/>
        <v>#N/A</v>
      </c>
      <c r="AD93" s="10">
        <v>6</v>
      </c>
      <c r="AE93" s="3" t="b">
        <f t="shared" si="17"/>
        <v>0</v>
      </c>
      <c r="AG93" s="15"/>
    </row>
    <row r="94" spans="1:33" x14ac:dyDescent="0.3">
      <c r="A94" t="s">
        <v>815</v>
      </c>
      <c r="B94" s="2" t="str">
        <f t="shared" si="18"/>
        <v>这个证明也不难，可以</v>
      </c>
      <c r="C94" s="2" t="str">
        <f t="shared" si="19"/>
        <v>这个证明</v>
      </c>
      <c r="D94" s="2" t="str">
        <f t="shared" si="20"/>
        <v>这个</v>
      </c>
      <c r="E94" s="2" t="str">
        <f t="shared" si="21"/>
        <v>式，或者由递推公式反推。</v>
      </c>
      <c r="F94" s="2" t="str">
        <f t="shared" si="22"/>
        <v>公式反推。</v>
      </c>
      <c r="G94" s="2" t="str">
        <f t="shared" si="22"/>
        <v>公式反推。</v>
      </c>
      <c r="H94" s="2" t="str">
        <f t="shared" si="22"/>
        <v>公式反推。</v>
      </c>
      <c r="I94" s="2" t="str">
        <f t="shared" si="23"/>
        <v>反推。</v>
      </c>
      <c r="J94" s="9">
        <f ca="1">MATCH(B94,'B2'!E:E,0)</f>
        <v>84</v>
      </c>
      <c r="K94" s="9">
        <f ca="1">IF(ISERROR(J94),MATCH(C94,'B2'!F:F,0),J94)</f>
        <v>84</v>
      </c>
      <c r="L94" s="9">
        <f ca="1">IF(ISERROR(K94),MATCH(D94,'B2'!G:G,0),K94)</f>
        <v>84</v>
      </c>
      <c r="M94" s="9">
        <f ca="1">IF(ISERROR(L94),MATCH(E94,'B2'!H:H,0),L94)</f>
        <v>84</v>
      </c>
      <c r="N94" s="9">
        <f t="shared" ca="1" si="24"/>
        <v>0</v>
      </c>
      <c r="O94" s="9" t="e">
        <f ca="1">MATCH(E94,'B2'!H:H,0)</f>
        <v>#N/A</v>
      </c>
      <c r="P94" s="9" t="e">
        <f ca="1">IF(ISERROR(O94),MATCH(H94,'B2'!K:K,0),O94)</f>
        <v>#N/A</v>
      </c>
      <c r="Q94" s="9" t="e">
        <f ca="1">IF(ISERROR(P94),MATCH(I94,'B2'!L:L,0),P94)</f>
        <v>#N/A</v>
      </c>
      <c r="R94" s="9" t="e">
        <f ca="1">IF(ISERROR(Q94),MATCH(J94,'B2'!M:M,0),Q94)</f>
        <v>#N/A</v>
      </c>
      <c r="S94" s="9" t="e">
        <f t="shared" ca="1" si="25"/>
        <v>#N/A</v>
      </c>
      <c r="T94" s="3">
        <f ca="1">OFFSET('B2'!$C$1,'B3'!M94-1,0)</f>
        <v>8.4039351851851862E-3</v>
      </c>
      <c r="U94" s="3" t="e">
        <f ca="1">OFFSET('B2'!$D$1,'B3'!R94-1,0)</f>
        <v>#N/A</v>
      </c>
      <c r="V94" s="16" t="e">
        <f t="shared" ca="1" si="26"/>
        <v>#N/A</v>
      </c>
      <c r="W94" s="4">
        <f t="shared" si="27"/>
        <v>38</v>
      </c>
      <c r="X94" s="5" t="e">
        <f t="shared" ca="1" si="28"/>
        <v>#N/A</v>
      </c>
      <c r="Y94" s="5" t="e">
        <f t="shared" ca="1" si="29"/>
        <v>#N/A</v>
      </c>
      <c r="Z94" s="6" t="e">
        <f t="shared" ca="1" si="30"/>
        <v>#N/A</v>
      </c>
      <c r="AA94" s="12">
        <v>1.1026620370370371E-2</v>
      </c>
      <c r="AB94" s="13">
        <f t="shared" si="31"/>
        <v>1.4351851851851852E-4</v>
      </c>
      <c r="AC94" s="14" t="e">
        <f t="shared" ca="1" si="32"/>
        <v>#N/A</v>
      </c>
      <c r="AD94" s="10">
        <v>7.26</v>
      </c>
      <c r="AE94" s="3" t="b">
        <f t="shared" si="17"/>
        <v>0</v>
      </c>
      <c r="AG94" s="15"/>
    </row>
    <row r="95" spans="1:33" x14ac:dyDescent="0.3">
      <c r="A95" t="s">
        <v>816</v>
      </c>
      <c r="B95" s="2" t="str">
        <f t="shared" si="18"/>
        <v>同时，B(n)矩阵也</v>
      </c>
      <c r="C95" s="2" t="str">
        <f t="shared" si="19"/>
        <v>同时，B</v>
      </c>
      <c r="D95" s="2" t="str">
        <f t="shared" si="20"/>
        <v>同时</v>
      </c>
      <c r="E95" s="2" t="str">
        <f t="shared" si="21"/>
        <v>里的H⊕I等价于x+1。</v>
      </c>
      <c r="F95" s="2" t="str">
        <f t="shared" si="22"/>
        <v>于x+1。</v>
      </c>
      <c r="G95" s="2" t="str">
        <f t="shared" si="22"/>
        <v>于x+1。</v>
      </c>
      <c r="H95" s="2" t="str">
        <f t="shared" si="22"/>
        <v>于x+1。</v>
      </c>
      <c r="I95" s="2" t="str">
        <f t="shared" si="23"/>
        <v>+1。</v>
      </c>
      <c r="J95" s="9" t="e">
        <f ca="1">MATCH(B95,'B2'!E:E,0)</f>
        <v>#N/A</v>
      </c>
      <c r="K95" s="9" t="e">
        <f ca="1">IF(ISERROR(J95),MATCH(C95,'B2'!F:F,0),J95)</f>
        <v>#N/A</v>
      </c>
      <c r="L95" s="9">
        <f ca="1">IF(ISERROR(K95),MATCH(D95,'B2'!G:G,0),K95)</f>
        <v>71</v>
      </c>
      <c r="M95" s="9">
        <f ca="1">IF(ISERROR(L95),MATCH(E95,'B2'!H:H,0),L95)</f>
        <v>71</v>
      </c>
      <c r="N95" s="9">
        <f t="shared" ca="1" si="24"/>
        <v>0</v>
      </c>
      <c r="O95" s="9" t="e">
        <f ca="1">MATCH(E95,'B2'!H:H,0)</f>
        <v>#N/A</v>
      </c>
      <c r="P95" s="9" t="e">
        <f ca="1">IF(ISERROR(O95),MATCH(H95,'B2'!K:K,0),O95)</f>
        <v>#N/A</v>
      </c>
      <c r="Q95" s="9" t="e">
        <f ca="1">IF(ISERROR(P95),MATCH(I95,'B2'!L:L,0),P95)</f>
        <v>#N/A</v>
      </c>
      <c r="R95" s="9" t="e">
        <f ca="1">IF(ISERROR(Q95),MATCH(J95,'B2'!M:M,0),Q95)</f>
        <v>#N/A</v>
      </c>
      <c r="S95" s="9" t="e">
        <f t="shared" ca="1" si="25"/>
        <v>#N/A</v>
      </c>
      <c r="T95" s="3">
        <f ca="1">OFFSET('B2'!$C$1,'B3'!M95-1,0)</f>
        <v>6.8270833333333334E-3</v>
      </c>
      <c r="U95" s="3" t="e">
        <f ca="1">OFFSET('B2'!$D$1,'B3'!R95-1,0)</f>
        <v>#N/A</v>
      </c>
      <c r="V95" s="16" t="e">
        <f t="shared" ca="1" si="26"/>
        <v>#N/A</v>
      </c>
      <c r="W95" s="4">
        <f t="shared" si="27"/>
        <v>33</v>
      </c>
      <c r="X95" s="5" t="e">
        <f t="shared" ca="1" si="28"/>
        <v>#N/A</v>
      </c>
      <c r="Y95" s="5" t="e">
        <f t="shared" ca="1" si="29"/>
        <v>#N/A</v>
      </c>
      <c r="Z95" s="6" t="e">
        <f t="shared" ca="1" si="30"/>
        <v>#N/A</v>
      </c>
      <c r="AA95" s="12">
        <v>1.1170138888888889E-2</v>
      </c>
      <c r="AB95" s="13">
        <f t="shared" si="31"/>
        <v>9.606481481481445E-5</v>
      </c>
      <c r="AC95" s="14" t="e">
        <f t="shared" ca="1" si="32"/>
        <v>#N/A</v>
      </c>
      <c r="AD95" s="10">
        <v>0.6</v>
      </c>
      <c r="AE95" s="3" t="b">
        <f t="shared" si="17"/>
        <v>0</v>
      </c>
      <c r="AG95" s="15"/>
    </row>
    <row r="96" spans="1:33" x14ac:dyDescent="0.3">
      <c r="A96" t="s">
        <v>817</v>
      </c>
      <c r="B96" s="2" t="str">
        <f t="shared" si="18"/>
        <v>让我们继续求p。由于</v>
      </c>
      <c r="C96" s="2" t="str">
        <f t="shared" si="19"/>
        <v>让我们继</v>
      </c>
      <c r="D96" s="2" t="str">
        <f t="shared" si="20"/>
        <v>让我</v>
      </c>
      <c r="E96" s="2" t="str">
        <f t="shared" si="21"/>
        <v>F相乘，我们便求出了p。</v>
      </c>
      <c r="F96" s="2" t="str">
        <f t="shared" si="22"/>
        <v>求出了p。</v>
      </c>
      <c r="G96" s="2" t="str">
        <f t="shared" si="22"/>
        <v>求出了p。</v>
      </c>
      <c r="H96" s="2" t="str">
        <f t="shared" si="22"/>
        <v>求出了p。</v>
      </c>
      <c r="I96" s="2" t="str">
        <f t="shared" si="23"/>
        <v>了p。</v>
      </c>
      <c r="J96" s="9" t="e">
        <f ca="1">MATCH(B96,'B2'!E:E,0)</f>
        <v>#N/A</v>
      </c>
      <c r="K96" s="9" t="e">
        <f ca="1">IF(ISERROR(J96),MATCH(C96,'B2'!F:F,0),J96)</f>
        <v>#N/A</v>
      </c>
      <c r="L96" s="9">
        <f ca="1">IF(ISERROR(K96),MATCH(D96,'B2'!G:G,0),K96)</f>
        <v>23</v>
      </c>
      <c r="M96" s="9">
        <f ca="1">IF(ISERROR(L96),MATCH(E96,'B2'!H:H,0),L96)</f>
        <v>23</v>
      </c>
      <c r="N96" s="9">
        <f t="shared" ca="1" si="24"/>
        <v>0</v>
      </c>
      <c r="O96" s="9">
        <f ca="1">MATCH(E96,'B2'!H:H,0)</f>
        <v>84</v>
      </c>
      <c r="P96" s="9">
        <f ca="1">IF(ISERROR(O96),MATCH(H96,'B2'!K:K,0),O96)</f>
        <v>84</v>
      </c>
      <c r="Q96" s="9">
        <f ca="1">IF(ISERROR(P96),MATCH(I96,'B2'!L:L,0),P96)</f>
        <v>84</v>
      </c>
      <c r="R96" s="9">
        <f ca="1">IF(ISERROR(Q96),MATCH(J96,'B2'!M:M,0),Q96)</f>
        <v>84</v>
      </c>
      <c r="S96" s="9" t="e">
        <f t="shared" ca="1" si="25"/>
        <v>#N/A</v>
      </c>
      <c r="T96" s="3">
        <f ca="1">OFFSET('B2'!$C$1,'B3'!M96-1,0)</f>
        <v>2.0097222222222222E-3</v>
      </c>
      <c r="U96" s="3">
        <f ca="1">OFFSET('B2'!$D$1,'B3'!R96-1,0)</f>
        <v>8.736805555555555E-3</v>
      </c>
      <c r="V96" s="16">
        <f t="shared" ca="1" si="26"/>
        <v>8.736805555555555E-3</v>
      </c>
      <c r="W96" s="4">
        <f t="shared" si="27"/>
        <v>50</v>
      </c>
      <c r="X96" s="5" t="e">
        <f t="shared" ca="1" si="28"/>
        <v>#N/A</v>
      </c>
      <c r="Y96" s="5">
        <f t="shared" ca="1" si="29"/>
        <v>6.7270833333333332E-3</v>
      </c>
      <c r="Z96" s="6" t="e">
        <f t="shared" ca="1" si="30"/>
        <v>#N/A</v>
      </c>
      <c r="AA96" s="12">
        <v>1.1266203703703704E-2</v>
      </c>
      <c r="AB96" s="13">
        <f t="shared" si="31"/>
        <v>1.1111111111111044E-4</v>
      </c>
      <c r="AC96" s="14" t="e">
        <f t="shared" ca="1" si="32"/>
        <v>#N/A</v>
      </c>
      <c r="AD96" s="10">
        <v>1.26</v>
      </c>
      <c r="AE96" s="3" t="b">
        <f t="shared" si="17"/>
        <v>0</v>
      </c>
      <c r="AG96" s="15"/>
    </row>
    <row r="97" spans="1:33" x14ac:dyDescent="0.3">
      <c r="A97" t="s">
        <v>818</v>
      </c>
      <c r="B97" s="2" t="str">
        <f t="shared" si="18"/>
        <v>为了和视频中演示的一</v>
      </c>
      <c r="C97" s="2" t="str">
        <f t="shared" si="19"/>
        <v>为了和视</v>
      </c>
      <c r="D97" s="2" t="str">
        <f t="shared" si="20"/>
        <v>为了</v>
      </c>
      <c r="E97" s="2" t="str">
        <f t="shared" si="21"/>
        <v>F。这里省去了转置符号。</v>
      </c>
      <c r="F97" s="2" t="str">
        <f t="shared" si="22"/>
        <v>转置符号。</v>
      </c>
      <c r="G97" s="2" t="str">
        <f t="shared" si="22"/>
        <v>转置符号。</v>
      </c>
      <c r="H97" s="2" t="str">
        <f t="shared" si="22"/>
        <v>转置符号。</v>
      </c>
      <c r="I97" s="2" t="str">
        <f t="shared" si="23"/>
        <v>符号。</v>
      </c>
      <c r="J97" s="9">
        <f ca="1">MATCH(B97,'B2'!E:E,0)</f>
        <v>85</v>
      </c>
      <c r="K97" s="9">
        <f ca="1">IF(ISERROR(J97),MATCH(C97,'B2'!F:F,0),J97)</f>
        <v>85</v>
      </c>
      <c r="L97" s="9">
        <f ca="1">IF(ISERROR(K97),MATCH(D97,'B2'!G:G,0),K97)</f>
        <v>85</v>
      </c>
      <c r="M97" s="9">
        <f ca="1">IF(ISERROR(L97),MATCH(E97,'B2'!H:H,0),L97)</f>
        <v>85</v>
      </c>
      <c r="N97" s="9" t="e">
        <f t="shared" ca="1" si="24"/>
        <v>#N/A</v>
      </c>
      <c r="O97" s="9" t="e">
        <f ca="1">MATCH(E97,'B2'!H:H,0)</f>
        <v>#N/A</v>
      </c>
      <c r="P97" s="9" t="e">
        <f ca="1">IF(ISERROR(O97),MATCH(H97,'B2'!K:K,0),O97)</f>
        <v>#N/A</v>
      </c>
      <c r="Q97" s="9" t="e">
        <f ca="1">IF(ISERROR(P97),MATCH(I97,'B2'!L:L,0),P97)</f>
        <v>#N/A</v>
      </c>
      <c r="R97" s="9" t="e">
        <f ca="1">IF(ISERROR(Q97),MATCH(J97,'B2'!M:M,0),Q97)</f>
        <v>#N/A</v>
      </c>
      <c r="S97" s="9" t="e">
        <f t="shared" ca="1" si="25"/>
        <v>#N/A</v>
      </c>
      <c r="T97" s="3">
        <f ca="1">OFFSET('B2'!$C$1,'B3'!M97-1,0)</f>
        <v>8.736805555555555E-3</v>
      </c>
      <c r="U97" s="3" t="e">
        <f ca="1">OFFSET('B2'!$D$1,'B3'!R97-1,0)</f>
        <v>#N/A</v>
      </c>
      <c r="V97" s="16" t="e">
        <f t="shared" ca="1" si="26"/>
        <v>#N/A</v>
      </c>
      <c r="W97" s="4">
        <f t="shared" si="27"/>
        <v>59</v>
      </c>
      <c r="X97" s="5">
        <f t="shared" ca="1" si="28"/>
        <v>0</v>
      </c>
      <c r="Y97" s="5" t="e">
        <f t="shared" ca="1" si="29"/>
        <v>#N/A</v>
      </c>
      <c r="Z97" s="6" t="e">
        <f t="shared" ca="1" si="30"/>
        <v>#N/A</v>
      </c>
      <c r="AA97" s="12">
        <v>1.1377314814814814E-2</v>
      </c>
      <c r="AB97" s="13">
        <f t="shared" si="31"/>
        <v>9.1435185185185716E-5</v>
      </c>
      <c r="AC97" s="14" t="e">
        <f t="shared" ca="1" si="32"/>
        <v>#N/A</v>
      </c>
      <c r="AD97" s="10">
        <v>1.1200000000000001</v>
      </c>
      <c r="AE97" s="3" t="b">
        <f t="shared" ref="AE97:AE118" si="33">AF97=A97</f>
        <v>0</v>
      </c>
      <c r="AG97" s="15"/>
    </row>
    <row r="98" spans="1:33" x14ac:dyDescent="0.3">
      <c r="A98" t="s">
        <v>819</v>
      </c>
      <c r="B98" s="2" t="str">
        <f t="shared" si="18"/>
        <v>将多项式p(x)写成</v>
      </c>
      <c r="C98" s="2" t="str">
        <f t="shared" si="19"/>
        <v>将多项式</v>
      </c>
      <c r="D98" s="2" t="str">
        <f t="shared" si="20"/>
        <v>将多</v>
      </c>
      <c r="E98" s="2" t="str">
        <f t="shared" si="21"/>
        <v>写成矩阵的形式，记为P。</v>
      </c>
      <c r="F98" s="2" t="str">
        <f t="shared" si="22"/>
        <v>，记为P。</v>
      </c>
      <c r="G98" s="2" t="str">
        <f t="shared" si="22"/>
        <v>，记为P。</v>
      </c>
      <c r="H98" s="2" t="str">
        <f t="shared" si="22"/>
        <v>，记为P。</v>
      </c>
      <c r="I98" s="2" t="str">
        <f t="shared" si="23"/>
        <v>为P。</v>
      </c>
      <c r="J98" s="9" t="e">
        <f ca="1">MATCH(B98,'B2'!E:E,0)</f>
        <v>#N/A</v>
      </c>
      <c r="K98" s="9" t="e">
        <f ca="1">IF(ISERROR(J98),MATCH(C98,'B2'!F:F,0),J98)</f>
        <v>#N/A</v>
      </c>
      <c r="L98" s="9" t="e">
        <f ca="1">IF(ISERROR(K98),MATCH(D98,'B2'!G:G,0),K98)</f>
        <v>#N/A</v>
      </c>
      <c r="M98" s="9" t="e">
        <f ca="1">IF(ISERROR(L98),MATCH(E98,'B2'!H:H,0),L98)</f>
        <v>#N/A</v>
      </c>
      <c r="N98" s="9" t="e">
        <f t="shared" ca="1" si="24"/>
        <v>#N/A</v>
      </c>
      <c r="O98" s="9" t="e">
        <f ca="1">MATCH(E98,'B2'!H:H,0)</f>
        <v>#N/A</v>
      </c>
      <c r="P98" s="9" t="e">
        <f ca="1">IF(ISERROR(O98),MATCH(H98,'B2'!K:K,0),O98)</f>
        <v>#N/A</v>
      </c>
      <c r="Q98" s="9">
        <f ca="1">IF(ISERROR(P98),MATCH(I98,'B2'!L:L,0),P98)</f>
        <v>74</v>
      </c>
      <c r="R98" s="9">
        <f ca="1">IF(ISERROR(Q98),MATCH(J98,'B2'!M:M,0),Q98)</f>
        <v>74</v>
      </c>
      <c r="S98" s="9" t="e">
        <f t="shared" ca="1" si="25"/>
        <v>#N/A</v>
      </c>
      <c r="T98" s="3" t="e">
        <f ca="1">OFFSET('B2'!$C$1,'B3'!M98-1,0)</f>
        <v>#N/A</v>
      </c>
      <c r="U98" s="3">
        <f ca="1">OFFSET('B2'!$D$1,'B3'!R98-1,0)</f>
        <v>7.4775462962962955E-3</v>
      </c>
      <c r="V98" s="16">
        <f t="shared" ca="1" si="26"/>
        <v>8.2178240740740736E-3</v>
      </c>
      <c r="W98" s="4">
        <f t="shared" si="27"/>
        <v>20</v>
      </c>
      <c r="X98" s="5" t="e">
        <f t="shared" ca="1" si="28"/>
        <v>#N/A</v>
      </c>
      <c r="Y98" s="5" t="e">
        <f t="shared" ca="1" si="29"/>
        <v>#N/A</v>
      </c>
      <c r="Z98" s="6" t="e">
        <f t="shared" ca="1" si="30"/>
        <v>#N/A</v>
      </c>
      <c r="AA98" s="12">
        <v>1.146875E-2</v>
      </c>
      <c r="AB98" s="13">
        <f t="shared" si="31"/>
        <v>1.2268518518518574E-4</v>
      </c>
      <c r="AC98" s="14" t="e">
        <f t="shared" ca="1" si="32"/>
        <v>#N/A</v>
      </c>
      <c r="AD98" s="10">
        <v>0.94</v>
      </c>
      <c r="AE98" s="3" t="b">
        <f t="shared" si="33"/>
        <v>0</v>
      </c>
      <c r="AG98" s="15"/>
    </row>
    <row r="99" spans="1:33" x14ac:dyDescent="0.3">
      <c r="A99" t="s">
        <v>820</v>
      </c>
      <c r="B99" s="2" t="str">
        <f t="shared" si="18"/>
        <v>有了p=Fb之后，后</v>
      </c>
      <c r="C99" s="2" t="str">
        <f t="shared" si="19"/>
        <v>有了p=</v>
      </c>
      <c r="D99" s="2" t="str">
        <f t="shared" si="20"/>
        <v>有了</v>
      </c>
      <c r="E99" s="2" t="str">
        <f t="shared" si="21"/>
        <v>要B的第一行，即向量b。</v>
      </c>
      <c r="F99" s="2" t="str">
        <f t="shared" si="22"/>
        <v>即向量b。</v>
      </c>
      <c r="G99" s="2" t="str">
        <f t="shared" si="22"/>
        <v>即向量b。</v>
      </c>
      <c r="H99" s="2" t="str">
        <f t="shared" si="22"/>
        <v>即向量b。</v>
      </c>
      <c r="I99" s="2" t="str">
        <f t="shared" si="23"/>
        <v>量b。</v>
      </c>
      <c r="J99" s="9" t="e">
        <f ca="1">MATCH(B99,'B2'!E:E,0)</f>
        <v>#N/A</v>
      </c>
      <c r="K99" s="9" t="e">
        <f ca="1">IF(ISERROR(J99),MATCH(C99,'B2'!F:F,0),J99)</f>
        <v>#N/A</v>
      </c>
      <c r="L99" s="9">
        <f ca="1">IF(ISERROR(K99),MATCH(D99,'B2'!G:G,0),K99)</f>
        <v>88</v>
      </c>
      <c r="M99" s="9">
        <f ca="1">IF(ISERROR(L99),MATCH(E99,'B2'!H:H,0),L99)</f>
        <v>88</v>
      </c>
      <c r="N99" s="9" t="e">
        <f t="shared" ca="1" si="24"/>
        <v>#N/A</v>
      </c>
      <c r="O99" s="9" t="e">
        <f ca="1">MATCH(E99,'B2'!H:H,0)</f>
        <v>#N/A</v>
      </c>
      <c r="P99" s="9" t="e">
        <f ca="1">IF(ISERROR(O99),MATCH(H99,'B2'!K:K,0),O99)</f>
        <v>#N/A</v>
      </c>
      <c r="Q99" s="9">
        <f ca="1">IF(ISERROR(P99),MATCH(I99,'B2'!L:L,0),P99)</f>
        <v>88</v>
      </c>
      <c r="R99" s="9">
        <f ca="1">IF(ISERROR(Q99),MATCH(J99,'B2'!M:M,0),Q99)</f>
        <v>88</v>
      </c>
      <c r="S99" s="9" t="e">
        <f t="shared" ca="1" si="25"/>
        <v>#N/A</v>
      </c>
      <c r="T99" s="3">
        <f ca="1">OFFSET('B2'!$C$1,'B3'!M99-1,0)</f>
        <v>8.9581018518518525E-3</v>
      </c>
      <c r="U99" s="3">
        <f ca="1">OFFSET('B2'!$D$1,'B3'!R99-1,0)</f>
        <v>9.0409722222222228E-3</v>
      </c>
      <c r="V99" s="16">
        <f t="shared" ca="1" si="26"/>
        <v>7.8152777777777786E-3</v>
      </c>
      <c r="W99" s="4">
        <f t="shared" si="27"/>
        <v>42</v>
      </c>
      <c r="X99" s="5">
        <f t="shared" ca="1" si="28"/>
        <v>1.480555555555557E-3</v>
      </c>
      <c r="Y99" s="5">
        <f t="shared" ca="1" si="29"/>
        <v>8.2870370370370303E-5</v>
      </c>
      <c r="Z99" s="6">
        <f t="shared" ca="1" si="30"/>
        <v>-4.0254629629629581E-4</v>
      </c>
      <c r="AA99" s="12">
        <v>1.1591435185185186E-2</v>
      </c>
      <c r="AB99" s="13">
        <f t="shared" si="31"/>
        <v>8.6805555555555247E-5</v>
      </c>
      <c r="AC99" s="14" t="str">
        <f t="shared" ca="1" si="32"/>
        <v>42.28</v>
      </c>
      <c r="AD99" s="10">
        <v>1.04</v>
      </c>
      <c r="AE99" s="3" t="b">
        <f t="shared" si="33"/>
        <v>0</v>
      </c>
      <c r="AG99" s="15"/>
    </row>
    <row r="100" spans="1:33" x14ac:dyDescent="0.3">
      <c r="A100" t="s">
        <v>821</v>
      </c>
      <c r="B100" s="2" t="str">
        <f t="shared" si="18"/>
        <v>这是因为，问题已经从</v>
      </c>
      <c r="C100" s="2" t="str">
        <f t="shared" si="19"/>
        <v>这是因为</v>
      </c>
      <c r="D100" s="2" t="str">
        <f t="shared" si="20"/>
        <v>这是</v>
      </c>
      <c r="E100" s="2" t="str">
        <f t="shared" si="21"/>
        <v>向量b，也就是矩阵B'。</v>
      </c>
      <c r="F100" s="2" t="str">
        <f t="shared" si="22"/>
        <v>矩阵B'。</v>
      </c>
      <c r="G100" s="2" t="str">
        <f t="shared" si="22"/>
        <v>矩阵B'。</v>
      </c>
      <c r="H100" s="2" t="str">
        <f t="shared" si="22"/>
        <v>矩阵B'。</v>
      </c>
      <c r="I100" s="2" t="str">
        <f t="shared" si="23"/>
        <v>B'。</v>
      </c>
      <c r="J100" s="9" t="e">
        <f ca="1">MATCH(B100,'B2'!E:E,0)</f>
        <v>#N/A</v>
      </c>
      <c r="K100" s="9">
        <f ca="1">IF(ISERROR(J100),MATCH(C100,'B2'!F:F,0),J100)</f>
        <v>70</v>
      </c>
      <c r="L100" s="9">
        <f ca="1">IF(ISERROR(K100),MATCH(D100,'B2'!G:G,0),K100)</f>
        <v>70</v>
      </c>
      <c r="M100" s="9">
        <f ca="1">IF(ISERROR(L100),MATCH(E100,'B2'!H:H,0),L100)</f>
        <v>70</v>
      </c>
      <c r="N100" s="9">
        <f t="shared" ca="1" si="24"/>
        <v>0</v>
      </c>
      <c r="O100" s="9" t="e">
        <f ca="1">MATCH(E100,'B2'!H:H,0)</f>
        <v>#N/A</v>
      </c>
      <c r="P100" s="9" t="e">
        <f ca="1">IF(ISERROR(O100),MATCH(H100,'B2'!K:K,0),O100)</f>
        <v>#N/A</v>
      </c>
      <c r="Q100" s="9" t="e">
        <f ca="1">IF(ISERROR(P100),MATCH(I100,'B2'!L:L,0),P100)</f>
        <v>#N/A</v>
      </c>
      <c r="R100" s="9" t="e">
        <f ca="1">IF(ISERROR(Q100),MATCH(J100,'B2'!M:M,0),Q100)</f>
        <v>#N/A</v>
      </c>
      <c r="S100" s="9" t="e">
        <f t="shared" ca="1" si="25"/>
        <v>#N/A</v>
      </c>
      <c r="T100" s="3">
        <f ca="1">OFFSET('B2'!$C$1,'B3'!M100-1,0)</f>
        <v>6.5895833333333336E-3</v>
      </c>
      <c r="U100" s="3" t="e">
        <f ca="1">OFFSET('B2'!$D$1,'B3'!R100-1,0)</f>
        <v>#N/A</v>
      </c>
      <c r="V100" s="16" t="e">
        <f t="shared" ca="1" si="26"/>
        <v>#N/A</v>
      </c>
      <c r="W100" s="4">
        <f t="shared" si="27"/>
        <v>58</v>
      </c>
      <c r="X100" s="5">
        <f t="shared" ca="1" si="28"/>
        <v>-2.4513888888888892E-3</v>
      </c>
      <c r="Y100" s="5" t="e">
        <f t="shared" ca="1" si="29"/>
        <v>#N/A</v>
      </c>
      <c r="Z100" s="6" t="e">
        <f t="shared" ca="1" si="30"/>
        <v>#N/A</v>
      </c>
      <c r="AA100" s="12">
        <v>1.1678240740740741E-2</v>
      </c>
      <c r="AB100" s="13">
        <f t="shared" si="31"/>
        <v>7.5231481481481677E-5</v>
      </c>
      <c r="AC100" s="14" t="e">
        <f t="shared" ca="1" si="32"/>
        <v>#N/A</v>
      </c>
      <c r="AD100" s="10">
        <v>1.58</v>
      </c>
      <c r="AE100" s="3" t="b">
        <f t="shared" si="33"/>
        <v>0</v>
      </c>
      <c r="AG100" s="15"/>
    </row>
    <row r="101" spans="1:33" x14ac:dyDescent="0.3">
      <c r="A101" t="s">
        <v>822</v>
      </c>
      <c r="B101" s="2" t="str">
        <f t="shared" si="18"/>
        <v>由于在不同n的情况下</v>
      </c>
      <c r="C101" s="2" t="str">
        <f t="shared" si="19"/>
        <v>由于在不</v>
      </c>
      <c r="D101" s="2" t="str">
        <f t="shared" si="20"/>
        <v>由于</v>
      </c>
      <c r="E101" s="2" t="str">
        <f t="shared" si="21"/>
        <v>，直接用于计算n的情况。</v>
      </c>
      <c r="F101" s="2" t="str">
        <f t="shared" si="22"/>
        <v>n的情况。</v>
      </c>
      <c r="G101" s="2" t="str">
        <f t="shared" si="22"/>
        <v>n的情况。</v>
      </c>
      <c r="H101" s="2" t="str">
        <f t="shared" si="22"/>
        <v>n的情况。</v>
      </c>
      <c r="I101" s="2" t="str">
        <f t="shared" si="23"/>
        <v>情况。</v>
      </c>
      <c r="J101" s="9">
        <f ca="1">MATCH(B101,'B2'!E:E,0)</f>
        <v>90</v>
      </c>
      <c r="K101" s="9">
        <f ca="1">IF(ISERROR(J101),MATCH(C101,'B2'!F:F,0),J101)</f>
        <v>90</v>
      </c>
      <c r="L101" s="9">
        <f ca="1">IF(ISERROR(K101),MATCH(D101,'B2'!G:G,0),K101)</f>
        <v>90</v>
      </c>
      <c r="M101" s="9">
        <f ca="1">IF(ISERROR(L101),MATCH(E101,'B2'!H:H,0),L101)</f>
        <v>90</v>
      </c>
      <c r="N101" s="9">
        <f t="shared" ca="1" si="24"/>
        <v>0</v>
      </c>
      <c r="O101" s="9" t="e">
        <f ca="1">MATCH(E101,'B2'!H:H,0)</f>
        <v>#N/A</v>
      </c>
      <c r="P101" s="9">
        <f ca="1">IF(ISERROR(O101),MATCH(H101,'B2'!K:K,0),O101)</f>
        <v>90</v>
      </c>
      <c r="Q101" s="9">
        <f ca="1">IF(ISERROR(P101),MATCH(I101,'B2'!L:L,0),P101)</f>
        <v>90</v>
      </c>
      <c r="R101" s="9">
        <f ca="1">IF(ISERROR(Q101),MATCH(J101,'B2'!M:M,0),Q101)</f>
        <v>90</v>
      </c>
      <c r="S101" s="9" t="e">
        <f t="shared" ca="1" si="25"/>
        <v>#N/A</v>
      </c>
      <c r="T101" s="3">
        <f ca="1">OFFSET('B2'!$C$1,'B3'!M101-1,0)</f>
        <v>9.1395833333333329E-3</v>
      </c>
      <c r="U101" s="3">
        <f ca="1">OFFSET('B2'!$D$1,'B3'!R101-1,0)</f>
        <v>9.1951388888888898E-3</v>
      </c>
      <c r="V101" s="16">
        <f t="shared" ca="1" si="26"/>
        <v>5.5278935185185188E-3</v>
      </c>
      <c r="W101" s="4">
        <f t="shared" si="27"/>
        <v>48</v>
      </c>
      <c r="X101" s="5" t="e">
        <f t="shared" ca="1" si="28"/>
        <v>#N/A</v>
      </c>
      <c r="Y101" s="5">
        <f t="shared" ca="1" si="29"/>
        <v>5.5555555555556954E-5</v>
      </c>
      <c r="Z101" s="6" t="e">
        <f t="shared" ca="1" si="30"/>
        <v>#N/A</v>
      </c>
      <c r="AA101" s="12">
        <v>1.1753472222222222E-2</v>
      </c>
      <c r="AB101" s="13">
        <f t="shared" si="31"/>
        <v>1.1921296296296159E-4</v>
      </c>
      <c r="AC101" s="14" t="e">
        <f t="shared" ca="1" si="32"/>
        <v>#N/A</v>
      </c>
      <c r="AD101" s="10">
        <v>1.36</v>
      </c>
      <c r="AE101" s="3" t="b">
        <f t="shared" si="33"/>
        <v>0</v>
      </c>
      <c r="AG101" s="15"/>
    </row>
    <row r="102" spans="1:33" x14ac:dyDescent="0.3">
      <c r="A102" t="s">
        <v>823</v>
      </c>
      <c r="B102" s="2" t="str">
        <f t="shared" si="18"/>
        <v>这样，如果我们是从n</v>
      </c>
      <c r="C102" s="2" t="str">
        <f t="shared" si="19"/>
        <v>这样，如</v>
      </c>
      <c r="D102" s="2" t="str">
        <f t="shared" si="20"/>
        <v>这样</v>
      </c>
      <c r="E102" s="2" t="str">
        <f t="shared" si="21"/>
        <v>的时间复杂度便可求出b。</v>
      </c>
      <c r="F102" s="2" t="str">
        <f t="shared" si="22"/>
        <v>可求出b。</v>
      </c>
      <c r="G102" s="2" t="str">
        <f t="shared" si="22"/>
        <v>可求出b。</v>
      </c>
      <c r="H102" s="2" t="str">
        <f t="shared" si="22"/>
        <v>可求出b。</v>
      </c>
      <c r="I102" s="2" t="str">
        <f t="shared" si="23"/>
        <v>出b。</v>
      </c>
      <c r="J102" s="9" t="e">
        <f ca="1">MATCH(B102,'B2'!E:E,0)</f>
        <v>#N/A</v>
      </c>
      <c r="K102" s="9" t="e">
        <f ca="1">IF(ISERROR(J102),MATCH(C102,'B2'!F:F,0),J102)</f>
        <v>#N/A</v>
      </c>
      <c r="L102" s="9">
        <f ca="1">IF(ISERROR(K102),MATCH(D102,'B2'!G:G,0),K102)</f>
        <v>21</v>
      </c>
      <c r="M102" s="9">
        <f ca="1">IF(ISERROR(L102),MATCH(E102,'B2'!H:H,0),L102)</f>
        <v>21</v>
      </c>
      <c r="N102" s="9">
        <f t="shared" ca="1" si="24"/>
        <v>0</v>
      </c>
      <c r="O102" s="9">
        <f ca="1">MATCH(E102,'B2'!H:H,0)</f>
        <v>91</v>
      </c>
      <c r="P102" s="9">
        <f ca="1">IF(ISERROR(O102),MATCH(H102,'B2'!K:K,0),O102)</f>
        <v>91</v>
      </c>
      <c r="Q102" s="9">
        <f ca="1">IF(ISERROR(P102),MATCH(I102,'B2'!L:L,0),P102)</f>
        <v>91</v>
      </c>
      <c r="R102" s="9">
        <f ca="1">IF(ISERROR(Q102),MATCH(J102,'B2'!M:M,0),Q102)</f>
        <v>91</v>
      </c>
      <c r="S102" s="9">
        <f t="shared" ca="1" si="25"/>
        <v>1</v>
      </c>
      <c r="T102" s="3">
        <f ca="1">OFFSET('B2'!$C$1,'B3'!M102-1,0)</f>
        <v>1.8606481481481479E-3</v>
      </c>
      <c r="U102" s="3">
        <f ca="1">OFFSET('B2'!$D$1,'B3'!R102-1,0)</f>
        <v>9.2571759259259256E-3</v>
      </c>
      <c r="V102" s="16">
        <f t="shared" ca="1" si="26"/>
        <v>5.4450231481481476E-3</v>
      </c>
      <c r="W102" s="4">
        <f t="shared" si="27"/>
        <v>39</v>
      </c>
      <c r="X102" s="5">
        <f t="shared" ca="1" si="28"/>
        <v>-7.3344907407407421E-3</v>
      </c>
      <c r="Y102" s="5">
        <f t="shared" ca="1" si="29"/>
        <v>7.3965277777777779E-3</v>
      </c>
      <c r="Z102" s="6">
        <f t="shared" ca="1" si="30"/>
        <v>-8.2870370370370303E-5</v>
      </c>
      <c r="AA102" s="12">
        <v>1.1872685185185184E-2</v>
      </c>
      <c r="AB102" s="13">
        <f t="shared" si="31"/>
        <v>9.606481481481445E-5</v>
      </c>
      <c r="AC102" s="14" t="str">
        <f t="shared" ca="1" si="32"/>
        <v>15.46</v>
      </c>
      <c r="AD102" s="10">
        <v>0.76</v>
      </c>
      <c r="AE102" s="3" t="b">
        <f t="shared" si="33"/>
        <v>0</v>
      </c>
      <c r="AG102" s="15"/>
    </row>
    <row r="103" spans="1:33" x14ac:dyDescent="0.3">
      <c r="A103" t="s">
        <v>824</v>
      </c>
      <c r="B103" s="2" t="str">
        <f t="shared" si="18"/>
        <v>同样，计算K和F也是</v>
      </c>
      <c r="C103" s="2" t="str">
        <f t="shared" si="19"/>
        <v>同样，计</v>
      </c>
      <c r="D103" s="2" t="str">
        <f t="shared" si="20"/>
        <v>同样</v>
      </c>
      <c r="E103" s="2" t="str">
        <f t="shared" si="21"/>
        <v>以在O(n)时间内求出。</v>
      </c>
      <c r="F103" s="2" t="str">
        <f t="shared" si="22"/>
        <v>间内求出。</v>
      </c>
      <c r="G103" s="2" t="str">
        <f t="shared" si="22"/>
        <v>间内求出。</v>
      </c>
      <c r="H103" s="2" t="str">
        <f t="shared" si="22"/>
        <v>间内求出。</v>
      </c>
      <c r="I103" s="2" t="str">
        <f t="shared" si="23"/>
        <v>求出。</v>
      </c>
      <c r="J103" s="9" t="e">
        <f ca="1">MATCH(B103,'B2'!E:E,0)</f>
        <v>#N/A</v>
      </c>
      <c r="K103" s="9" t="e">
        <f ca="1">IF(ISERROR(J103),MATCH(C103,'B2'!F:F,0),J103)</f>
        <v>#N/A</v>
      </c>
      <c r="L103" s="9">
        <f ca="1">IF(ISERROR(K103),MATCH(D103,'B2'!G:G,0),K103)</f>
        <v>17</v>
      </c>
      <c r="M103" s="9">
        <f ca="1">IF(ISERROR(L103),MATCH(E103,'B2'!H:H,0),L103)</f>
        <v>17</v>
      </c>
      <c r="N103" s="9">
        <f t="shared" ca="1" si="24"/>
        <v>0</v>
      </c>
      <c r="O103" s="9" t="e">
        <f ca="1">MATCH(E103,'B2'!H:H,0)</f>
        <v>#N/A</v>
      </c>
      <c r="P103" s="9">
        <f ca="1">IF(ISERROR(O103),MATCH(H103,'B2'!K:K,0),O103)</f>
        <v>92</v>
      </c>
      <c r="Q103" s="9">
        <f ca="1">IF(ISERROR(P103),MATCH(I103,'B2'!L:L,0),P103)</f>
        <v>92</v>
      </c>
      <c r="R103" s="9">
        <f ca="1">IF(ISERROR(Q103),MATCH(J103,'B2'!M:M,0),Q103)</f>
        <v>92</v>
      </c>
      <c r="S103" s="9">
        <f t="shared" ca="1" si="25"/>
        <v>1</v>
      </c>
      <c r="T103" s="3">
        <f ca="1">OFFSET('B2'!$C$1,'B3'!M103-1,0)</f>
        <v>1.6328703703703702E-3</v>
      </c>
      <c r="U103" s="3">
        <f ca="1">OFFSET('B2'!$D$1,'B3'!R103-1,0)</f>
        <v>9.3581018518518501E-3</v>
      </c>
      <c r="V103" s="16">
        <f t="shared" ca="1" si="26"/>
        <v>9.3578703703703706E-3</v>
      </c>
      <c r="W103" s="4">
        <f t="shared" si="27"/>
        <v>50</v>
      </c>
      <c r="X103" s="5">
        <f t="shared" ca="1" si="28"/>
        <v>-7.6243055555555552E-3</v>
      </c>
      <c r="Y103" s="5">
        <f t="shared" ca="1" si="29"/>
        <v>7.7252314814814796E-3</v>
      </c>
      <c r="Z103" s="6">
        <f t="shared" ca="1" si="30"/>
        <v>3.9128472222222221E-3</v>
      </c>
      <c r="AA103" s="12">
        <v>1.1968749999999998E-2</v>
      </c>
      <c r="AB103" s="13">
        <f t="shared" si="31"/>
        <v>1.0300925925926102E-4</v>
      </c>
      <c r="AC103" s="14" t="str">
        <f t="shared" ca="1" si="32"/>
        <v>-29.17</v>
      </c>
      <c r="AD103" s="10">
        <v>1.68</v>
      </c>
      <c r="AE103" s="3" t="b">
        <f t="shared" si="33"/>
        <v>0</v>
      </c>
      <c r="AG103" s="15"/>
    </row>
    <row r="104" spans="1:33" x14ac:dyDescent="0.3">
      <c r="A104" t="s">
        <v>825</v>
      </c>
      <c r="B104" s="2" t="str">
        <f t="shared" si="18"/>
        <v>如果需要直接计算特定</v>
      </c>
      <c r="C104" s="2" t="str">
        <f t="shared" si="19"/>
        <v>如果需要</v>
      </c>
      <c r="D104" s="2" t="str">
        <f t="shared" si="20"/>
        <v>如果</v>
      </c>
      <c r="E104" s="2" t="str">
        <f t="shared" si="21"/>
        <v>个优化，因此就不展开了。</v>
      </c>
      <c r="F104" s="2" t="str">
        <f t="shared" si="22"/>
        <v>不展开了。</v>
      </c>
      <c r="G104" s="2" t="str">
        <f t="shared" si="22"/>
        <v>不展开了。</v>
      </c>
      <c r="H104" s="2" t="str">
        <f t="shared" si="22"/>
        <v>不展开了。</v>
      </c>
      <c r="I104" s="2" t="str">
        <f t="shared" si="23"/>
        <v>开了。</v>
      </c>
      <c r="J104" s="9">
        <f ca="1">MATCH(B104,'B2'!E:E,0)</f>
        <v>93</v>
      </c>
      <c r="K104" s="9">
        <f ca="1">IF(ISERROR(J104),MATCH(C104,'B2'!F:F,0),J104)</f>
        <v>93</v>
      </c>
      <c r="L104" s="9">
        <f ca="1">IF(ISERROR(K104),MATCH(D104,'B2'!G:G,0),K104)</f>
        <v>93</v>
      </c>
      <c r="M104" s="9">
        <f ca="1">IF(ISERROR(L104),MATCH(E104,'B2'!H:H,0),L104)</f>
        <v>93</v>
      </c>
      <c r="N104" s="9">
        <f t="shared" ca="1" si="24"/>
        <v>1</v>
      </c>
      <c r="O104" s="9">
        <f ca="1">MATCH(E104,'B2'!H:H,0)</f>
        <v>93</v>
      </c>
      <c r="P104" s="9">
        <f ca="1">IF(ISERROR(O104),MATCH(H104,'B2'!K:K,0),O104)</f>
        <v>93</v>
      </c>
      <c r="Q104" s="9">
        <f ca="1">IF(ISERROR(P104),MATCH(I104,'B2'!L:L,0),P104)</f>
        <v>93</v>
      </c>
      <c r="R104" s="9">
        <f ca="1">IF(ISERROR(Q104),MATCH(J104,'B2'!M:M,0),Q104)</f>
        <v>93</v>
      </c>
      <c r="S104" s="9" t="e">
        <f t="shared" ca="1" si="25"/>
        <v>#N/A</v>
      </c>
      <c r="T104" s="3">
        <f ca="1">OFFSET('B2'!$C$1,'B3'!M104-1,0)</f>
        <v>9.3576388888888893E-3</v>
      </c>
      <c r="U104" s="3">
        <f ca="1">OFFSET('B2'!$D$1,'B3'!R104-1,0)</f>
        <v>9.4673611111111122E-3</v>
      </c>
      <c r="V104" s="16">
        <f t="shared" ca="1" si="26"/>
        <v>9.4680555555555559E-3</v>
      </c>
      <c r="W104" s="4">
        <f t="shared" si="27"/>
        <v>57</v>
      </c>
      <c r="X104" s="5">
        <f t="shared" ca="1" si="28"/>
        <v>-4.6296296296079176E-7</v>
      </c>
      <c r="Y104" s="5">
        <f t="shared" ca="1" si="29"/>
        <v>1.0972222222222286E-4</v>
      </c>
      <c r="Z104" s="6">
        <f t="shared" ca="1" si="30"/>
        <v>1.1018518518518625E-4</v>
      </c>
      <c r="AA104" s="12">
        <v>1.207175925925926E-2</v>
      </c>
      <c r="AB104" s="13">
        <f t="shared" si="31"/>
        <v>1.7824074074074096E-4</v>
      </c>
      <c r="AC104" s="14" t="str">
        <f t="shared" ca="1" si="32"/>
        <v>5.88</v>
      </c>
      <c r="AD104" s="10">
        <v>4.58</v>
      </c>
      <c r="AE104" s="3" t="b">
        <f t="shared" si="33"/>
        <v>0</v>
      </c>
      <c r="AG104" s="15"/>
    </row>
    <row r="105" spans="1:33" x14ac:dyDescent="0.3">
      <c r="A105" t="s">
        <v>826</v>
      </c>
      <c r="B105" s="2" t="str">
        <f t="shared" si="18"/>
        <v>为了求出p=Fb，我</v>
      </c>
      <c r="C105" s="2" t="str">
        <f t="shared" si="19"/>
        <v>为了求出</v>
      </c>
      <c r="D105" s="2" t="str">
        <f t="shared" si="20"/>
        <v>为了</v>
      </c>
      <c r="E105" s="2" t="str">
        <f t="shared" si="21"/>
        <v>时间复杂度是O(n²)。</v>
      </c>
      <c r="F105" s="2" t="str">
        <f t="shared" si="22"/>
        <v>(n²)。</v>
      </c>
      <c r="G105" s="2" t="str">
        <f t="shared" si="22"/>
        <v>(n²)。</v>
      </c>
      <c r="H105" s="2" t="str">
        <f t="shared" si="22"/>
        <v>(n²)。</v>
      </c>
      <c r="I105" s="2" t="str">
        <f t="shared" si="23"/>
        <v>²)。</v>
      </c>
      <c r="J105" s="9" t="e">
        <f ca="1">MATCH(B105,'B2'!E:E,0)</f>
        <v>#N/A</v>
      </c>
      <c r="K105" s="9">
        <f ca="1">IF(ISERROR(J105),MATCH(C105,'B2'!F:F,0),J105)</f>
        <v>94</v>
      </c>
      <c r="L105" s="9">
        <f ca="1">IF(ISERROR(K105),MATCH(D105,'B2'!G:G,0),K105)</f>
        <v>94</v>
      </c>
      <c r="M105" s="9">
        <f ca="1">IF(ISERROR(L105),MATCH(E105,'B2'!H:H,0),L105)</f>
        <v>94</v>
      </c>
      <c r="N105" s="9">
        <f t="shared" ca="1" si="24"/>
        <v>0</v>
      </c>
      <c r="O105" s="9" t="e">
        <f ca="1">MATCH(E105,'B2'!H:H,0)</f>
        <v>#N/A</v>
      </c>
      <c r="P105" s="9" t="e">
        <f ca="1">IF(ISERROR(O105),MATCH(H105,'B2'!K:K,0),O105)</f>
        <v>#N/A</v>
      </c>
      <c r="Q105" s="9" t="e">
        <f ca="1">IF(ISERROR(P105),MATCH(I105,'B2'!L:L,0),P105)</f>
        <v>#N/A</v>
      </c>
      <c r="R105" s="9" t="e">
        <f ca="1">IF(ISERROR(Q105),MATCH(J105,'B2'!M:M,0),Q105)</f>
        <v>#N/A</v>
      </c>
      <c r="S105" s="9" t="e">
        <f t="shared" ca="1" si="25"/>
        <v>#N/A</v>
      </c>
      <c r="T105" s="3">
        <f ca="1">OFFSET('B2'!$C$1,'B3'!M105-1,0)</f>
        <v>9.4687499999999997E-3</v>
      </c>
      <c r="U105" s="3" t="e">
        <f ca="1">OFFSET('B2'!$D$1,'B3'!R105-1,0)</f>
        <v>#N/A</v>
      </c>
      <c r="V105" s="16" t="e">
        <f t="shared" ca="1" si="26"/>
        <v>#N/A</v>
      </c>
      <c r="W105" s="4">
        <f t="shared" si="27"/>
        <v>41</v>
      </c>
      <c r="X105" s="5">
        <f t="shared" ca="1" si="28"/>
        <v>1.3888888888875794E-6</v>
      </c>
      <c r="Y105" s="5" t="e">
        <f t="shared" ca="1" si="29"/>
        <v>#N/A</v>
      </c>
      <c r="Z105" s="6" t="e">
        <f t="shared" ca="1" si="30"/>
        <v>#N/A</v>
      </c>
      <c r="AA105" s="12">
        <v>1.225E-2</v>
      </c>
      <c r="AB105" s="13">
        <f t="shared" si="31"/>
        <v>9.1435185185183981E-5</v>
      </c>
      <c r="AC105" s="14" t="e">
        <f t="shared" ca="1" si="32"/>
        <v>#N/A</v>
      </c>
      <c r="AD105" s="10">
        <v>1.66</v>
      </c>
      <c r="AE105" s="3" t="b">
        <f t="shared" si="33"/>
        <v>0</v>
      </c>
      <c r="AG105" s="15"/>
    </row>
    <row r="106" spans="1:33" x14ac:dyDescent="0.3">
      <c r="A106" t="s">
        <v>827</v>
      </c>
      <c r="B106" s="2" t="str">
        <f t="shared" si="18"/>
        <v>因为矩阵F是有递推规</v>
      </c>
      <c r="C106" s="2" t="str">
        <f t="shared" si="19"/>
        <v>因为矩阵</v>
      </c>
      <c r="D106" s="2" t="str">
        <f t="shared" si="20"/>
        <v>因为</v>
      </c>
      <c r="E106" s="2" t="str">
        <f t="shared" si="21"/>
        <v>O(n·log(n))。</v>
      </c>
      <c r="F106" s="2" t="str">
        <f t="shared" si="22"/>
        <v>(n))。</v>
      </c>
      <c r="G106" s="2" t="str">
        <f t="shared" si="22"/>
        <v>(n))。</v>
      </c>
      <c r="H106" s="2" t="str">
        <f t="shared" si="22"/>
        <v>(n))。</v>
      </c>
      <c r="I106" s="2" t="str">
        <f t="shared" si="23"/>
        <v>))。</v>
      </c>
      <c r="J106" s="9" t="e">
        <f ca="1">MATCH(B106,'B2'!E:E,0)</f>
        <v>#N/A</v>
      </c>
      <c r="K106" s="9" t="e">
        <f ca="1">IF(ISERROR(J106),MATCH(C106,'B2'!F:F,0),J106)</f>
        <v>#N/A</v>
      </c>
      <c r="L106" s="9">
        <f ca="1">IF(ISERROR(K106),MATCH(D106,'B2'!G:G,0),K106)</f>
        <v>8</v>
      </c>
      <c r="M106" s="9">
        <f ca="1">IF(ISERROR(L106),MATCH(E106,'B2'!H:H,0),L106)</f>
        <v>8</v>
      </c>
      <c r="N106" s="9">
        <f t="shared" ca="1" si="24"/>
        <v>0</v>
      </c>
      <c r="O106" s="9" t="e">
        <f ca="1">MATCH(E106,'B2'!H:H,0)</f>
        <v>#N/A</v>
      </c>
      <c r="P106" s="9" t="e">
        <f ca="1">IF(ISERROR(O106),MATCH(H106,'B2'!K:K,0),O106)</f>
        <v>#N/A</v>
      </c>
      <c r="Q106" s="9" t="e">
        <f ca="1">IF(ISERROR(P106),MATCH(I106,'B2'!L:L,0),P106)</f>
        <v>#N/A</v>
      </c>
      <c r="R106" s="9" t="e">
        <f ca="1">IF(ISERROR(Q106),MATCH(J106,'B2'!M:M,0),Q106)</f>
        <v>#N/A</v>
      </c>
      <c r="S106" s="9" t="e">
        <f t="shared" ca="1" si="25"/>
        <v>#N/A</v>
      </c>
      <c r="T106" s="3">
        <f ca="1">OFFSET('B2'!$C$1,'B3'!M106-1,0)</f>
        <v>5.7499999999999999E-4</v>
      </c>
      <c r="U106" s="3" t="e">
        <f ca="1">OFFSET('B2'!$D$1,'B3'!R106-1,0)</f>
        <v>#N/A</v>
      </c>
      <c r="V106" s="16" t="e">
        <f t="shared" ca="1" si="26"/>
        <v>#N/A</v>
      </c>
      <c r="W106" s="4">
        <f t="shared" si="27"/>
        <v>45</v>
      </c>
      <c r="X106" s="5" t="e">
        <f t="shared" ca="1" si="28"/>
        <v>#N/A</v>
      </c>
      <c r="Y106" s="5" t="e">
        <f t="shared" ca="1" si="29"/>
        <v>#N/A</v>
      </c>
      <c r="Z106" s="6" t="e">
        <f t="shared" ca="1" si="30"/>
        <v>#N/A</v>
      </c>
      <c r="AA106" s="12">
        <v>1.2341435185185184E-2</v>
      </c>
      <c r="AB106" s="13">
        <f t="shared" si="31"/>
        <v>1.2731481481481448E-4</v>
      </c>
      <c r="AC106" s="14" t="e">
        <f t="shared" ca="1" si="32"/>
        <v>#N/A</v>
      </c>
      <c r="AD106" s="10">
        <v>2.04</v>
      </c>
      <c r="AE106" s="3" t="b">
        <f t="shared" si="33"/>
        <v>0</v>
      </c>
      <c r="AG106" s="15"/>
    </row>
    <row r="107" spans="1:33" x14ac:dyDescent="0.3">
      <c r="A107" t="s">
        <v>828</v>
      </c>
      <c r="B107" s="2" t="str">
        <f t="shared" si="18"/>
        <v>另一方面，这里在计算</v>
      </c>
      <c r="C107" s="2" t="str">
        <f t="shared" si="19"/>
        <v>另一方面</v>
      </c>
      <c r="D107" s="2" t="str">
        <f t="shared" si="20"/>
        <v>另一</v>
      </c>
      <c r="E107" s="2" t="str">
        <f t="shared" si="21"/>
        <v>对角线，则有C=B'F。</v>
      </c>
      <c r="F107" s="2" t="str">
        <f t="shared" si="22"/>
        <v>=B'F。</v>
      </c>
      <c r="G107" s="2" t="str">
        <f t="shared" si="22"/>
        <v>=B'F。</v>
      </c>
      <c r="H107" s="2" t="str">
        <f t="shared" si="22"/>
        <v>=B'F。</v>
      </c>
      <c r="I107" s="2" t="str">
        <f t="shared" si="23"/>
        <v>'F。</v>
      </c>
      <c r="J107" s="9">
        <f ca="1">MATCH(B107,'B2'!E:E,0)</f>
        <v>96</v>
      </c>
      <c r="K107" s="9">
        <f ca="1">IF(ISERROR(J107),MATCH(C107,'B2'!F:F,0),J107)</f>
        <v>96</v>
      </c>
      <c r="L107" s="9">
        <f ca="1">IF(ISERROR(K107),MATCH(D107,'B2'!G:G,0),K107)</f>
        <v>96</v>
      </c>
      <c r="M107" s="9">
        <f ca="1">IF(ISERROR(L107),MATCH(E107,'B2'!H:H,0),L107)</f>
        <v>96</v>
      </c>
      <c r="N107" s="9">
        <f t="shared" ca="1" si="24"/>
        <v>1</v>
      </c>
      <c r="O107" s="9" t="e">
        <f ca="1">MATCH(E107,'B2'!H:H,0)</f>
        <v>#N/A</v>
      </c>
      <c r="P107" s="9" t="e">
        <f ca="1">IF(ISERROR(O107),MATCH(H107,'B2'!K:K,0),O107)</f>
        <v>#N/A</v>
      </c>
      <c r="Q107" s="9" t="e">
        <f ca="1">IF(ISERROR(P107),MATCH(I107,'B2'!L:L,0),P107)</f>
        <v>#N/A</v>
      </c>
      <c r="R107" s="9" t="e">
        <f ca="1">IF(ISERROR(Q107),MATCH(J107,'B2'!M:M,0),Q107)</f>
        <v>#N/A</v>
      </c>
      <c r="S107" s="9" t="e">
        <f t="shared" ca="1" si="25"/>
        <v>#N/A</v>
      </c>
      <c r="T107" s="3">
        <f ca="1">OFFSET('B2'!$C$1,'B3'!M107-1,0)</f>
        <v>9.6155092592592594E-3</v>
      </c>
      <c r="U107" s="3" t="e">
        <f ca="1">OFFSET('B2'!$D$1,'B3'!R107-1,0)</f>
        <v>#N/A</v>
      </c>
      <c r="V107" s="16" t="e">
        <f t="shared" ca="1" si="26"/>
        <v>#N/A</v>
      </c>
      <c r="W107" s="4">
        <f t="shared" si="27"/>
        <v>59</v>
      </c>
      <c r="X107" s="5" t="e">
        <f t="shared" ca="1" si="28"/>
        <v>#N/A</v>
      </c>
      <c r="Y107" s="5" t="e">
        <f t="shared" ca="1" si="29"/>
        <v>#N/A</v>
      </c>
      <c r="Z107" s="6" t="e">
        <f t="shared" ca="1" si="30"/>
        <v>#N/A</v>
      </c>
      <c r="AA107" s="12">
        <v>1.2468749999999999E-2</v>
      </c>
      <c r="AB107" s="13">
        <f t="shared" si="31"/>
        <v>1.1111111111111391E-4</v>
      </c>
      <c r="AC107" s="14" t="e">
        <f t="shared" ca="1" si="32"/>
        <v>#N/A</v>
      </c>
      <c r="AD107" s="10">
        <v>0.8</v>
      </c>
      <c r="AE107" s="3" t="b">
        <f t="shared" si="33"/>
        <v>0</v>
      </c>
      <c r="AG107" s="15"/>
    </row>
    <row r="108" spans="1:33" x14ac:dyDescent="0.3">
      <c r="A108" t="s">
        <v>829</v>
      </c>
      <c r="B108" s="2" t="str">
        <f t="shared" si="18"/>
        <v>为了证明这一点，我们</v>
      </c>
      <c r="C108" s="2" t="str">
        <f t="shared" si="19"/>
        <v>为了证明</v>
      </c>
      <c r="D108" s="2" t="str">
        <f t="shared" si="20"/>
        <v>为了</v>
      </c>
      <c r="E108" s="2" t="str">
        <f t="shared" si="21"/>
        <v>C，即C'=C=B'F。</v>
      </c>
      <c r="F108" s="2" t="str">
        <f t="shared" si="22"/>
        <v>=B'F。</v>
      </c>
      <c r="G108" s="2" t="str">
        <f t="shared" si="22"/>
        <v>=B'F。</v>
      </c>
      <c r="H108" s="2" t="str">
        <f t="shared" si="22"/>
        <v>=B'F。</v>
      </c>
      <c r="I108" s="2" t="str">
        <f t="shared" si="23"/>
        <v>'F。</v>
      </c>
      <c r="J108" s="9">
        <f ca="1">MATCH(B108,'B2'!E:E,0)</f>
        <v>98</v>
      </c>
      <c r="K108" s="9">
        <f ca="1">IF(ISERROR(J108),MATCH(C108,'B2'!F:F,0),J108)</f>
        <v>98</v>
      </c>
      <c r="L108" s="9">
        <f ca="1">IF(ISERROR(K108),MATCH(D108,'B2'!G:G,0),K108)</f>
        <v>98</v>
      </c>
      <c r="M108" s="9">
        <f ca="1">IF(ISERROR(L108),MATCH(E108,'B2'!H:H,0),L108)</f>
        <v>98</v>
      </c>
      <c r="N108" s="9">
        <f t="shared" ca="1" si="24"/>
        <v>0</v>
      </c>
      <c r="O108" s="9" t="e">
        <f ca="1">MATCH(E108,'B2'!H:H,0)</f>
        <v>#N/A</v>
      </c>
      <c r="P108" s="9" t="e">
        <f ca="1">IF(ISERROR(O108),MATCH(H108,'B2'!K:K,0),O108)</f>
        <v>#N/A</v>
      </c>
      <c r="Q108" s="9" t="e">
        <f ca="1">IF(ISERROR(P108),MATCH(I108,'B2'!L:L,0),P108)</f>
        <v>#N/A</v>
      </c>
      <c r="R108" s="9" t="e">
        <f ca="1">IF(ISERROR(Q108),MATCH(J108,'B2'!M:M,0),Q108)</f>
        <v>#N/A</v>
      </c>
      <c r="S108" s="9" t="e">
        <f t="shared" ca="1" si="25"/>
        <v>#N/A</v>
      </c>
      <c r="T108" s="3">
        <f ca="1">OFFSET('B2'!$C$1,'B3'!M108-1,0)</f>
        <v>9.8062500000000007E-3</v>
      </c>
      <c r="U108" s="3" t="e">
        <f ca="1">OFFSET('B2'!$D$1,'B3'!R108-1,0)</f>
        <v>#N/A</v>
      </c>
      <c r="V108" s="16" t="e">
        <f t="shared" ca="1" si="26"/>
        <v>#N/A</v>
      </c>
      <c r="W108" s="4">
        <f t="shared" si="27"/>
        <v>65</v>
      </c>
      <c r="X108" s="5" t="e">
        <f t="shared" ca="1" si="28"/>
        <v>#N/A</v>
      </c>
      <c r="Y108" s="5" t="e">
        <f t="shared" ca="1" si="29"/>
        <v>#N/A</v>
      </c>
      <c r="Z108" s="6" t="e">
        <f t="shared" ca="1" si="30"/>
        <v>#N/A</v>
      </c>
      <c r="AA108" s="12">
        <v>1.2579861111111113E-2</v>
      </c>
      <c r="AB108" s="13">
        <f t="shared" si="31"/>
        <v>1.1226851851851502E-4</v>
      </c>
      <c r="AC108" s="14" t="e">
        <f t="shared" ca="1" si="32"/>
        <v>#N/A</v>
      </c>
      <c r="AD108" s="10">
        <v>3.18</v>
      </c>
      <c r="AE108" s="3" t="b">
        <f t="shared" si="33"/>
        <v>0</v>
      </c>
      <c r="AG108" s="15"/>
    </row>
    <row r="109" spans="1:33" x14ac:dyDescent="0.3">
      <c r="A109" t="s">
        <v>830</v>
      </c>
      <c r="B109" s="2" t="str">
        <f t="shared" si="18"/>
        <v>由于C=B'F，我们</v>
      </c>
      <c r="C109" s="2" t="str">
        <f t="shared" si="19"/>
        <v>由于C=</v>
      </c>
      <c r="D109" s="2" t="str">
        <f t="shared" si="20"/>
        <v>由于</v>
      </c>
      <c r="E109" s="2" t="str">
        <f t="shared" si="21"/>
        <v>得P，无需使用矩阵乘法。</v>
      </c>
      <c r="F109" s="2" t="str">
        <f t="shared" si="22"/>
        <v>矩阵乘法。</v>
      </c>
      <c r="G109" s="2" t="str">
        <f t="shared" si="22"/>
        <v>矩阵乘法。</v>
      </c>
      <c r="H109" s="2" t="str">
        <f t="shared" si="22"/>
        <v>矩阵乘法。</v>
      </c>
      <c r="I109" s="2" t="str">
        <f t="shared" si="23"/>
        <v>乘法。</v>
      </c>
      <c r="J109" s="9" t="e">
        <f ca="1">MATCH(B109,'B2'!E:E,0)</f>
        <v>#N/A</v>
      </c>
      <c r="K109" s="9" t="e">
        <f ca="1">IF(ISERROR(J109),MATCH(C109,'B2'!F:F,0),J109)</f>
        <v>#N/A</v>
      </c>
      <c r="L109" s="9">
        <f ca="1">IF(ISERROR(K109),MATCH(D109,'B2'!G:G,0),K109)</f>
        <v>13</v>
      </c>
      <c r="M109" s="9">
        <f ca="1">IF(ISERROR(L109),MATCH(E109,'B2'!H:H,0),L109)</f>
        <v>13</v>
      </c>
      <c r="N109" s="9">
        <f t="shared" ca="1" si="24"/>
        <v>0</v>
      </c>
      <c r="O109" s="9">
        <f ca="1">MATCH(E109,'B2'!H:H,0)</f>
        <v>101</v>
      </c>
      <c r="P109" s="9">
        <f ca="1">IF(ISERROR(O109),MATCH(H109,'B2'!K:K,0),O109)</f>
        <v>101</v>
      </c>
      <c r="Q109" s="9">
        <f ca="1">IF(ISERROR(P109),MATCH(I109,'B2'!L:L,0),P109)</f>
        <v>101</v>
      </c>
      <c r="R109" s="9">
        <f ca="1">IF(ISERROR(Q109),MATCH(J109,'B2'!M:M,0),Q109)</f>
        <v>101</v>
      </c>
      <c r="S109" s="9" t="e">
        <f t="shared" ca="1" si="25"/>
        <v>#N/A</v>
      </c>
      <c r="T109" s="3">
        <f ca="1">OFFSET('B2'!$C$1,'B3'!M109-1,0)</f>
        <v>1.1986111111111112E-3</v>
      </c>
      <c r="U109" s="3">
        <f ca="1">OFFSET('B2'!$D$1,'B3'!R109-1,0)</f>
        <v>1.0055324074074074E-2</v>
      </c>
      <c r="V109" s="16">
        <f t="shared" ca="1" si="26"/>
        <v>1.005601851851852E-2</v>
      </c>
      <c r="W109" s="4">
        <f t="shared" si="27"/>
        <v>52</v>
      </c>
      <c r="X109" s="5" t="e">
        <f t="shared" ca="1" si="28"/>
        <v>#N/A</v>
      </c>
      <c r="Y109" s="5">
        <f t="shared" ca="1" si="29"/>
        <v>8.8567129629629621E-3</v>
      </c>
      <c r="Z109" s="6" t="e">
        <f t="shared" ca="1" si="30"/>
        <v>#N/A</v>
      </c>
      <c r="AA109" s="12">
        <v>1.2692129629629628E-2</v>
      </c>
      <c r="AB109" s="13">
        <f t="shared" si="31"/>
        <v>7.4074074074075361E-5</v>
      </c>
      <c r="AC109" s="14" t="e">
        <f t="shared" ca="1" si="32"/>
        <v>#N/A</v>
      </c>
      <c r="AD109" s="10">
        <v>1.44</v>
      </c>
      <c r="AE109" s="3" t="b">
        <f t="shared" si="33"/>
        <v>0</v>
      </c>
      <c r="AG109" s="15"/>
    </row>
    <row r="110" spans="1:33" x14ac:dyDescent="0.3">
      <c r="A110" t="s">
        <v>831</v>
      </c>
      <c r="B110" s="2" t="str">
        <f t="shared" si="18"/>
        <v>同时，由于P=C⊕F</v>
      </c>
      <c r="C110" s="2" t="str">
        <f t="shared" si="19"/>
        <v>同时，由</v>
      </c>
      <c r="D110" s="2" t="str">
        <f t="shared" si="20"/>
        <v>同时</v>
      </c>
      <c r="E110" s="2" t="str">
        <f t="shared" si="21"/>
        <v>内，由P的递推公式推得。</v>
      </c>
      <c r="F110" s="2" t="str">
        <f t="shared" si="22"/>
        <v>公式推得。</v>
      </c>
      <c r="G110" s="2" t="str">
        <f t="shared" si="22"/>
        <v>公式推得。</v>
      </c>
      <c r="H110" s="2" t="str">
        <f t="shared" si="22"/>
        <v>公式推得。</v>
      </c>
      <c r="I110" s="2" t="str">
        <f t="shared" si="23"/>
        <v>推得。</v>
      </c>
      <c r="J110" s="9" t="e">
        <f ca="1">MATCH(B110,'B2'!E:E,0)</f>
        <v>#N/A</v>
      </c>
      <c r="K110" s="9">
        <f ca="1">IF(ISERROR(J110),MATCH(C110,'B2'!F:F,0),J110)</f>
        <v>102</v>
      </c>
      <c r="L110" s="9">
        <f ca="1">IF(ISERROR(K110),MATCH(D110,'B2'!G:G,0),K110)</f>
        <v>102</v>
      </c>
      <c r="M110" s="9">
        <f ca="1">IF(ISERROR(L110),MATCH(E110,'B2'!H:H,0),L110)</f>
        <v>102</v>
      </c>
      <c r="N110" s="9">
        <f t="shared" ca="1" si="24"/>
        <v>1</v>
      </c>
      <c r="O110" s="9" t="e">
        <f ca="1">MATCH(E110,'B2'!H:H,0)</f>
        <v>#N/A</v>
      </c>
      <c r="P110" s="9">
        <f ca="1">IF(ISERROR(O110),MATCH(H110,'B2'!K:K,0),O110)</f>
        <v>103</v>
      </c>
      <c r="Q110" s="9">
        <f ca="1">IF(ISERROR(P110),MATCH(I110,'B2'!L:L,0),P110)</f>
        <v>103</v>
      </c>
      <c r="R110" s="9">
        <f ca="1">IF(ISERROR(Q110),MATCH(J110,'B2'!M:M,0),Q110)</f>
        <v>103</v>
      </c>
      <c r="S110" s="9">
        <f t="shared" ca="1" si="25"/>
        <v>0</v>
      </c>
      <c r="T110" s="3">
        <f ca="1">OFFSET('B2'!$C$1,'B3'!M110-1,0)</f>
        <v>1.0056712962962963E-2</v>
      </c>
      <c r="U110" s="3">
        <f ca="1">OFFSET('B2'!$D$1,'B3'!R110-1,0)</f>
        <v>1.0150231481481482E-2</v>
      </c>
      <c r="V110" s="16">
        <f t="shared" ca="1" si="26"/>
        <v>1.0150694444444445E-2</v>
      </c>
      <c r="W110" s="4">
        <f t="shared" si="27"/>
        <v>56</v>
      </c>
      <c r="X110" s="5">
        <f t="shared" ca="1" si="28"/>
        <v>1.3888888888893142E-6</v>
      </c>
      <c r="Y110" s="5">
        <f t="shared" ca="1" si="29"/>
        <v>9.351851851851882E-5</v>
      </c>
      <c r="Z110" s="6">
        <f t="shared" ca="1" si="30"/>
        <v>9.4675925925926004E-5</v>
      </c>
      <c r="AA110" s="12">
        <v>1.2766203703703703E-2</v>
      </c>
      <c r="AB110" s="13">
        <f t="shared" si="31"/>
        <v>9.7222222222224236E-5</v>
      </c>
      <c r="AC110" s="14" t="str">
        <f t="shared" ca="1" si="32"/>
        <v>0.22</v>
      </c>
      <c r="AD110" s="10">
        <v>2.52</v>
      </c>
      <c r="AE110" s="3" t="b">
        <f t="shared" si="33"/>
        <v>0</v>
      </c>
      <c r="AG110" s="15"/>
    </row>
    <row r="111" spans="1:33" x14ac:dyDescent="0.3">
      <c r="A111" t="s">
        <v>832</v>
      </c>
      <c r="B111" s="2" t="str">
        <f t="shared" si="18"/>
        <v>由于这个证明较长，因</v>
      </c>
      <c r="C111" s="2" t="str">
        <f t="shared" si="19"/>
        <v>由于这个</v>
      </c>
      <c r="D111" s="2" t="str">
        <f t="shared" si="20"/>
        <v>由于</v>
      </c>
      <c r="E111" s="2" t="str">
        <f t="shared" si="21"/>
        <v>和F的递推公式自行证明。</v>
      </c>
      <c r="F111" s="2" t="str">
        <f t="shared" si="22"/>
        <v>自行证明。</v>
      </c>
      <c r="G111" s="2" t="str">
        <f t="shared" si="22"/>
        <v>自行证明。</v>
      </c>
      <c r="H111" s="2" t="str">
        <f t="shared" si="22"/>
        <v>自行证明。</v>
      </c>
      <c r="I111" s="2" t="str">
        <f t="shared" si="23"/>
        <v>证明。</v>
      </c>
      <c r="J111" s="9">
        <f ca="1">MATCH(B111,'B2'!E:E,0)</f>
        <v>104</v>
      </c>
      <c r="K111" s="9">
        <f ca="1">IF(ISERROR(J111),MATCH(C111,'B2'!F:F,0),J111)</f>
        <v>104</v>
      </c>
      <c r="L111" s="9">
        <f ca="1">IF(ISERROR(K111),MATCH(D111,'B2'!G:G,0),K111)</f>
        <v>104</v>
      </c>
      <c r="M111" s="9">
        <f ca="1">IF(ISERROR(L111),MATCH(E111,'B2'!H:H,0),L111)</f>
        <v>104</v>
      </c>
      <c r="N111" s="9">
        <f t="shared" ca="1" si="24"/>
        <v>0</v>
      </c>
      <c r="O111" s="9" t="e">
        <f ca="1">MATCH(E111,'B2'!H:H,0)</f>
        <v>#N/A</v>
      </c>
      <c r="P111" s="9">
        <f ca="1">IF(ISERROR(O111),MATCH(H111,'B2'!K:K,0),O111)</f>
        <v>37</v>
      </c>
      <c r="Q111" s="9">
        <f ca="1">IF(ISERROR(P111),MATCH(I111,'B2'!L:L,0),P111)</f>
        <v>37</v>
      </c>
      <c r="R111" s="9">
        <f ca="1">IF(ISERROR(Q111),MATCH(J111,'B2'!M:M,0),Q111)</f>
        <v>37</v>
      </c>
      <c r="S111" s="9" t="e">
        <f t="shared" ca="1" si="25"/>
        <v>#N/A</v>
      </c>
      <c r="T111" s="3">
        <f ca="1">OFFSET('B2'!$C$1,'B3'!M111-1,0)</f>
        <v>1.0151157407407407E-2</v>
      </c>
      <c r="U111" s="3">
        <f ca="1">OFFSET('B2'!$D$1,'B3'!R111-1,0)</f>
        <v>4.1199074074074072E-3</v>
      </c>
      <c r="V111" s="16">
        <f t="shared" ca="1" si="26"/>
        <v>3.0331018518518519E-3</v>
      </c>
      <c r="W111" s="4">
        <f t="shared" si="27"/>
        <v>44</v>
      </c>
      <c r="X111" s="5">
        <f t="shared" ca="1" si="28"/>
        <v>9.2592592592505296E-7</v>
      </c>
      <c r="Y111" s="5">
        <f t="shared" ca="1" si="29"/>
        <v>-6.0312500000000002E-3</v>
      </c>
      <c r="Z111" s="6">
        <f t="shared" ca="1" si="30"/>
        <v>-7.1175925925925929E-3</v>
      </c>
      <c r="AA111" s="12">
        <v>1.2863425925925927E-2</v>
      </c>
      <c r="AB111" s="13">
        <f t="shared" si="31"/>
        <v>1.2615740740740469E-4</v>
      </c>
      <c r="AC111" s="14" t="str">
        <f t="shared" ca="1" si="32"/>
        <v>25.86</v>
      </c>
      <c r="AD111" s="10">
        <v>0.74</v>
      </c>
      <c r="AE111" s="3" t="b">
        <f t="shared" si="33"/>
        <v>0</v>
      </c>
      <c r="AG111" s="15"/>
    </row>
    <row r="112" spans="1:33" x14ac:dyDescent="0.3">
      <c r="A112" t="s">
        <v>833</v>
      </c>
      <c r="B112" s="2" t="str">
        <f t="shared" si="18"/>
        <v>现在，我们已用多种方</v>
      </c>
      <c r="C112" s="2" t="str">
        <f t="shared" si="19"/>
        <v>现在，我</v>
      </c>
      <c r="D112" s="2" t="str">
        <f t="shared" si="20"/>
        <v>现在</v>
      </c>
      <c r="E112" s="2" t="str">
        <f t="shared" si="21"/>
        <v>=y，可这又有什么用呢？</v>
      </c>
      <c r="F112" s="2" t="str">
        <f t="shared" si="22"/>
        <v>什么用呢？</v>
      </c>
      <c r="G112" s="2" t="str">
        <f t="shared" si="22"/>
        <v>什么用呢？</v>
      </c>
      <c r="H112" s="2" t="str">
        <f t="shared" si="22"/>
        <v>什么用呢？</v>
      </c>
      <c r="I112" s="2" t="str">
        <f t="shared" si="23"/>
        <v>用呢？</v>
      </c>
      <c r="J112" s="9" t="e">
        <f ca="1">MATCH(B112,'B2'!E:E,0)</f>
        <v>#N/A</v>
      </c>
      <c r="K112" s="9" t="e">
        <f ca="1">IF(ISERROR(J112),MATCH(C112,'B2'!F:F,0),J112)</f>
        <v>#N/A</v>
      </c>
      <c r="L112" s="9">
        <f ca="1">IF(ISERROR(K112),MATCH(D112,'B2'!G:G,0),K112)</f>
        <v>22</v>
      </c>
      <c r="M112" s="9">
        <f ca="1">IF(ISERROR(L112),MATCH(E112,'B2'!H:H,0),L112)</f>
        <v>22</v>
      </c>
      <c r="N112" s="9" t="e">
        <f t="shared" ca="1" si="24"/>
        <v>#N/A</v>
      </c>
      <c r="O112" s="9" t="e">
        <f ca="1">MATCH(E112,'B2'!H:H,0)</f>
        <v>#N/A</v>
      </c>
      <c r="P112" s="9" t="e">
        <f ca="1">IF(ISERROR(O112),MATCH(H112,'B2'!K:K,0),O112)</f>
        <v>#N/A</v>
      </c>
      <c r="Q112" s="9" t="e">
        <f ca="1">IF(ISERROR(P112),MATCH(I112,'B2'!L:L,0),P112)</f>
        <v>#N/A</v>
      </c>
      <c r="R112" s="9" t="e">
        <f ca="1">IF(ISERROR(Q112),MATCH(J112,'B2'!M:M,0),Q112)</f>
        <v>#N/A</v>
      </c>
      <c r="S112" s="9" t="e">
        <f t="shared" ca="1" si="25"/>
        <v>#N/A</v>
      </c>
      <c r="T112" s="3">
        <f ca="1">OFFSET('B2'!$C$1,'B3'!M112-1,0)</f>
        <v>1.9462962962962962E-3</v>
      </c>
      <c r="U112" s="3" t="e">
        <f ca="1">OFFSET('B2'!$D$1,'B3'!R112-1,0)</f>
        <v>#N/A</v>
      </c>
      <c r="V112" s="16" t="e">
        <f t="shared" ca="1" si="26"/>
        <v>#N/A</v>
      </c>
      <c r="W112" s="4">
        <f t="shared" si="27"/>
        <v>43</v>
      </c>
      <c r="X112" s="5">
        <f t="shared" ca="1" si="28"/>
        <v>-2.173611111111111E-3</v>
      </c>
      <c r="Y112" s="5" t="e">
        <f t="shared" ca="1" si="29"/>
        <v>#N/A</v>
      </c>
      <c r="Z112" s="6" t="e">
        <f t="shared" ca="1" si="30"/>
        <v>#N/A</v>
      </c>
      <c r="AA112" s="12">
        <v>1.2989583333333332E-2</v>
      </c>
      <c r="AB112" s="13">
        <f t="shared" si="31"/>
        <v>7.9861111111112146E-5</v>
      </c>
      <c r="AC112" s="14" t="e">
        <f t="shared" ca="1" si="32"/>
        <v>#N/A</v>
      </c>
      <c r="AD112" s="10">
        <v>1.1000000000000001</v>
      </c>
      <c r="AE112" s="3" t="b">
        <f t="shared" si="33"/>
        <v>0</v>
      </c>
      <c r="AG112" s="15"/>
    </row>
    <row r="113" spans="1:33" x14ac:dyDescent="0.3">
      <c r="A113" t="s">
        <v>834</v>
      </c>
      <c r="B113" s="2" t="str">
        <f t="shared" si="18"/>
        <v>试想一下，如果有一个</v>
      </c>
      <c r="C113" s="2" t="str">
        <f t="shared" si="19"/>
        <v>试想一下</v>
      </c>
      <c r="D113" s="2" t="str">
        <f t="shared" si="20"/>
        <v>试想</v>
      </c>
      <c r="E113" s="2" t="str">
        <f t="shared" si="21"/>
        <v>到的多项式f(n,x)。</v>
      </c>
      <c r="F113" s="2" t="str">
        <f t="shared" si="22"/>
        <v>n,x)。</v>
      </c>
      <c r="G113" s="2" t="str">
        <f t="shared" si="22"/>
        <v>n,x)。</v>
      </c>
      <c r="H113" s="2" t="str">
        <f t="shared" si="22"/>
        <v>n,x)。</v>
      </c>
      <c r="I113" s="2" t="str">
        <f t="shared" si="23"/>
        <v>x)。</v>
      </c>
      <c r="J113" s="9" t="e">
        <f ca="1">MATCH(B113,'B2'!E:E,0)</f>
        <v>#N/A</v>
      </c>
      <c r="K113" s="9" t="e">
        <f ca="1">IF(ISERROR(J113),MATCH(C113,'B2'!F:F,0),J113)</f>
        <v>#N/A</v>
      </c>
      <c r="L113" s="9" t="e">
        <f ca="1">IF(ISERROR(K113),MATCH(D113,'B2'!G:G,0),K113)</f>
        <v>#N/A</v>
      </c>
      <c r="M113" s="9" t="e">
        <f ca="1">IF(ISERROR(L113),MATCH(E113,'B2'!H:H,0),L113)</f>
        <v>#N/A</v>
      </c>
      <c r="N113" s="9" t="e">
        <f t="shared" ca="1" si="24"/>
        <v>#N/A</v>
      </c>
      <c r="O113" s="9" t="e">
        <f ca="1">MATCH(E113,'B2'!H:H,0)</f>
        <v>#N/A</v>
      </c>
      <c r="P113" s="9" t="e">
        <f ca="1">IF(ISERROR(O113),MATCH(H113,'B2'!K:K,0),O113)</f>
        <v>#N/A</v>
      </c>
      <c r="Q113" s="9" t="e">
        <f ca="1">IF(ISERROR(P113),MATCH(I113,'B2'!L:L,0),P113)</f>
        <v>#N/A</v>
      </c>
      <c r="R113" s="9" t="e">
        <f ca="1">IF(ISERROR(Q113),MATCH(J113,'B2'!M:M,0),Q113)</f>
        <v>#N/A</v>
      </c>
      <c r="S113" s="9" t="e">
        <f t="shared" ca="1" si="25"/>
        <v>#N/A</v>
      </c>
      <c r="T113" s="3" t="e">
        <f ca="1">OFFSET('B2'!$C$1,'B3'!M113-1,0)</f>
        <v>#N/A</v>
      </c>
      <c r="U113" s="3" t="e">
        <f ca="1">OFFSET('B2'!$D$1,'B3'!R113-1,0)</f>
        <v>#N/A</v>
      </c>
      <c r="V113" s="16" t="e">
        <f t="shared" ca="1" si="26"/>
        <v>#N/A</v>
      </c>
      <c r="W113" s="4">
        <f t="shared" si="27"/>
        <v>64</v>
      </c>
      <c r="X113" s="5" t="e">
        <f t="shared" ca="1" si="28"/>
        <v>#N/A</v>
      </c>
      <c r="Y113" s="5" t="e">
        <f t="shared" ca="1" si="29"/>
        <v>#N/A</v>
      </c>
      <c r="Z113" s="6" t="e">
        <f t="shared" ca="1" si="30"/>
        <v>#N/A</v>
      </c>
      <c r="AA113" s="12">
        <v>1.3069444444444444E-2</v>
      </c>
      <c r="AB113" s="13">
        <f t="shared" si="31"/>
        <v>1.493055555555553E-4</v>
      </c>
      <c r="AC113" s="14" t="e">
        <f t="shared" ca="1" si="32"/>
        <v>#N/A</v>
      </c>
      <c r="AD113" s="10">
        <v>2.86</v>
      </c>
      <c r="AE113" s="3" t="b">
        <f t="shared" si="33"/>
        <v>0</v>
      </c>
      <c r="AG113" s="15"/>
    </row>
    <row r="114" spans="1:33" x14ac:dyDescent="0.3">
      <c r="A114" t="s">
        <v>835</v>
      </c>
      <c r="B114" s="2" t="str">
        <f t="shared" si="18"/>
        <v>那么，将式子两边同时</v>
      </c>
      <c r="C114" s="2" t="str">
        <f t="shared" si="19"/>
        <v>那么，将</v>
      </c>
      <c r="D114" s="2" t="str">
        <f t="shared" si="20"/>
        <v>那么</v>
      </c>
      <c r="E114" s="2" t="str">
        <f t="shared" si="21"/>
        <v>样，我们就能立即求出x。</v>
      </c>
      <c r="F114" s="2" t="str">
        <f t="shared" si="22"/>
        <v>即求出x。</v>
      </c>
      <c r="G114" s="2" t="str">
        <f t="shared" si="22"/>
        <v>即求出x。</v>
      </c>
      <c r="H114" s="2" t="str">
        <f t="shared" si="22"/>
        <v>即求出x。</v>
      </c>
      <c r="I114" s="2" t="str">
        <f t="shared" si="23"/>
        <v>出x。</v>
      </c>
      <c r="J114" s="9" t="e">
        <f ca="1">MATCH(B114,'B2'!E:E,0)</f>
        <v>#N/A</v>
      </c>
      <c r="K114" s="9" t="e">
        <f ca="1">IF(ISERROR(J114),MATCH(C114,'B2'!F:F,0),J114)</f>
        <v>#N/A</v>
      </c>
      <c r="L114" s="9" t="e">
        <f ca="1">IF(ISERROR(K114),MATCH(D114,'B2'!G:G,0),K114)</f>
        <v>#N/A</v>
      </c>
      <c r="M114" s="9" t="e">
        <f ca="1">IF(ISERROR(L114),MATCH(E114,'B2'!H:H,0),L114)</f>
        <v>#N/A</v>
      </c>
      <c r="N114" s="9" t="e">
        <f t="shared" ca="1" si="24"/>
        <v>#N/A</v>
      </c>
      <c r="O114" s="9" t="e">
        <f ca="1">MATCH(E114,'B2'!H:H,0)</f>
        <v>#N/A</v>
      </c>
      <c r="P114" s="9" t="e">
        <f ca="1">IF(ISERROR(O114),MATCH(H114,'B2'!K:K,0),O114)</f>
        <v>#N/A</v>
      </c>
      <c r="Q114" s="9" t="e">
        <f ca="1">IF(ISERROR(P114),MATCH(I114,'B2'!L:L,0),P114)</f>
        <v>#N/A</v>
      </c>
      <c r="R114" s="9" t="e">
        <f ca="1">IF(ISERROR(Q114),MATCH(J114,'B2'!M:M,0),Q114)</f>
        <v>#N/A</v>
      </c>
      <c r="S114" s="9" t="e">
        <f t="shared" ca="1" si="25"/>
        <v>#N/A</v>
      </c>
      <c r="T114" s="3" t="e">
        <f ca="1">OFFSET('B2'!$C$1,'B3'!M114-1,0)</f>
        <v>#N/A</v>
      </c>
      <c r="U114" s="3" t="e">
        <f ca="1">OFFSET('B2'!$D$1,'B3'!R114-1,0)</f>
        <v>#N/A</v>
      </c>
      <c r="V114" s="16" t="e">
        <f t="shared" ca="1" si="26"/>
        <v>#N/A</v>
      </c>
      <c r="W114" s="4">
        <f t="shared" si="27"/>
        <v>41</v>
      </c>
      <c r="X114" s="5" t="e">
        <f t="shared" ca="1" si="28"/>
        <v>#N/A</v>
      </c>
      <c r="Y114" s="5" t="e">
        <f t="shared" ca="1" si="29"/>
        <v>#N/A</v>
      </c>
      <c r="Z114" s="6" t="e">
        <f t="shared" ca="1" si="30"/>
        <v>#N/A</v>
      </c>
      <c r="AA114" s="12">
        <v>1.321875E-2</v>
      </c>
      <c r="AB114" s="13">
        <f t="shared" si="31"/>
        <v>7.6388888888889728E-5</v>
      </c>
      <c r="AC114" s="14" t="e">
        <f t="shared" ca="1" si="32"/>
        <v>#N/A</v>
      </c>
      <c r="AD114" s="10">
        <v>0.52</v>
      </c>
      <c r="AE114" s="3" t="b">
        <f t="shared" si="33"/>
        <v>0</v>
      </c>
      <c r="AG114" s="15"/>
    </row>
    <row r="115" spans="1:33" x14ac:dyDescent="0.3">
      <c r="A115" t="s">
        <v>836</v>
      </c>
      <c r="B115" s="2" t="str">
        <f t="shared" si="18"/>
        <v>我们把这样的多项式q</v>
      </c>
      <c r="C115" s="2" t="str">
        <f t="shared" si="19"/>
        <v>我们把这</v>
      </c>
      <c r="D115" s="2" t="str">
        <f t="shared" si="20"/>
        <v>我们</v>
      </c>
      <c r="E115" s="2" t="str">
        <f t="shared" si="21"/>
        <v>求出逆多项式q(x)呢？</v>
      </c>
      <c r="F115" s="2" t="str">
        <f t="shared" si="22"/>
        <v>(x)呢？</v>
      </c>
      <c r="G115" s="2" t="str">
        <f t="shared" si="22"/>
        <v>(x)呢？</v>
      </c>
      <c r="H115" s="2" t="str">
        <f t="shared" si="22"/>
        <v>(x)呢？</v>
      </c>
      <c r="I115" s="2" t="str">
        <f t="shared" si="23"/>
        <v>)呢？</v>
      </c>
      <c r="J115" s="9" t="e">
        <f ca="1">MATCH(B115,'B2'!E:E,0)</f>
        <v>#N/A</v>
      </c>
      <c r="K115" s="9">
        <f ca="1">IF(ISERROR(J115),MATCH(C115,'B2'!F:F,0),J115)</f>
        <v>36</v>
      </c>
      <c r="L115" s="9">
        <f ca="1">IF(ISERROR(K115),MATCH(D115,'B2'!G:G,0),K115)</f>
        <v>36</v>
      </c>
      <c r="M115" s="9">
        <f ca="1">IF(ISERROR(L115),MATCH(E115,'B2'!H:H,0),L115)</f>
        <v>36</v>
      </c>
      <c r="N115" s="9" t="e">
        <f t="shared" ca="1" si="24"/>
        <v>#N/A</v>
      </c>
      <c r="O115" s="9" t="e">
        <f ca="1">MATCH(E115,'B2'!H:H,0)</f>
        <v>#N/A</v>
      </c>
      <c r="P115" s="9" t="e">
        <f ca="1">IF(ISERROR(O115),MATCH(H115,'B2'!K:K,0),O115)</f>
        <v>#N/A</v>
      </c>
      <c r="Q115" s="9" t="e">
        <f ca="1">IF(ISERROR(P115),MATCH(I115,'B2'!L:L,0),P115)</f>
        <v>#N/A</v>
      </c>
      <c r="R115" s="9" t="e">
        <f ca="1">IF(ISERROR(Q115),MATCH(J115,'B2'!M:M,0),Q115)</f>
        <v>#N/A</v>
      </c>
      <c r="S115" s="9" t="e">
        <f t="shared" ca="1" si="25"/>
        <v>#N/A</v>
      </c>
      <c r="T115" s="3">
        <f ca="1">OFFSET('B2'!$C$1,'B3'!M115-1,0)</f>
        <v>4.0375000000000003E-3</v>
      </c>
      <c r="U115" s="3" t="e">
        <f ca="1">OFFSET('B2'!$D$1,'B3'!R115-1,0)</f>
        <v>#N/A</v>
      </c>
      <c r="V115" s="16" t="e">
        <f t="shared" ca="1" si="26"/>
        <v>#N/A</v>
      </c>
      <c r="W115" s="4">
        <f t="shared" si="27"/>
        <v>43</v>
      </c>
      <c r="X115" s="5" t="e">
        <f t="shared" ca="1" si="28"/>
        <v>#N/A</v>
      </c>
      <c r="Y115" s="5" t="e">
        <f t="shared" ca="1" si="29"/>
        <v>#N/A</v>
      </c>
      <c r="Z115" s="6" t="e">
        <f t="shared" ca="1" si="30"/>
        <v>#N/A</v>
      </c>
      <c r="AA115" s="12">
        <v>1.3295138888888889E-2</v>
      </c>
      <c r="AB115" s="13">
        <f t="shared" si="31"/>
        <v>1.0069444444444492E-4</v>
      </c>
      <c r="AC115" s="14" t="e">
        <f t="shared" ca="1" si="32"/>
        <v>#N/A</v>
      </c>
      <c r="AD115" s="10">
        <v>5.28</v>
      </c>
      <c r="AE115" s="3" t="b">
        <f t="shared" si="33"/>
        <v>0</v>
      </c>
      <c r="AG115" s="15"/>
    </row>
    <row r="116" spans="1:33" x14ac:dyDescent="0.3">
      <c r="A116" t="s">
        <v>837</v>
      </c>
      <c r="B116" s="2" t="str">
        <f t="shared" si="18"/>
        <v>我们可以使用扩展欧几</v>
      </c>
      <c r="C116" s="2" t="str">
        <f t="shared" si="19"/>
        <v>我们可以</v>
      </c>
      <c r="D116" s="2" t="str">
        <f t="shared" si="20"/>
        <v>我们</v>
      </c>
      <c r="E116" s="2" t="str">
        <f t="shared" si="21"/>
        <v>p(x)来求取q(x)。</v>
      </c>
      <c r="F116" s="2" t="str">
        <f t="shared" si="22"/>
        <v>q(x)。</v>
      </c>
      <c r="G116" s="2" t="str">
        <f t="shared" si="22"/>
        <v>q(x)。</v>
      </c>
      <c r="H116" s="2" t="str">
        <f t="shared" si="22"/>
        <v>q(x)。</v>
      </c>
      <c r="I116" s="2" t="str">
        <f t="shared" si="23"/>
        <v>x)。</v>
      </c>
      <c r="J116" s="9" t="e">
        <f ca="1">MATCH(B116,'B2'!E:E,0)</f>
        <v>#N/A</v>
      </c>
      <c r="K116" s="9" t="e">
        <f ca="1">IF(ISERROR(J116),MATCH(C116,'B2'!F:F,0),J116)</f>
        <v>#N/A</v>
      </c>
      <c r="L116" s="9">
        <f ca="1">IF(ISERROR(K116),MATCH(D116,'B2'!G:G,0),K116)</f>
        <v>3</v>
      </c>
      <c r="M116" s="9">
        <f ca="1">IF(ISERROR(L116),MATCH(E116,'B2'!H:H,0),L116)</f>
        <v>3</v>
      </c>
      <c r="N116" s="9">
        <f t="shared" ca="1" si="24"/>
        <v>0</v>
      </c>
      <c r="O116" s="9" t="e">
        <f ca="1">MATCH(E116,'B2'!H:H,0)</f>
        <v>#N/A</v>
      </c>
      <c r="P116" s="9" t="e">
        <f ca="1">IF(ISERROR(O116),MATCH(H116,'B2'!K:K,0),O116)</f>
        <v>#N/A</v>
      </c>
      <c r="Q116" s="9" t="e">
        <f ca="1">IF(ISERROR(P116),MATCH(I116,'B2'!L:L,0),P116)</f>
        <v>#N/A</v>
      </c>
      <c r="R116" s="9" t="e">
        <f ca="1">IF(ISERROR(Q116),MATCH(J116,'B2'!M:M,0),Q116)</f>
        <v>#N/A</v>
      </c>
      <c r="S116" s="9" t="e">
        <f t="shared" ca="1" si="25"/>
        <v>#N/A</v>
      </c>
      <c r="T116" s="3">
        <f ca="1">OFFSET('B2'!$C$1,'B3'!M116-1,0)</f>
        <v>1.4583333333333332E-4</v>
      </c>
      <c r="U116" s="3" t="e">
        <f ca="1">OFFSET('B2'!$D$1,'B3'!R116-1,0)</f>
        <v>#N/A</v>
      </c>
      <c r="V116" s="16" t="e">
        <f t="shared" ca="1" si="26"/>
        <v>#N/A</v>
      </c>
      <c r="W116" s="4">
        <f t="shared" si="27"/>
        <v>34</v>
      </c>
      <c r="X116" s="5" t="e">
        <f t="shared" ca="1" si="28"/>
        <v>#N/A</v>
      </c>
      <c r="Y116" s="5" t="e">
        <f t="shared" ca="1" si="29"/>
        <v>#N/A</v>
      </c>
      <c r="Z116" s="6" t="e">
        <f t="shared" ca="1" si="30"/>
        <v>#N/A</v>
      </c>
      <c r="AA116" s="12">
        <v>1.3395833333333334E-2</v>
      </c>
      <c r="AB116" s="13">
        <f t="shared" si="31"/>
        <v>1.2037037037036964E-4</v>
      </c>
      <c r="AC116" s="14" t="e">
        <f t="shared" ca="1" si="32"/>
        <v>#N/A</v>
      </c>
      <c r="AD116" s="10">
        <v>7.12</v>
      </c>
      <c r="AE116" s="3" t="b">
        <f t="shared" si="33"/>
        <v>0</v>
      </c>
      <c r="AG116" s="15"/>
    </row>
    <row r="117" spans="1:33" x14ac:dyDescent="0.3">
      <c r="A117" t="s">
        <v>838</v>
      </c>
      <c r="B117" s="2" t="str">
        <f t="shared" si="18"/>
        <v>这里，我们同时定义一</v>
      </c>
      <c r="C117" s="2" t="str">
        <f t="shared" si="19"/>
        <v>这里，我</v>
      </c>
      <c r="D117" s="2" t="str">
        <f t="shared" si="20"/>
        <v>这里</v>
      </c>
      <c r="E117" s="2" t="str">
        <f t="shared" si="21"/>
        <v>和e(x)做相同的操作。</v>
      </c>
      <c r="F117" s="2" t="str">
        <f t="shared" si="22"/>
        <v>同的操作。</v>
      </c>
      <c r="G117" s="2" t="str">
        <f t="shared" si="22"/>
        <v>同的操作。</v>
      </c>
      <c r="H117" s="2" t="str">
        <f t="shared" si="22"/>
        <v>同的操作。</v>
      </c>
      <c r="I117" s="2" t="str">
        <f t="shared" si="23"/>
        <v>操作。</v>
      </c>
      <c r="J117" s="9" t="e">
        <f ca="1">MATCH(B117,'B2'!E:E,0)</f>
        <v>#N/A</v>
      </c>
      <c r="K117" s="9" t="e">
        <f ca="1">IF(ISERROR(J117),MATCH(C117,'B2'!F:F,0),J117)</f>
        <v>#N/A</v>
      </c>
      <c r="L117" s="9">
        <f ca="1">IF(ISERROR(K117),MATCH(D117,'B2'!G:G,0),K117)</f>
        <v>12</v>
      </c>
      <c r="M117" s="9">
        <f ca="1">IF(ISERROR(L117),MATCH(E117,'B2'!H:H,0),L117)</f>
        <v>12</v>
      </c>
      <c r="N117" s="9" t="e">
        <f t="shared" ca="1" si="24"/>
        <v>#N/A</v>
      </c>
      <c r="O117" s="9" t="e">
        <f ca="1">MATCH(E117,'B2'!H:H,0)</f>
        <v>#N/A</v>
      </c>
      <c r="P117" s="9" t="e">
        <f ca="1">IF(ISERROR(O117),MATCH(H117,'B2'!K:K,0),O117)</f>
        <v>#N/A</v>
      </c>
      <c r="Q117" s="9">
        <f ca="1">IF(ISERROR(P117),MATCH(I117,'B2'!L:L,0),P117)</f>
        <v>49</v>
      </c>
      <c r="R117" s="9">
        <f ca="1">IF(ISERROR(Q117),MATCH(J117,'B2'!M:M,0),Q117)</f>
        <v>49</v>
      </c>
      <c r="S117" s="9" t="e">
        <f t="shared" ca="1" si="25"/>
        <v>#N/A</v>
      </c>
      <c r="T117" s="3">
        <f ca="1">OFFSET('B2'!$C$1,'B3'!M117-1,0)</f>
        <v>1.1685185185185186E-3</v>
      </c>
      <c r="U117" s="3">
        <f ca="1">OFFSET('B2'!$D$1,'B3'!R117-1,0)</f>
        <v>4.9305555555555552E-3</v>
      </c>
      <c r="V117" s="16" t="e">
        <f t="shared" ca="1" si="26"/>
        <v>#N/A</v>
      </c>
      <c r="W117" s="4">
        <f t="shared" si="27"/>
        <v>64</v>
      </c>
      <c r="X117" s="5" t="e">
        <f t="shared" ca="1" si="28"/>
        <v>#N/A</v>
      </c>
      <c r="Y117" s="5">
        <f t="shared" ca="1" si="29"/>
        <v>3.7620370370370368E-3</v>
      </c>
      <c r="Z117" s="6" t="e">
        <f t="shared" ca="1" si="30"/>
        <v>#N/A</v>
      </c>
      <c r="AA117" s="12">
        <v>1.3516203703703704E-2</v>
      </c>
      <c r="AB117" s="13">
        <f t="shared" si="31"/>
        <v>9.1435185185185716E-5</v>
      </c>
      <c r="AC117" s="14" t="e">
        <f t="shared" ca="1" si="32"/>
        <v>#N/A</v>
      </c>
      <c r="AD117" s="10">
        <v>3</v>
      </c>
      <c r="AE117" s="3" t="b">
        <f t="shared" si="33"/>
        <v>0</v>
      </c>
      <c r="AG117" s="15"/>
    </row>
    <row r="118" spans="1:33" x14ac:dyDescent="0.3">
      <c r="A118" t="s">
        <v>839</v>
      </c>
      <c r="B118" s="2" t="str">
        <f t="shared" si="18"/>
        <v>类似矩阵求逆，我们的</v>
      </c>
      <c r="C118" s="2" t="str">
        <f t="shared" si="19"/>
        <v>类似矩阵</v>
      </c>
      <c r="D118" s="2" t="str">
        <f t="shared" si="20"/>
        <v>类似</v>
      </c>
      <c r="E118" s="2" t="str">
        <f t="shared" si="21"/>
        <v>p(x)变为单位多项式。</v>
      </c>
      <c r="F118" s="2" t="str">
        <f t="shared" si="22"/>
        <v>位多项式。</v>
      </c>
      <c r="G118" s="2" t="str">
        <f t="shared" si="22"/>
        <v>位多项式。</v>
      </c>
      <c r="H118" s="2" t="str">
        <f t="shared" si="22"/>
        <v>位多项式。</v>
      </c>
      <c r="I118" s="2" t="str">
        <f t="shared" si="23"/>
        <v>项式。</v>
      </c>
      <c r="J118" s="9" t="e">
        <f ca="1">MATCH(B118,'B2'!E:E,0)</f>
        <v>#N/A</v>
      </c>
      <c r="K118" s="9" t="e">
        <f ca="1">IF(ISERROR(J118),MATCH(C118,'B2'!F:F,0),J118)</f>
        <v>#N/A</v>
      </c>
      <c r="L118" s="9" t="e">
        <f ca="1">IF(ISERROR(K118),MATCH(D118,'B2'!G:G,0),K118)</f>
        <v>#N/A</v>
      </c>
      <c r="M118" s="9" t="e">
        <f ca="1">IF(ISERROR(L118),MATCH(E118,'B2'!H:H,0),L118)</f>
        <v>#N/A</v>
      </c>
      <c r="N118" s="9" t="e">
        <f t="shared" ca="1" si="24"/>
        <v>#N/A</v>
      </c>
      <c r="O118" s="9" t="e">
        <f ca="1">MATCH(E118,'B2'!H:H,0)</f>
        <v>#N/A</v>
      </c>
      <c r="P118" s="9" t="e">
        <f ca="1">IF(ISERROR(O118),MATCH(H118,'B2'!K:K,0),O118)</f>
        <v>#N/A</v>
      </c>
      <c r="Q118" s="9">
        <f ca="1">IF(ISERROR(P118),MATCH(I118,'B2'!L:L,0),P118)</f>
        <v>82</v>
      </c>
      <c r="R118" s="9">
        <f ca="1">IF(ISERROR(Q118),MATCH(J118,'B2'!M:M,0),Q118)</f>
        <v>82</v>
      </c>
      <c r="S118" s="9">
        <f t="shared" ca="1" si="25"/>
        <v>0</v>
      </c>
      <c r="T118" s="3" t="e">
        <f ca="1">OFFSET('B2'!$C$1,'B3'!M118-1,0)</f>
        <v>#N/A</v>
      </c>
      <c r="U118" s="3">
        <f ca="1">OFFSET('B2'!$D$1,'B3'!R118-1,0)</f>
        <v>8.3006944444444439E-3</v>
      </c>
      <c r="V118" s="16">
        <v>1.022800925925926E-2</v>
      </c>
      <c r="W118" s="4">
        <f t="shared" si="27"/>
        <v>38</v>
      </c>
      <c r="X118" s="5" t="e">
        <f t="shared" ca="1" si="28"/>
        <v>#N/A</v>
      </c>
      <c r="Y118" s="5" t="e">
        <f t="shared" ca="1" si="29"/>
        <v>#N/A</v>
      </c>
      <c r="Z118" s="6" t="e">
        <f t="shared" ca="1" si="30"/>
        <v>#N/A</v>
      </c>
      <c r="AA118" s="12">
        <v>1.360763888888889E-2</v>
      </c>
      <c r="AE118" s="3" t="b">
        <f t="shared" si="33"/>
        <v>0</v>
      </c>
      <c r="AG118" s="15"/>
    </row>
    <row r="119" spans="1:33" x14ac:dyDescent="0.3">
      <c r="A119" t="s">
        <v>840</v>
      </c>
    </row>
    <row r="120" spans="1:33" x14ac:dyDescent="0.3">
      <c r="A120" t="s">
        <v>841</v>
      </c>
      <c r="X120" s="3" t="e">
        <f ca="1">SUM(X1:X118)</f>
        <v>#N/A</v>
      </c>
      <c r="Y120" s="3" t="e">
        <f ca="1">SUM(Y1:Y118)</f>
        <v>#N/A</v>
      </c>
      <c r="Z120" s="7" t="e">
        <f ca="1">SUM(Z1:Z118)</f>
        <v>#N/A</v>
      </c>
      <c r="AB120" s="7">
        <f>SUM(AB1:AB118)</f>
        <v>1.3387731481481483E-2</v>
      </c>
      <c r="AD120" s="14">
        <f>SUM(AD1:AD118)</f>
        <v>279.66000000000003</v>
      </c>
    </row>
    <row r="121" spans="1:33" x14ac:dyDescent="0.3">
      <c r="A121" t="s">
        <v>842</v>
      </c>
      <c r="AD121" s="17"/>
    </row>
    <row r="122" spans="1:33" x14ac:dyDescent="0.3">
      <c r="A122" t="s">
        <v>843</v>
      </c>
    </row>
    <row r="123" spans="1:33" x14ac:dyDescent="0.3">
      <c r="A123" t="s">
        <v>844</v>
      </c>
    </row>
    <row r="124" spans="1:33" x14ac:dyDescent="0.3">
      <c r="A124" t="s">
        <v>845</v>
      </c>
    </row>
    <row r="125" spans="1:33" x14ac:dyDescent="0.3">
      <c r="A125" t="s">
        <v>846</v>
      </c>
    </row>
    <row r="126" spans="1:33" x14ac:dyDescent="0.3">
      <c r="A126" t="s">
        <v>847</v>
      </c>
    </row>
    <row r="127" spans="1:33" x14ac:dyDescent="0.3">
      <c r="A127" t="s">
        <v>848</v>
      </c>
    </row>
    <row r="128" spans="1:33" x14ac:dyDescent="0.3">
      <c r="A128" t="s">
        <v>849</v>
      </c>
    </row>
    <row r="129" spans="1:1" x14ac:dyDescent="0.3">
      <c r="A129" t="s">
        <v>850</v>
      </c>
    </row>
    <row r="130" spans="1:1" x14ac:dyDescent="0.3">
      <c r="A130" t="s">
        <v>851</v>
      </c>
    </row>
    <row r="131" spans="1:1" x14ac:dyDescent="0.3">
      <c r="A131" t="s">
        <v>852</v>
      </c>
    </row>
    <row r="132" spans="1:1" x14ac:dyDescent="0.3">
      <c r="A132" t="s">
        <v>853</v>
      </c>
    </row>
    <row r="133" spans="1:1" x14ac:dyDescent="0.3">
      <c r="A133" t="s">
        <v>854</v>
      </c>
    </row>
    <row r="134" spans="1:1" x14ac:dyDescent="0.3">
      <c r="A134" t="s">
        <v>855</v>
      </c>
    </row>
    <row r="135" spans="1:1" x14ac:dyDescent="0.3">
      <c r="A135" t="s">
        <v>856</v>
      </c>
    </row>
    <row r="136" spans="1:1" x14ac:dyDescent="0.3">
      <c r="A136" t="s">
        <v>857</v>
      </c>
    </row>
    <row r="137" spans="1:1" x14ac:dyDescent="0.3">
      <c r="A137" t="s">
        <v>858</v>
      </c>
    </row>
    <row r="138" spans="1:1" x14ac:dyDescent="0.3">
      <c r="A138" t="s">
        <v>859</v>
      </c>
    </row>
    <row r="139" spans="1:1" x14ac:dyDescent="0.3">
      <c r="A139" t="s">
        <v>860</v>
      </c>
    </row>
    <row r="140" spans="1:1" x14ac:dyDescent="0.3">
      <c r="A140" t="s">
        <v>861</v>
      </c>
    </row>
    <row r="141" spans="1:1" x14ac:dyDescent="0.3">
      <c r="A141" t="s">
        <v>862</v>
      </c>
    </row>
    <row r="142" spans="1:1" x14ac:dyDescent="0.3">
      <c r="A142" t="s">
        <v>863</v>
      </c>
    </row>
    <row r="143" spans="1:1" x14ac:dyDescent="0.3">
      <c r="A143" t="s">
        <v>864</v>
      </c>
    </row>
    <row r="144" spans="1:1" x14ac:dyDescent="0.3">
      <c r="A144" t="s">
        <v>865</v>
      </c>
    </row>
    <row r="145" spans="1:1" x14ac:dyDescent="0.3">
      <c r="A145" t="s">
        <v>866</v>
      </c>
    </row>
    <row r="146" spans="1:1" x14ac:dyDescent="0.3">
      <c r="A146" t="s">
        <v>867</v>
      </c>
    </row>
    <row r="147" spans="1:1" x14ac:dyDescent="0.3">
      <c r="A147" t="s">
        <v>868</v>
      </c>
    </row>
    <row r="148" spans="1:1" x14ac:dyDescent="0.3">
      <c r="A148" t="s">
        <v>869</v>
      </c>
    </row>
    <row r="149" spans="1:1" x14ac:dyDescent="0.3">
      <c r="A149" t="s">
        <v>870</v>
      </c>
    </row>
    <row r="150" spans="1:1" x14ac:dyDescent="0.3">
      <c r="A150" t="s">
        <v>871</v>
      </c>
    </row>
    <row r="151" spans="1:1" x14ac:dyDescent="0.3">
      <c r="A151" t="s">
        <v>872</v>
      </c>
    </row>
    <row r="152" spans="1:1" x14ac:dyDescent="0.3">
      <c r="A152" t="s">
        <v>873</v>
      </c>
    </row>
    <row r="153" spans="1:1" x14ac:dyDescent="0.3">
      <c r="A153" t="s">
        <v>874</v>
      </c>
    </row>
    <row r="154" spans="1:1" x14ac:dyDescent="0.3">
      <c r="A154" t="s">
        <v>875</v>
      </c>
    </row>
    <row r="155" spans="1:1" x14ac:dyDescent="0.3">
      <c r="A155" t="s">
        <v>876</v>
      </c>
    </row>
    <row r="156" spans="1:1" x14ac:dyDescent="0.3">
      <c r="A156" t="s">
        <v>877</v>
      </c>
    </row>
    <row r="157" spans="1:1" x14ac:dyDescent="0.3">
      <c r="A157" t="s">
        <v>878</v>
      </c>
    </row>
    <row r="158" spans="1:1" x14ac:dyDescent="0.3">
      <c r="A158" t="s">
        <v>879</v>
      </c>
    </row>
    <row r="159" spans="1:1" x14ac:dyDescent="0.3">
      <c r="A159" t="s">
        <v>880</v>
      </c>
    </row>
    <row r="160" spans="1:1" x14ac:dyDescent="0.3">
      <c r="A160" t="s">
        <v>881</v>
      </c>
    </row>
    <row r="161" spans="1:1" x14ac:dyDescent="0.3">
      <c r="A161" t="s">
        <v>882</v>
      </c>
    </row>
    <row r="162" spans="1:1" x14ac:dyDescent="0.3">
      <c r="A162" t="s">
        <v>883</v>
      </c>
    </row>
    <row r="163" spans="1:1" x14ac:dyDescent="0.3">
      <c r="A163" t="s">
        <v>884</v>
      </c>
    </row>
    <row r="164" spans="1:1" x14ac:dyDescent="0.3">
      <c r="A164" t="s">
        <v>885</v>
      </c>
    </row>
    <row r="165" spans="1:1" x14ac:dyDescent="0.3">
      <c r="A165" t="s">
        <v>886</v>
      </c>
    </row>
    <row r="166" spans="1:1" x14ac:dyDescent="0.3">
      <c r="A166" t="s">
        <v>887</v>
      </c>
    </row>
    <row r="167" spans="1:1" x14ac:dyDescent="0.3">
      <c r="A167" t="s">
        <v>888</v>
      </c>
    </row>
    <row r="168" spans="1:1" x14ac:dyDescent="0.3">
      <c r="A168" t="s">
        <v>889</v>
      </c>
    </row>
    <row r="169" spans="1:1" x14ac:dyDescent="0.3">
      <c r="A169" t="s">
        <v>890</v>
      </c>
    </row>
    <row r="170" spans="1:1" x14ac:dyDescent="0.3">
      <c r="A170" t="s">
        <v>891</v>
      </c>
    </row>
    <row r="171" spans="1:1" x14ac:dyDescent="0.3">
      <c r="A171" t="s">
        <v>892</v>
      </c>
    </row>
    <row r="172" spans="1:1" x14ac:dyDescent="0.3">
      <c r="A172" t="s">
        <v>893</v>
      </c>
    </row>
    <row r="173" spans="1:1" x14ac:dyDescent="0.3">
      <c r="A173" t="s">
        <v>894</v>
      </c>
    </row>
    <row r="174" spans="1:1" x14ac:dyDescent="0.3">
      <c r="A174" t="s">
        <v>895</v>
      </c>
    </row>
    <row r="175" spans="1:1" x14ac:dyDescent="0.3">
      <c r="A175" t="s">
        <v>896</v>
      </c>
    </row>
    <row r="176" spans="1:1" x14ac:dyDescent="0.3">
      <c r="A176" t="s">
        <v>897</v>
      </c>
    </row>
    <row r="177" spans="1:1" x14ac:dyDescent="0.3">
      <c r="A177" t="s">
        <v>898</v>
      </c>
    </row>
    <row r="178" spans="1:1" x14ac:dyDescent="0.3">
      <c r="A178" t="s">
        <v>899</v>
      </c>
    </row>
    <row r="179" spans="1:1" x14ac:dyDescent="0.3">
      <c r="A179" t="s">
        <v>900</v>
      </c>
    </row>
    <row r="180" spans="1:1" x14ac:dyDescent="0.3">
      <c r="A180" t="s">
        <v>901</v>
      </c>
    </row>
    <row r="181" spans="1:1" x14ac:dyDescent="0.3">
      <c r="A181" t="s">
        <v>902</v>
      </c>
    </row>
    <row r="182" spans="1:1" x14ac:dyDescent="0.3">
      <c r="A182" t="s">
        <v>903</v>
      </c>
    </row>
    <row r="183" spans="1:1" x14ac:dyDescent="0.3">
      <c r="A183" t="s">
        <v>904</v>
      </c>
    </row>
    <row r="184" spans="1:1" x14ac:dyDescent="0.3">
      <c r="A184" t="s">
        <v>905</v>
      </c>
    </row>
    <row r="185" spans="1:1" x14ac:dyDescent="0.3">
      <c r="A185" t="s">
        <v>906</v>
      </c>
    </row>
    <row r="186" spans="1:1" x14ac:dyDescent="0.3">
      <c r="A186" t="s">
        <v>907</v>
      </c>
    </row>
    <row r="187" spans="1:1" x14ac:dyDescent="0.3">
      <c r="A187" t="s">
        <v>908</v>
      </c>
    </row>
    <row r="188" spans="1:1" x14ac:dyDescent="0.3">
      <c r="A188" t="s">
        <v>909</v>
      </c>
    </row>
    <row r="189" spans="1:1" x14ac:dyDescent="0.3">
      <c r="A189" t="s">
        <v>910</v>
      </c>
    </row>
    <row r="190" spans="1:1" x14ac:dyDescent="0.3">
      <c r="A190" t="s">
        <v>911</v>
      </c>
    </row>
    <row r="191" spans="1:1" x14ac:dyDescent="0.3">
      <c r="A191" t="s">
        <v>912</v>
      </c>
    </row>
    <row r="192" spans="1:1" x14ac:dyDescent="0.3">
      <c r="A192" t="s">
        <v>913</v>
      </c>
    </row>
    <row r="193" spans="1:1" x14ac:dyDescent="0.3">
      <c r="A193" t="s">
        <v>914</v>
      </c>
    </row>
    <row r="194" spans="1:1" x14ac:dyDescent="0.3">
      <c r="A194" t="s">
        <v>915</v>
      </c>
    </row>
    <row r="195" spans="1:1" x14ac:dyDescent="0.3">
      <c r="A195" t="s">
        <v>916</v>
      </c>
    </row>
    <row r="196" spans="1:1" x14ac:dyDescent="0.3">
      <c r="A196" t="s">
        <v>917</v>
      </c>
    </row>
    <row r="197" spans="1:1" x14ac:dyDescent="0.3">
      <c r="A197" t="s">
        <v>918</v>
      </c>
    </row>
    <row r="198" spans="1:1" x14ac:dyDescent="0.3">
      <c r="A198" t="s">
        <v>919</v>
      </c>
    </row>
    <row r="199" spans="1:1" x14ac:dyDescent="0.3">
      <c r="A199" t="s">
        <v>920</v>
      </c>
    </row>
    <row r="200" spans="1:1" x14ac:dyDescent="0.3">
      <c r="A200" t="s">
        <v>921</v>
      </c>
    </row>
    <row r="201" spans="1:1" x14ac:dyDescent="0.3">
      <c r="A201" t="s">
        <v>922</v>
      </c>
    </row>
    <row r="202" spans="1:1" x14ac:dyDescent="0.3">
      <c r="A202" t="s">
        <v>923</v>
      </c>
    </row>
    <row r="203" spans="1:1" x14ac:dyDescent="0.3">
      <c r="A203" t="s">
        <v>924</v>
      </c>
    </row>
    <row r="204" spans="1:1" x14ac:dyDescent="0.3">
      <c r="A204" t="s">
        <v>925</v>
      </c>
    </row>
  </sheetData>
  <phoneticPr fontId="1" type="noConversion"/>
  <conditionalFormatting sqref="AD1:AD119 AD121:AD1048576">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8B91-8E7A-4602-831E-9B85FDAADE50}">
  <sheetPr codeName="Sheet4"/>
  <dimension ref="A1:K121"/>
  <sheetViews>
    <sheetView workbookViewId="0">
      <selection activeCell="B2" sqref="B2"/>
    </sheetView>
  </sheetViews>
  <sheetFormatPr defaultRowHeight="14" x14ac:dyDescent="0.3"/>
  <cols>
    <col min="4" max="4" width="9" style="3"/>
    <col min="5" max="5" width="9" style="18"/>
    <col min="7" max="8" width="9" style="18"/>
    <col min="10" max="10" width="9" style="18"/>
  </cols>
  <sheetData>
    <row r="1" spans="1:11" x14ac:dyDescent="0.3">
      <c r="A1" t="s">
        <v>127</v>
      </c>
      <c r="B1" t="s">
        <v>128</v>
      </c>
      <c r="C1" t="s">
        <v>129</v>
      </c>
      <c r="D1" s="3" t="s">
        <v>130</v>
      </c>
      <c r="F1" t="s">
        <v>129</v>
      </c>
    </row>
    <row r="2" spans="1:11" x14ac:dyDescent="0.3">
      <c r="A2">
        <v>1</v>
      </c>
      <c r="B2" s="3">
        <v>0</v>
      </c>
      <c r="C2">
        <v>0</v>
      </c>
      <c r="D2" s="3">
        <v>0</v>
      </c>
      <c r="E2" s="19">
        <f>E1+D2</f>
        <v>0</v>
      </c>
      <c r="F2" s="11">
        <v>0</v>
      </c>
      <c r="G2" s="19">
        <v>0</v>
      </c>
      <c r="H2" s="19">
        <v>2.199074074074074E-4</v>
      </c>
      <c r="I2" s="11">
        <f t="shared" ref="I2:I33" si="0">G2-E2</f>
        <v>0</v>
      </c>
    </row>
    <row r="3" spans="1:11" x14ac:dyDescent="0.3">
      <c r="A3">
        <v>2</v>
      </c>
      <c r="B3" s="3">
        <v>7.9166666666666662E-5</v>
      </c>
      <c r="C3">
        <v>5.86</v>
      </c>
      <c r="D3" s="3">
        <v>7.9166666666666648E-5</v>
      </c>
      <c r="E3" s="19">
        <f t="shared" ref="E3:E66" si="1">E2+D3</f>
        <v>7.9166666666666648E-5</v>
      </c>
      <c r="F3" s="11">
        <v>6.7824074074074084E-5</v>
      </c>
      <c r="G3" s="19">
        <f t="shared" ref="G3:G34" si="2">G2+D3+F3</f>
        <v>1.4699074074074072E-4</v>
      </c>
      <c r="H3" s="19">
        <f t="shared" ref="H3:H66" si="3">H2+D3+F3</f>
        <v>3.6689814814814815E-4</v>
      </c>
      <c r="I3" s="11">
        <f t="shared" si="0"/>
        <v>6.782407407407407E-5</v>
      </c>
      <c r="J3" s="18" t="s">
        <v>82</v>
      </c>
      <c r="K3" t="s">
        <v>131</v>
      </c>
    </row>
    <row r="4" spans="1:11" x14ac:dyDescent="0.3">
      <c r="A4">
        <v>3</v>
      </c>
      <c r="B4" s="3">
        <v>1.4513888888888888E-4</v>
      </c>
      <c r="C4">
        <v>1.5</v>
      </c>
      <c r="D4" s="3">
        <v>6.5972222222222216E-5</v>
      </c>
      <c r="E4" s="19">
        <f t="shared" si="1"/>
        <v>1.4513888888888888E-4</v>
      </c>
      <c r="F4" s="11">
        <v>1.7361111111111111E-5</v>
      </c>
      <c r="G4" s="19">
        <f t="shared" si="2"/>
        <v>2.3032407407407404E-4</v>
      </c>
      <c r="H4" s="19">
        <f t="shared" si="3"/>
        <v>4.5023148148148147E-4</v>
      </c>
      <c r="I4" s="11">
        <f t="shared" si="0"/>
        <v>8.5185185185185158E-5</v>
      </c>
      <c r="J4" s="18" t="s">
        <v>10</v>
      </c>
      <c r="K4" t="s">
        <v>10</v>
      </c>
    </row>
    <row r="5" spans="1:11" x14ac:dyDescent="0.3">
      <c r="A5">
        <v>4</v>
      </c>
      <c r="B5" s="3">
        <v>1.8611111111111112E-4</v>
      </c>
      <c r="C5">
        <v>5.36</v>
      </c>
      <c r="D5" s="3">
        <v>4.0972222222222232E-5</v>
      </c>
      <c r="E5" s="19">
        <f t="shared" si="1"/>
        <v>1.8611111111111112E-4</v>
      </c>
      <c r="F5" s="11">
        <v>6.2037037037037041E-5</v>
      </c>
      <c r="G5" s="19">
        <f t="shared" si="2"/>
        <v>3.3333333333333332E-4</v>
      </c>
      <c r="H5" s="19">
        <f t="shared" si="3"/>
        <v>5.5324074074074065E-4</v>
      </c>
      <c r="I5" s="11">
        <f t="shared" si="0"/>
        <v>1.472222222222222E-4</v>
      </c>
      <c r="J5" s="18" t="s">
        <v>11</v>
      </c>
      <c r="K5" t="s">
        <v>11</v>
      </c>
    </row>
    <row r="6" spans="1:11" x14ac:dyDescent="0.3">
      <c r="A6">
        <v>5</v>
      </c>
      <c r="B6" s="3">
        <v>2.3657407407407405E-4</v>
      </c>
      <c r="C6">
        <v>6.44</v>
      </c>
      <c r="D6" s="3">
        <v>5.0462962962962956E-5</v>
      </c>
      <c r="E6" s="19">
        <f t="shared" si="1"/>
        <v>2.3657407407407408E-4</v>
      </c>
      <c r="F6" s="11">
        <v>7.4537037037037047E-5</v>
      </c>
      <c r="G6" s="19">
        <f t="shared" si="2"/>
        <v>4.5833333333333327E-4</v>
      </c>
      <c r="H6" s="19">
        <f t="shared" si="3"/>
        <v>6.7824074074074065E-4</v>
      </c>
      <c r="I6" s="11">
        <f t="shared" si="0"/>
        <v>2.2175925925925919E-4</v>
      </c>
      <c r="J6" s="18" t="s">
        <v>12</v>
      </c>
      <c r="K6" t="s">
        <v>12</v>
      </c>
    </row>
    <row r="7" spans="1:11" x14ac:dyDescent="0.3">
      <c r="A7">
        <v>6</v>
      </c>
      <c r="B7" s="3">
        <v>3.0740740740740739E-4</v>
      </c>
      <c r="C7">
        <v>0.88</v>
      </c>
      <c r="D7" s="3">
        <v>7.0833333333333352E-5</v>
      </c>
      <c r="E7" s="19">
        <f t="shared" si="1"/>
        <v>3.0740740740740744E-4</v>
      </c>
      <c r="F7" s="11">
        <v>1.0185185185185185E-5</v>
      </c>
      <c r="G7" s="19">
        <f t="shared" si="2"/>
        <v>5.3935185185185184E-4</v>
      </c>
      <c r="H7" s="19">
        <f t="shared" si="3"/>
        <v>7.5925925925925922E-4</v>
      </c>
      <c r="I7" s="11">
        <f t="shared" si="0"/>
        <v>2.319444444444444E-4</v>
      </c>
      <c r="J7" s="18" t="s">
        <v>13</v>
      </c>
      <c r="K7" t="s">
        <v>13</v>
      </c>
    </row>
    <row r="8" spans="1:11" x14ac:dyDescent="0.3">
      <c r="A8">
        <v>7</v>
      </c>
      <c r="B8" s="3">
        <v>3.814814814814815E-4</v>
      </c>
      <c r="C8">
        <v>1.1000000000000001</v>
      </c>
      <c r="D8" s="3">
        <v>7.4074074074074087E-5</v>
      </c>
      <c r="E8" s="19">
        <f t="shared" si="1"/>
        <v>3.8148148148148156E-4</v>
      </c>
      <c r="F8" s="11">
        <v>1.2731481481481482E-5</v>
      </c>
      <c r="G8" s="19">
        <f t="shared" si="2"/>
        <v>6.2615740740740741E-4</v>
      </c>
      <c r="H8" s="19">
        <f t="shared" si="3"/>
        <v>8.4606481481481479E-4</v>
      </c>
      <c r="I8" s="11">
        <f t="shared" si="0"/>
        <v>2.4467592592592585E-4</v>
      </c>
      <c r="J8" s="18" t="s">
        <v>14</v>
      </c>
      <c r="K8" t="s">
        <v>14</v>
      </c>
    </row>
    <row r="9" spans="1:11" x14ac:dyDescent="0.3">
      <c r="A9">
        <v>8</v>
      </c>
      <c r="B9" s="3">
        <v>4.7638888888888893E-4</v>
      </c>
      <c r="C9">
        <v>2.5</v>
      </c>
      <c r="D9" s="3">
        <v>9.4907407407407402E-5</v>
      </c>
      <c r="E9" s="19">
        <f t="shared" si="1"/>
        <v>4.7638888888888893E-4</v>
      </c>
      <c r="F9" s="11">
        <v>2.8935185185185186E-5</v>
      </c>
      <c r="G9" s="19">
        <f t="shared" si="2"/>
        <v>7.5000000000000002E-4</v>
      </c>
      <c r="H9" s="19">
        <f t="shared" si="3"/>
        <v>9.6990740740740739E-4</v>
      </c>
      <c r="I9" s="11">
        <f t="shared" si="0"/>
        <v>2.7361111111111108E-4</v>
      </c>
      <c r="J9" s="18" t="s">
        <v>15</v>
      </c>
      <c r="K9" t="s">
        <v>15</v>
      </c>
    </row>
    <row r="10" spans="1:11" x14ac:dyDescent="0.3">
      <c r="A10">
        <v>9</v>
      </c>
      <c r="B10" s="3">
        <v>6.0462962962962966E-4</v>
      </c>
      <c r="C10">
        <v>1.62</v>
      </c>
      <c r="D10" s="3">
        <v>1.2824074074074075E-4</v>
      </c>
      <c r="E10" s="19">
        <f t="shared" si="1"/>
        <v>6.0462962962962966E-4</v>
      </c>
      <c r="F10" s="11">
        <v>1.8750000000000002E-5</v>
      </c>
      <c r="G10" s="19">
        <f t="shared" si="2"/>
        <v>8.9699074074074073E-4</v>
      </c>
      <c r="H10" s="19">
        <f t="shared" si="3"/>
        <v>1.1168981481481483E-3</v>
      </c>
      <c r="I10" s="11">
        <f t="shared" si="0"/>
        <v>2.9236111111111108E-4</v>
      </c>
      <c r="J10" s="18" t="s">
        <v>83</v>
      </c>
      <c r="K10" t="s">
        <v>132</v>
      </c>
    </row>
    <row r="11" spans="1:11" x14ac:dyDescent="0.3">
      <c r="A11">
        <v>10</v>
      </c>
      <c r="B11" s="3">
        <v>7.3657407407407406E-4</v>
      </c>
      <c r="C11">
        <v>1.6</v>
      </c>
      <c r="D11" s="3">
        <v>1.3194444444444441E-4</v>
      </c>
      <c r="E11" s="19">
        <f t="shared" si="1"/>
        <v>7.3657407407407406E-4</v>
      </c>
      <c r="F11" s="11">
        <v>1.8518518518518518E-5</v>
      </c>
      <c r="G11" s="19">
        <f t="shared" si="2"/>
        <v>1.0474537037037039E-3</v>
      </c>
      <c r="H11" s="19">
        <f t="shared" si="3"/>
        <v>1.2673611111111112E-3</v>
      </c>
      <c r="I11" s="11">
        <f t="shared" si="0"/>
        <v>3.1087962962962981E-4</v>
      </c>
      <c r="J11" s="18" t="s">
        <v>84</v>
      </c>
      <c r="K11" t="s">
        <v>133</v>
      </c>
    </row>
    <row r="12" spans="1:11" x14ac:dyDescent="0.3">
      <c r="A12">
        <v>11</v>
      </c>
      <c r="B12" s="3">
        <v>8.6273148148148147E-4</v>
      </c>
      <c r="C12">
        <v>1.63</v>
      </c>
      <c r="D12" s="3">
        <v>1.2615740740740746E-4</v>
      </c>
      <c r="E12" s="19">
        <f t="shared" si="1"/>
        <v>8.6273148148148147E-4</v>
      </c>
      <c r="F12" s="11">
        <v>1.8865740740740738E-5</v>
      </c>
      <c r="G12" s="19">
        <f t="shared" si="2"/>
        <v>1.1924768518518521E-3</v>
      </c>
      <c r="H12" s="19">
        <f t="shared" si="3"/>
        <v>1.4123842592592595E-3</v>
      </c>
      <c r="I12" s="11">
        <f t="shared" si="0"/>
        <v>3.2974537037037065E-4</v>
      </c>
      <c r="J12" s="18" t="s">
        <v>85</v>
      </c>
      <c r="K12" t="s">
        <v>134</v>
      </c>
    </row>
    <row r="13" spans="1:11" x14ac:dyDescent="0.3">
      <c r="A13">
        <v>12</v>
      </c>
      <c r="B13" s="3">
        <v>1.0055555555555555E-3</v>
      </c>
      <c r="C13">
        <v>1.26</v>
      </c>
      <c r="D13" s="3">
        <v>1.4282407407407402E-4</v>
      </c>
      <c r="E13" s="19">
        <f t="shared" si="1"/>
        <v>1.0055555555555555E-3</v>
      </c>
      <c r="F13" s="11">
        <v>1.4583333333333333E-5</v>
      </c>
      <c r="G13" s="19">
        <f t="shared" si="2"/>
        <v>1.3498842592592594E-3</v>
      </c>
      <c r="H13" s="19">
        <f t="shared" si="3"/>
        <v>1.5697916666666668E-3</v>
      </c>
      <c r="I13" s="11">
        <f t="shared" si="0"/>
        <v>3.443287037037039E-4</v>
      </c>
      <c r="J13" s="18" t="s">
        <v>86</v>
      </c>
      <c r="K13" t="s">
        <v>135</v>
      </c>
    </row>
    <row r="14" spans="1:11" x14ac:dyDescent="0.3">
      <c r="A14">
        <v>13</v>
      </c>
      <c r="B14" s="3">
        <v>1.1444444444444445E-3</v>
      </c>
      <c r="C14">
        <v>1.4</v>
      </c>
      <c r="D14" s="3">
        <v>1.3888888888888892E-4</v>
      </c>
      <c r="E14" s="19">
        <f t="shared" si="1"/>
        <v>1.1444444444444445E-3</v>
      </c>
      <c r="F14" s="11">
        <v>1.6203703703703704E-5</v>
      </c>
      <c r="G14" s="19">
        <f t="shared" si="2"/>
        <v>1.504976851851852E-3</v>
      </c>
      <c r="H14" s="19">
        <f t="shared" si="3"/>
        <v>1.7248842592592593E-3</v>
      </c>
      <c r="I14" s="11">
        <f t="shared" si="0"/>
        <v>3.605324074074075E-4</v>
      </c>
      <c r="J14" s="18" t="s">
        <v>87</v>
      </c>
      <c r="K14" t="s">
        <v>136</v>
      </c>
    </row>
    <row r="15" spans="1:11" x14ac:dyDescent="0.3">
      <c r="A15">
        <v>14</v>
      </c>
      <c r="B15" s="3">
        <v>1.1983796296296298E-3</v>
      </c>
      <c r="C15">
        <v>4.74</v>
      </c>
      <c r="D15" s="3">
        <v>5.3935185185185293E-5</v>
      </c>
      <c r="E15" s="19">
        <f t="shared" si="1"/>
        <v>1.1983796296296298E-3</v>
      </c>
      <c r="F15" s="11">
        <v>5.4861111111111111E-5</v>
      </c>
      <c r="G15" s="19">
        <f t="shared" si="2"/>
        <v>1.6137731481481485E-3</v>
      </c>
      <c r="H15" s="19">
        <f t="shared" si="3"/>
        <v>1.8336805555555558E-3</v>
      </c>
      <c r="I15" s="11">
        <f t="shared" si="0"/>
        <v>4.1539351851851872E-4</v>
      </c>
      <c r="J15" s="18" t="s">
        <v>16</v>
      </c>
      <c r="K15" t="s">
        <v>16</v>
      </c>
    </row>
    <row r="16" spans="1:11" x14ac:dyDescent="0.3">
      <c r="A16">
        <v>15</v>
      </c>
      <c r="B16" s="3">
        <v>1.2805555555555556E-3</v>
      </c>
      <c r="C16">
        <v>3.3</v>
      </c>
      <c r="D16" s="3">
        <v>8.2175925925925754E-5</v>
      </c>
      <c r="E16" s="19">
        <f t="shared" si="1"/>
        <v>1.2805555555555556E-3</v>
      </c>
      <c r="F16" s="11">
        <v>3.8194444444444444E-5</v>
      </c>
      <c r="G16" s="19">
        <f t="shared" si="2"/>
        <v>1.7341435185185185E-3</v>
      </c>
      <c r="H16" s="19">
        <f t="shared" si="3"/>
        <v>1.9540509259259259E-3</v>
      </c>
      <c r="I16" s="11">
        <f t="shared" si="0"/>
        <v>4.5358796296296293E-4</v>
      </c>
      <c r="J16" s="18" t="s">
        <v>17</v>
      </c>
      <c r="K16" t="s">
        <v>17</v>
      </c>
    </row>
    <row r="17" spans="1:11" x14ac:dyDescent="0.3">
      <c r="A17">
        <v>16</v>
      </c>
      <c r="B17" s="3">
        <v>1.3694444444444444E-3</v>
      </c>
      <c r="C17">
        <v>1.22</v>
      </c>
      <c r="D17" s="3">
        <v>8.8888888888888893E-5</v>
      </c>
      <c r="E17" s="19">
        <f t="shared" si="1"/>
        <v>1.3694444444444444E-3</v>
      </c>
      <c r="F17" s="11">
        <v>1.412037037037037E-5</v>
      </c>
      <c r="G17" s="19">
        <f t="shared" si="2"/>
        <v>1.8371527777777776E-3</v>
      </c>
      <c r="H17" s="19">
        <f t="shared" si="3"/>
        <v>2.0570601851851852E-3</v>
      </c>
      <c r="I17" s="11">
        <f t="shared" si="0"/>
        <v>4.6770833333333321E-4</v>
      </c>
      <c r="J17" s="18" t="s">
        <v>18</v>
      </c>
      <c r="K17" t="s">
        <v>18</v>
      </c>
    </row>
    <row r="18" spans="1:11" x14ac:dyDescent="0.3">
      <c r="A18">
        <v>17</v>
      </c>
      <c r="B18" s="3">
        <v>1.4379629629629629E-3</v>
      </c>
      <c r="C18">
        <v>1.68</v>
      </c>
      <c r="D18" s="3">
        <v>6.8518518518518538E-5</v>
      </c>
      <c r="E18" s="19">
        <f t="shared" si="1"/>
        <v>1.4379629629629629E-3</v>
      </c>
      <c r="F18" s="11">
        <v>1.9444444444444445E-5</v>
      </c>
      <c r="G18" s="19">
        <f t="shared" si="2"/>
        <v>1.9251157407407407E-3</v>
      </c>
      <c r="H18" s="19">
        <f t="shared" si="3"/>
        <v>2.1450231481481481E-3</v>
      </c>
      <c r="I18" s="11">
        <f t="shared" si="0"/>
        <v>4.8715277777777776E-4</v>
      </c>
      <c r="J18" s="18" t="s">
        <v>19</v>
      </c>
      <c r="K18" t="s">
        <v>19</v>
      </c>
    </row>
    <row r="19" spans="1:11" x14ac:dyDescent="0.3">
      <c r="A19">
        <v>18</v>
      </c>
      <c r="B19" s="3">
        <v>1.5326388888888889E-3</v>
      </c>
      <c r="C19">
        <v>0.92</v>
      </c>
      <c r="D19" s="3">
        <v>9.4675925925925895E-5</v>
      </c>
      <c r="E19" s="19">
        <f t="shared" si="1"/>
        <v>1.5326388888888889E-3</v>
      </c>
      <c r="F19" s="11">
        <v>1.0648148148148148E-5</v>
      </c>
      <c r="G19" s="19">
        <f t="shared" si="2"/>
        <v>2.0304398148148148E-3</v>
      </c>
      <c r="H19" s="19">
        <f t="shared" si="3"/>
        <v>2.2503472222222222E-3</v>
      </c>
      <c r="I19" s="11">
        <f t="shared" si="0"/>
        <v>4.9780092592592584E-4</v>
      </c>
      <c r="J19" s="18" t="s">
        <v>20</v>
      </c>
      <c r="K19" t="s">
        <v>20</v>
      </c>
    </row>
    <row r="20" spans="1:11" x14ac:dyDescent="0.3">
      <c r="A20">
        <v>19</v>
      </c>
      <c r="B20" s="3">
        <v>1.6324074074074075E-3</v>
      </c>
      <c r="C20">
        <v>2.98</v>
      </c>
      <c r="D20" s="3">
        <v>9.9768518518518565E-5</v>
      </c>
      <c r="E20" s="19">
        <f t="shared" si="1"/>
        <v>1.6324074074074075E-3</v>
      </c>
      <c r="F20" s="11">
        <v>3.4490740740740742E-5</v>
      </c>
      <c r="G20" s="19">
        <f t="shared" si="2"/>
        <v>2.1646990740740741E-3</v>
      </c>
      <c r="H20" s="19">
        <f t="shared" si="3"/>
        <v>2.3846064814814815E-3</v>
      </c>
      <c r="I20" s="11">
        <f t="shared" si="0"/>
        <v>5.3229166666666659E-4</v>
      </c>
      <c r="J20" s="18" t="s">
        <v>88</v>
      </c>
      <c r="K20" t="s">
        <v>88</v>
      </c>
    </row>
    <row r="21" spans="1:11" x14ac:dyDescent="0.3">
      <c r="A21">
        <v>20</v>
      </c>
      <c r="B21" s="3">
        <v>1.6664351851851853E-3</v>
      </c>
      <c r="C21">
        <v>1.96</v>
      </c>
      <c r="D21" s="3">
        <v>3.4027777777777897E-5</v>
      </c>
      <c r="E21" s="19">
        <f t="shared" si="1"/>
        <v>1.6664351851851853E-3</v>
      </c>
      <c r="F21" s="11">
        <v>2.2685185185185183E-5</v>
      </c>
      <c r="G21" s="19">
        <f t="shared" si="2"/>
        <v>2.2214120370370369E-3</v>
      </c>
      <c r="H21" s="19">
        <f t="shared" si="3"/>
        <v>2.4413194444444443E-3</v>
      </c>
      <c r="I21" s="11">
        <f t="shared" si="0"/>
        <v>5.5497685185185164E-4</v>
      </c>
      <c r="J21" s="18" t="s">
        <v>21</v>
      </c>
      <c r="K21" t="s">
        <v>21</v>
      </c>
    </row>
    <row r="22" spans="1:11" x14ac:dyDescent="0.3">
      <c r="A22">
        <v>21</v>
      </c>
      <c r="B22" s="3">
        <v>1.7414351851851853E-3</v>
      </c>
      <c r="C22">
        <v>0.62</v>
      </c>
      <c r="D22" s="3">
        <v>7.499999999999998E-5</v>
      </c>
      <c r="E22" s="19">
        <f t="shared" si="1"/>
        <v>1.7414351851851853E-3</v>
      </c>
      <c r="F22" s="11">
        <v>7.1759259259259257E-6</v>
      </c>
      <c r="G22" s="19">
        <f t="shared" si="2"/>
        <v>2.303587962962963E-3</v>
      </c>
      <c r="H22" s="19">
        <f t="shared" si="3"/>
        <v>2.5234953703703704E-3</v>
      </c>
      <c r="I22" s="11">
        <f t="shared" si="0"/>
        <v>5.6215277777777774E-4</v>
      </c>
      <c r="J22" s="18" t="s">
        <v>22</v>
      </c>
      <c r="K22" t="s">
        <v>22</v>
      </c>
    </row>
    <row r="23" spans="1:11" x14ac:dyDescent="0.3">
      <c r="A23">
        <v>22</v>
      </c>
      <c r="B23" s="3">
        <v>1.808101851851852E-3</v>
      </c>
      <c r="C23">
        <v>2.2400000000000002</v>
      </c>
      <c r="D23" s="3">
        <v>6.6666666666666589E-5</v>
      </c>
      <c r="E23" s="19">
        <f t="shared" si="1"/>
        <v>1.808101851851852E-3</v>
      </c>
      <c r="F23" s="11">
        <v>2.5925925925925928E-5</v>
      </c>
      <c r="G23" s="19">
        <f t="shared" si="2"/>
        <v>2.3961805555555555E-3</v>
      </c>
      <c r="H23" s="19">
        <f t="shared" si="3"/>
        <v>2.6160879629629629E-3</v>
      </c>
      <c r="I23" s="11">
        <f t="shared" si="0"/>
        <v>5.8807870370370351E-4</v>
      </c>
      <c r="J23" s="18" t="s">
        <v>89</v>
      </c>
      <c r="K23" t="s">
        <v>89</v>
      </c>
    </row>
    <row r="24" spans="1:11" x14ac:dyDescent="0.3">
      <c r="A24">
        <v>23</v>
      </c>
      <c r="B24" s="3">
        <v>1.9224537037037038E-3</v>
      </c>
      <c r="C24">
        <v>1.82</v>
      </c>
      <c r="D24" s="3">
        <v>1.1435185185185192E-4</v>
      </c>
      <c r="E24" s="19">
        <f t="shared" si="1"/>
        <v>1.922453703703704E-3</v>
      </c>
      <c r="F24" s="11">
        <v>2.1064814814814813E-5</v>
      </c>
      <c r="G24" s="19">
        <f t="shared" si="2"/>
        <v>2.5315972222222224E-3</v>
      </c>
      <c r="H24" s="19">
        <f t="shared" si="3"/>
        <v>2.7515046296296298E-3</v>
      </c>
      <c r="I24" s="11">
        <f t="shared" si="0"/>
        <v>6.0914351851851841E-4</v>
      </c>
      <c r="J24" s="18" t="s">
        <v>23</v>
      </c>
      <c r="K24" t="s">
        <v>23</v>
      </c>
    </row>
    <row r="25" spans="1:11" x14ac:dyDescent="0.3">
      <c r="A25">
        <v>24</v>
      </c>
      <c r="B25" s="3">
        <v>2.0541666666666668E-3</v>
      </c>
      <c r="C25">
        <v>1.79</v>
      </c>
      <c r="D25" s="3">
        <v>1.3171296296296303E-4</v>
      </c>
      <c r="E25" s="19">
        <f t="shared" si="1"/>
        <v>2.0541666666666668E-3</v>
      </c>
      <c r="F25" s="11">
        <v>2.0717592592592593E-5</v>
      </c>
      <c r="G25" s="19">
        <f t="shared" si="2"/>
        <v>2.6840277777777778E-3</v>
      </c>
      <c r="H25" s="19">
        <f t="shared" si="3"/>
        <v>2.9039351851851852E-3</v>
      </c>
      <c r="I25" s="11">
        <f t="shared" si="0"/>
        <v>6.2986111111111099E-4</v>
      </c>
      <c r="J25" s="18" t="s">
        <v>90</v>
      </c>
      <c r="K25" t="s">
        <v>137</v>
      </c>
    </row>
    <row r="26" spans="1:11" x14ac:dyDescent="0.3">
      <c r="A26">
        <v>25</v>
      </c>
      <c r="B26" s="3">
        <v>2.126851851851852E-3</v>
      </c>
      <c r="C26">
        <v>3.45</v>
      </c>
      <c r="D26" s="3">
        <v>7.2685185185185179E-5</v>
      </c>
      <c r="E26" s="19">
        <f t="shared" si="1"/>
        <v>2.126851851851852E-3</v>
      </c>
      <c r="F26" s="11">
        <v>3.9930555555555558E-5</v>
      </c>
      <c r="G26" s="19">
        <f t="shared" si="2"/>
        <v>2.7966435185185186E-3</v>
      </c>
      <c r="H26" s="19">
        <f t="shared" si="3"/>
        <v>3.016550925925926E-3</v>
      </c>
      <c r="I26" s="11">
        <f t="shared" si="0"/>
        <v>6.6979166666666663E-4</v>
      </c>
      <c r="J26" s="18" t="s">
        <v>91</v>
      </c>
      <c r="K26" t="s">
        <v>91</v>
      </c>
    </row>
    <row r="27" spans="1:11" x14ac:dyDescent="0.3">
      <c r="A27">
        <v>26</v>
      </c>
      <c r="B27" s="3">
        <v>2.2099537037037036E-3</v>
      </c>
      <c r="C27">
        <v>1.82</v>
      </c>
      <c r="D27" s="3">
        <v>8.3101851851851783E-5</v>
      </c>
      <c r="E27" s="19">
        <f t="shared" si="1"/>
        <v>2.2099537037037036E-3</v>
      </c>
      <c r="F27" s="11">
        <v>2.1064814814814813E-5</v>
      </c>
      <c r="G27" s="19">
        <f t="shared" si="2"/>
        <v>2.9008101851851851E-3</v>
      </c>
      <c r="H27" s="19">
        <f t="shared" si="3"/>
        <v>3.1207175925925925E-3</v>
      </c>
      <c r="I27" s="11">
        <f t="shared" si="0"/>
        <v>6.9085648148148153E-4</v>
      </c>
      <c r="J27" s="18" t="s">
        <v>92</v>
      </c>
      <c r="K27" t="s">
        <v>138</v>
      </c>
    </row>
    <row r="28" spans="1:11" x14ac:dyDescent="0.3">
      <c r="A28">
        <v>27</v>
      </c>
      <c r="B28" s="3">
        <v>2.3194444444444443E-3</v>
      </c>
      <c r="C28">
        <v>0.94</v>
      </c>
      <c r="D28" s="3">
        <v>1.0949074074074073E-4</v>
      </c>
      <c r="E28" s="19">
        <f t="shared" si="1"/>
        <v>2.3194444444444443E-3</v>
      </c>
      <c r="F28" s="11">
        <v>1.0879629629629628E-5</v>
      </c>
      <c r="G28" s="19">
        <f t="shared" si="2"/>
        <v>3.0211805555555556E-3</v>
      </c>
      <c r="H28" s="19">
        <f t="shared" si="3"/>
        <v>3.241087962962963E-3</v>
      </c>
      <c r="I28" s="11">
        <f t="shared" si="0"/>
        <v>7.0173611111111131E-4</v>
      </c>
      <c r="J28" s="18" t="s">
        <v>24</v>
      </c>
      <c r="K28" t="s">
        <v>24</v>
      </c>
    </row>
    <row r="29" spans="1:11" x14ac:dyDescent="0.3">
      <c r="A29">
        <v>28</v>
      </c>
      <c r="B29" s="3">
        <v>2.4129629629629627E-3</v>
      </c>
      <c r="C29">
        <v>1.32</v>
      </c>
      <c r="D29" s="3">
        <v>9.351851851851817E-5</v>
      </c>
      <c r="E29" s="19">
        <f t="shared" si="1"/>
        <v>2.4129629629629622E-3</v>
      </c>
      <c r="F29" s="11">
        <v>1.5277777777777777E-5</v>
      </c>
      <c r="G29" s="19">
        <f t="shared" si="2"/>
        <v>3.1299768518518512E-3</v>
      </c>
      <c r="H29" s="19">
        <f t="shared" si="3"/>
        <v>3.3498842592592586E-3</v>
      </c>
      <c r="I29" s="11">
        <f t="shared" si="0"/>
        <v>7.17013888888889E-4</v>
      </c>
      <c r="J29" s="18" t="s">
        <v>93</v>
      </c>
      <c r="K29" t="s">
        <v>93</v>
      </c>
    </row>
    <row r="30" spans="1:11" x14ac:dyDescent="0.3">
      <c r="A30">
        <v>29</v>
      </c>
      <c r="B30" s="3">
        <v>2.457638888888889E-3</v>
      </c>
      <c r="C30">
        <v>2.34</v>
      </c>
      <c r="D30" s="3">
        <v>4.4675925925926306E-5</v>
      </c>
      <c r="E30" s="19">
        <f t="shared" si="1"/>
        <v>2.4576388888888885E-3</v>
      </c>
      <c r="F30" s="11">
        <v>2.7083333333333332E-5</v>
      </c>
      <c r="G30" s="19">
        <f t="shared" si="2"/>
        <v>3.2017361111111109E-3</v>
      </c>
      <c r="H30" s="19">
        <f t="shared" si="3"/>
        <v>3.4216435185185183E-3</v>
      </c>
      <c r="I30" s="11">
        <f t="shared" si="0"/>
        <v>7.4409722222222238E-4</v>
      </c>
      <c r="J30" s="18" t="s">
        <v>25</v>
      </c>
      <c r="K30" t="s">
        <v>25</v>
      </c>
    </row>
    <row r="31" spans="1:11" x14ac:dyDescent="0.3">
      <c r="A31">
        <v>30</v>
      </c>
      <c r="B31" s="3">
        <v>2.5384259259259262E-3</v>
      </c>
      <c r="C31">
        <v>2.02</v>
      </c>
      <c r="D31" s="3">
        <v>8.0787037037037199E-5</v>
      </c>
      <c r="E31" s="19">
        <f t="shared" si="1"/>
        <v>2.5384259259259257E-3</v>
      </c>
      <c r="F31" s="11">
        <v>2.337962962962963E-5</v>
      </c>
      <c r="G31" s="19">
        <f t="shared" si="2"/>
        <v>3.3059027777777778E-3</v>
      </c>
      <c r="H31" s="19">
        <f t="shared" si="3"/>
        <v>3.5258101851851852E-3</v>
      </c>
      <c r="I31" s="11">
        <f t="shared" si="0"/>
        <v>7.6747685185185209E-4</v>
      </c>
      <c r="J31" s="18" t="s">
        <v>26</v>
      </c>
      <c r="K31" t="s">
        <v>26</v>
      </c>
    </row>
    <row r="32" spans="1:11" x14ac:dyDescent="0.3">
      <c r="A32">
        <v>31</v>
      </c>
      <c r="B32" s="3">
        <v>2.6171296296296294E-3</v>
      </c>
      <c r="C32">
        <v>1.4</v>
      </c>
      <c r="D32" s="3">
        <v>7.8703703703703227E-5</v>
      </c>
      <c r="E32" s="19">
        <f t="shared" si="1"/>
        <v>2.617129629629629E-3</v>
      </c>
      <c r="F32" s="11">
        <v>1.6203703703703704E-5</v>
      </c>
      <c r="G32" s="19">
        <f t="shared" si="2"/>
        <v>3.4008101851851847E-3</v>
      </c>
      <c r="H32" s="19">
        <f t="shared" si="3"/>
        <v>3.620717592592592E-3</v>
      </c>
      <c r="I32" s="11">
        <f t="shared" si="0"/>
        <v>7.8368055555555569E-4</v>
      </c>
      <c r="J32" s="18" t="s">
        <v>94</v>
      </c>
      <c r="K32" t="s">
        <v>139</v>
      </c>
    </row>
    <row r="33" spans="1:11" x14ac:dyDescent="0.3">
      <c r="A33">
        <v>32</v>
      </c>
      <c r="B33" s="3">
        <v>2.6877314814814815E-3</v>
      </c>
      <c r="C33">
        <v>1.3</v>
      </c>
      <c r="D33" s="3">
        <v>7.0601851851852075E-5</v>
      </c>
      <c r="E33" s="19">
        <f t="shared" si="1"/>
        <v>2.687731481481481E-3</v>
      </c>
      <c r="F33" s="11">
        <v>1.5046296296296297E-5</v>
      </c>
      <c r="G33" s="19">
        <f t="shared" si="2"/>
        <v>3.4864583333333332E-3</v>
      </c>
      <c r="H33" s="19">
        <f t="shared" si="3"/>
        <v>3.7063657407407405E-3</v>
      </c>
      <c r="I33" s="11">
        <f t="shared" si="0"/>
        <v>7.9872685185185211E-4</v>
      </c>
      <c r="J33" s="18" t="s">
        <v>27</v>
      </c>
      <c r="K33" t="s">
        <v>27</v>
      </c>
    </row>
    <row r="34" spans="1:11" x14ac:dyDescent="0.3">
      <c r="A34">
        <v>33</v>
      </c>
      <c r="B34" s="3">
        <v>2.7578703703703706E-3</v>
      </c>
      <c r="C34">
        <v>1.1399999999999999</v>
      </c>
      <c r="D34" s="3">
        <v>7.0138888888888898E-5</v>
      </c>
      <c r="E34" s="19">
        <f t="shared" si="1"/>
        <v>2.7578703703703697E-3</v>
      </c>
      <c r="F34" s="11">
        <v>1.3194444444444446E-5</v>
      </c>
      <c r="G34" s="19">
        <f t="shared" si="2"/>
        <v>3.5697916666666669E-3</v>
      </c>
      <c r="H34" s="19">
        <f t="shared" si="3"/>
        <v>3.7896990740740742E-3</v>
      </c>
      <c r="I34" s="11">
        <f t="shared" ref="I34:I65" si="4">G34-E34</f>
        <v>8.1192129629629713E-4</v>
      </c>
      <c r="J34" s="18" t="s">
        <v>95</v>
      </c>
      <c r="K34" t="s">
        <v>95</v>
      </c>
    </row>
    <row r="35" spans="1:11" x14ac:dyDescent="0.3">
      <c r="A35">
        <v>34</v>
      </c>
      <c r="B35" s="3">
        <v>2.8284722222222227E-3</v>
      </c>
      <c r="C35">
        <v>2.4</v>
      </c>
      <c r="D35" s="3">
        <v>7.0601851851852075E-5</v>
      </c>
      <c r="E35" s="19">
        <f t="shared" si="1"/>
        <v>2.8284722222222218E-3</v>
      </c>
      <c r="F35" s="11">
        <v>2.7777777777777776E-5</v>
      </c>
      <c r="G35" s="19">
        <f t="shared" ref="G35:G66" si="5">G34+D35+F35</f>
        <v>3.6681712962962965E-3</v>
      </c>
      <c r="H35" s="19">
        <f t="shared" si="3"/>
        <v>3.8880787037037039E-3</v>
      </c>
      <c r="I35" s="11">
        <f t="shared" si="4"/>
        <v>8.3969907407407474E-4</v>
      </c>
      <c r="J35" s="18" t="s">
        <v>28</v>
      </c>
      <c r="K35" t="s">
        <v>28</v>
      </c>
    </row>
    <row r="36" spans="1:11" x14ac:dyDescent="0.3">
      <c r="A36">
        <v>35</v>
      </c>
      <c r="B36" s="3">
        <v>2.8703703703703703E-3</v>
      </c>
      <c r="C36">
        <v>2.08</v>
      </c>
      <c r="D36" s="3">
        <v>4.1898148148147895E-5</v>
      </c>
      <c r="E36" s="19">
        <f t="shared" si="1"/>
        <v>2.8703703703703695E-3</v>
      </c>
      <c r="F36" s="11">
        <v>2.4074074074074074E-5</v>
      </c>
      <c r="G36" s="19">
        <f t="shared" si="5"/>
        <v>3.7341435185185186E-3</v>
      </c>
      <c r="H36" s="19">
        <f t="shared" si="3"/>
        <v>3.954050925925926E-3</v>
      </c>
      <c r="I36" s="11">
        <f t="shared" si="4"/>
        <v>8.637731481481491E-4</v>
      </c>
      <c r="J36" s="18" t="s">
        <v>96</v>
      </c>
      <c r="K36" t="s">
        <v>96</v>
      </c>
    </row>
    <row r="37" spans="1:11" x14ac:dyDescent="0.3">
      <c r="A37">
        <v>36</v>
      </c>
      <c r="B37" s="3">
        <v>2.8932870370370371E-3</v>
      </c>
      <c r="C37">
        <v>1.42</v>
      </c>
      <c r="D37" s="3">
        <v>2.2916666666666745E-5</v>
      </c>
      <c r="E37" s="19">
        <f t="shared" si="1"/>
        <v>2.8932870370370362E-3</v>
      </c>
      <c r="F37" s="11">
        <v>1.6435185185185184E-5</v>
      </c>
      <c r="G37" s="19">
        <f t="shared" si="5"/>
        <v>3.7734953703703706E-3</v>
      </c>
      <c r="H37" s="19">
        <f t="shared" si="3"/>
        <v>3.993402777777778E-3</v>
      </c>
      <c r="I37" s="11">
        <f t="shared" si="4"/>
        <v>8.802083333333344E-4</v>
      </c>
      <c r="J37" s="18" t="s">
        <v>97</v>
      </c>
      <c r="K37" t="s">
        <v>97</v>
      </c>
    </row>
    <row r="38" spans="1:11" x14ac:dyDescent="0.3">
      <c r="A38">
        <v>37</v>
      </c>
      <c r="B38" s="3">
        <v>2.9706018518518519E-3</v>
      </c>
      <c r="C38">
        <v>1.92</v>
      </c>
      <c r="D38" s="3">
        <v>7.7314814814814781E-5</v>
      </c>
      <c r="E38" s="19">
        <f t="shared" si="1"/>
        <v>2.970601851851851E-3</v>
      </c>
      <c r="F38" s="11">
        <v>2.222222222222222E-5</v>
      </c>
      <c r="G38" s="19">
        <f t="shared" si="5"/>
        <v>3.8730324074074075E-3</v>
      </c>
      <c r="H38" s="19">
        <f t="shared" si="3"/>
        <v>4.0929398148148149E-3</v>
      </c>
      <c r="I38" s="11">
        <f t="shared" si="4"/>
        <v>9.0243055555555649E-4</v>
      </c>
      <c r="J38" s="18" t="s">
        <v>98</v>
      </c>
      <c r="K38" t="s">
        <v>98</v>
      </c>
    </row>
    <row r="39" spans="1:11" x14ac:dyDescent="0.3">
      <c r="A39">
        <v>38</v>
      </c>
      <c r="B39" s="3">
        <v>3.0423611111111111E-3</v>
      </c>
      <c r="C39">
        <v>1.7</v>
      </c>
      <c r="D39" s="3">
        <v>7.1759259259259476E-5</v>
      </c>
      <c r="E39" s="19">
        <f t="shared" si="1"/>
        <v>3.0423611111111103E-3</v>
      </c>
      <c r="F39" s="11">
        <v>1.9675925925925925E-5</v>
      </c>
      <c r="G39" s="19">
        <f t="shared" si="5"/>
        <v>3.9644675925925923E-3</v>
      </c>
      <c r="H39" s="19">
        <f t="shared" si="3"/>
        <v>4.1843749999999997E-3</v>
      </c>
      <c r="I39" s="11">
        <f t="shared" si="4"/>
        <v>9.2210648148148208E-4</v>
      </c>
      <c r="J39" s="18" t="s">
        <v>99</v>
      </c>
      <c r="K39" t="s">
        <v>99</v>
      </c>
    </row>
    <row r="40" spans="1:11" x14ac:dyDescent="0.3">
      <c r="A40">
        <v>39</v>
      </c>
      <c r="B40" s="3">
        <v>3.0893518518518518E-3</v>
      </c>
      <c r="C40">
        <v>2.94</v>
      </c>
      <c r="D40" s="3">
        <v>4.6990740740740456E-5</v>
      </c>
      <c r="E40" s="19">
        <f t="shared" si="1"/>
        <v>3.0893518518518509E-3</v>
      </c>
      <c r="F40" s="11">
        <v>3.4027777777777775E-5</v>
      </c>
      <c r="G40" s="19">
        <f t="shared" si="5"/>
        <v>4.0454861111111108E-3</v>
      </c>
      <c r="H40" s="19">
        <f t="shared" si="3"/>
        <v>4.2653935185185182E-3</v>
      </c>
      <c r="I40" s="11">
        <f t="shared" si="4"/>
        <v>9.5613425925925987E-4</v>
      </c>
      <c r="J40" s="18" t="s">
        <v>29</v>
      </c>
      <c r="K40" t="s">
        <v>29</v>
      </c>
    </row>
    <row r="41" spans="1:11" x14ac:dyDescent="0.3">
      <c r="A41">
        <v>40</v>
      </c>
      <c r="B41" s="3">
        <v>3.1548611111111109E-3</v>
      </c>
      <c r="C41">
        <v>3.84</v>
      </c>
      <c r="D41" s="3">
        <v>6.5509259259259297E-5</v>
      </c>
      <c r="E41" s="19">
        <f t="shared" si="1"/>
        <v>3.15486111111111E-3</v>
      </c>
      <c r="F41" s="11">
        <v>4.444444444444444E-5</v>
      </c>
      <c r="G41" s="19">
        <f t="shared" si="5"/>
        <v>4.1554398148148141E-3</v>
      </c>
      <c r="H41" s="19">
        <f t="shared" si="3"/>
        <v>4.3753472222222214E-3</v>
      </c>
      <c r="I41" s="11">
        <f t="shared" si="4"/>
        <v>1.000578703703704E-3</v>
      </c>
      <c r="J41" s="18" t="s">
        <v>30</v>
      </c>
      <c r="K41" t="s">
        <v>30</v>
      </c>
    </row>
    <row r="42" spans="1:11" x14ac:dyDescent="0.3">
      <c r="A42">
        <v>41</v>
      </c>
      <c r="B42" s="3">
        <v>3.2555555555555554E-3</v>
      </c>
      <c r="C42">
        <v>1</v>
      </c>
      <c r="D42" s="3">
        <v>1.0069444444444427E-4</v>
      </c>
      <c r="E42" s="19">
        <f t="shared" si="1"/>
        <v>3.2555555555555541E-3</v>
      </c>
      <c r="F42" s="11">
        <v>1.1574074074074073E-5</v>
      </c>
      <c r="G42" s="19">
        <f t="shared" si="5"/>
        <v>4.2677083333333326E-3</v>
      </c>
      <c r="H42" s="19">
        <f t="shared" si="3"/>
        <v>4.4876157407407399E-3</v>
      </c>
      <c r="I42" s="11">
        <f t="shared" si="4"/>
        <v>1.0121527777777785E-3</v>
      </c>
      <c r="J42" s="18" t="s">
        <v>100</v>
      </c>
      <c r="K42" t="s">
        <v>100</v>
      </c>
    </row>
    <row r="43" spans="1:11" x14ac:dyDescent="0.3">
      <c r="A43">
        <v>42</v>
      </c>
      <c r="B43" s="3">
        <v>3.3314814814814813E-3</v>
      </c>
      <c r="C43">
        <v>1.1399999999999999</v>
      </c>
      <c r="D43" s="3">
        <v>7.5925925925926117E-5</v>
      </c>
      <c r="E43" s="19">
        <f t="shared" si="1"/>
        <v>3.3314814814814804E-3</v>
      </c>
      <c r="F43" s="11">
        <v>1.3194444444444446E-5</v>
      </c>
      <c r="G43" s="19">
        <f t="shared" si="5"/>
        <v>4.356828703703703E-3</v>
      </c>
      <c r="H43" s="19">
        <f t="shared" si="3"/>
        <v>4.5767361111111104E-3</v>
      </c>
      <c r="I43" s="11">
        <f t="shared" si="4"/>
        <v>1.0253472222222226E-3</v>
      </c>
      <c r="J43" s="18" t="s">
        <v>101</v>
      </c>
      <c r="K43" t="s">
        <v>101</v>
      </c>
    </row>
    <row r="44" spans="1:11" x14ac:dyDescent="0.3">
      <c r="A44">
        <v>43</v>
      </c>
      <c r="B44" s="3">
        <v>3.4043981481481481E-3</v>
      </c>
      <c r="C44">
        <v>1.4</v>
      </c>
      <c r="D44" s="3">
        <v>7.2916666666666659E-5</v>
      </c>
      <c r="E44" s="19">
        <f t="shared" si="1"/>
        <v>3.4043981481481468E-3</v>
      </c>
      <c r="F44" s="11">
        <v>1.6203703703703704E-5</v>
      </c>
      <c r="G44" s="19">
        <f t="shared" si="5"/>
        <v>4.4459490740740735E-3</v>
      </c>
      <c r="H44" s="19">
        <f t="shared" si="3"/>
        <v>4.6658564814814809E-3</v>
      </c>
      <c r="I44" s="11">
        <f t="shared" si="4"/>
        <v>1.0415509259259267E-3</v>
      </c>
      <c r="J44" s="18" t="s">
        <v>31</v>
      </c>
      <c r="K44" t="s">
        <v>31</v>
      </c>
    </row>
    <row r="45" spans="1:11" x14ac:dyDescent="0.3">
      <c r="A45">
        <v>44</v>
      </c>
      <c r="B45" s="3">
        <v>3.4671296296296299E-3</v>
      </c>
      <c r="C45">
        <v>1.58</v>
      </c>
      <c r="D45" s="3">
        <v>6.2731481481481536E-5</v>
      </c>
      <c r="E45" s="19">
        <f t="shared" si="1"/>
        <v>3.4671296296296282E-3</v>
      </c>
      <c r="F45" s="11">
        <v>1.8287037037037038E-5</v>
      </c>
      <c r="G45" s="19">
        <f t="shared" si="5"/>
        <v>4.526967592592592E-3</v>
      </c>
      <c r="H45" s="19">
        <f t="shared" si="3"/>
        <v>4.7468749999999994E-3</v>
      </c>
      <c r="I45" s="11">
        <f t="shared" si="4"/>
        <v>1.0598379629629638E-3</v>
      </c>
      <c r="J45" s="18" t="s">
        <v>102</v>
      </c>
      <c r="K45" t="s">
        <v>102</v>
      </c>
    </row>
    <row r="46" spans="1:11" x14ac:dyDescent="0.3">
      <c r="A46">
        <v>45</v>
      </c>
      <c r="B46" s="3">
        <v>3.5011574074074077E-3</v>
      </c>
      <c r="C46">
        <v>7.76</v>
      </c>
      <c r="D46" s="3">
        <v>3.4027777777777789E-5</v>
      </c>
      <c r="E46" s="19">
        <f t="shared" si="1"/>
        <v>3.501157407407406E-3</v>
      </c>
      <c r="F46" s="11">
        <v>8.9814814814814813E-5</v>
      </c>
      <c r="G46" s="19">
        <f t="shared" si="5"/>
        <v>4.6508101851851849E-3</v>
      </c>
      <c r="H46" s="19">
        <f t="shared" si="3"/>
        <v>4.8707175925925923E-3</v>
      </c>
      <c r="I46" s="11">
        <f t="shared" si="4"/>
        <v>1.149652777777779E-3</v>
      </c>
      <c r="J46" s="18" t="s">
        <v>2</v>
      </c>
      <c r="K46" t="s">
        <v>2</v>
      </c>
    </row>
    <row r="47" spans="1:11" x14ac:dyDescent="0.3">
      <c r="A47">
        <v>46</v>
      </c>
      <c r="B47" s="3">
        <v>3.5543981481481481E-3</v>
      </c>
      <c r="C47">
        <v>1</v>
      </c>
      <c r="D47" s="3">
        <v>5.3240740740740635E-5</v>
      </c>
      <c r="E47" s="19">
        <f t="shared" si="1"/>
        <v>3.5543981481481468E-3</v>
      </c>
      <c r="F47" s="11">
        <v>1.1574074074074073E-5</v>
      </c>
      <c r="G47" s="19">
        <f t="shared" si="5"/>
        <v>4.7156250000000002E-3</v>
      </c>
      <c r="H47" s="19">
        <f t="shared" si="3"/>
        <v>4.9355324074074076E-3</v>
      </c>
      <c r="I47" s="11">
        <f t="shared" si="4"/>
        <v>1.1612268518518534E-3</v>
      </c>
      <c r="J47" s="18" t="s">
        <v>32</v>
      </c>
      <c r="K47" t="s">
        <v>32</v>
      </c>
    </row>
    <row r="48" spans="1:11" x14ac:dyDescent="0.3">
      <c r="A48">
        <v>47</v>
      </c>
      <c r="B48" s="3">
        <v>3.6129629629629628E-3</v>
      </c>
      <c r="C48">
        <v>4.6399999999999997</v>
      </c>
      <c r="D48" s="3">
        <v>5.8564814814814894E-5</v>
      </c>
      <c r="E48" s="19">
        <f t="shared" si="1"/>
        <v>3.6129629629629619E-3</v>
      </c>
      <c r="F48" s="11">
        <v>5.3703703703703697E-5</v>
      </c>
      <c r="G48" s="19">
        <f t="shared" si="5"/>
        <v>4.8278935185185187E-3</v>
      </c>
      <c r="H48" s="19">
        <f t="shared" si="3"/>
        <v>5.0478009259259261E-3</v>
      </c>
      <c r="I48" s="11">
        <f t="shared" si="4"/>
        <v>1.2149305555555568E-3</v>
      </c>
      <c r="J48" s="18" t="s">
        <v>103</v>
      </c>
      <c r="K48" t="s">
        <v>103</v>
      </c>
    </row>
    <row r="49" spans="1:11" x14ac:dyDescent="0.3">
      <c r="A49">
        <v>48</v>
      </c>
      <c r="B49" s="3">
        <v>3.6574074074074074E-3</v>
      </c>
      <c r="C49">
        <v>2.36</v>
      </c>
      <c r="D49" s="3">
        <v>4.4444444444444392E-5</v>
      </c>
      <c r="E49" s="19">
        <f t="shared" si="1"/>
        <v>3.6574074074074061E-3</v>
      </c>
      <c r="F49" s="11">
        <v>2.7314814814814812E-5</v>
      </c>
      <c r="G49" s="19">
        <f t="shared" si="5"/>
        <v>4.8996527777777779E-3</v>
      </c>
      <c r="H49" s="19">
        <f t="shared" si="3"/>
        <v>5.1195601851851853E-3</v>
      </c>
      <c r="I49" s="11">
        <f t="shared" si="4"/>
        <v>1.2422453703703719E-3</v>
      </c>
      <c r="J49" s="18" t="s">
        <v>104</v>
      </c>
      <c r="K49" t="s">
        <v>3</v>
      </c>
    </row>
    <row r="50" spans="1:11" x14ac:dyDescent="0.3">
      <c r="A50">
        <v>49</v>
      </c>
      <c r="B50" s="3">
        <v>3.7555555555555554E-3</v>
      </c>
      <c r="C50">
        <v>3.82</v>
      </c>
      <c r="D50" s="3">
        <v>9.8148148148147988E-5</v>
      </c>
      <c r="E50" s="19">
        <f t="shared" si="1"/>
        <v>3.7555555555555541E-3</v>
      </c>
      <c r="F50" s="11">
        <v>4.421296296296296E-5</v>
      </c>
      <c r="G50" s="19">
        <f t="shared" si="5"/>
        <v>5.0420138888888893E-3</v>
      </c>
      <c r="H50" s="19">
        <f t="shared" si="3"/>
        <v>5.2619212962962958E-3</v>
      </c>
      <c r="I50" s="11">
        <f t="shared" si="4"/>
        <v>1.2864583333333352E-3</v>
      </c>
      <c r="J50" s="18" t="s">
        <v>105</v>
      </c>
      <c r="K50" t="s">
        <v>140</v>
      </c>
    </row>
    <row r="51" spans="1:11" x14ac:dyDescent="0.3">
      <c r="A51">
        <v>50</v>
      </c>
      <c r="B51" s="3">
        <v>3.8856481481481485E-3</v>
      </c>
      <c r="C51">
        <v>2.2599999999999998</v>
      </c>
      <c r="D51" s="3">
        <v>1.3009259259259289E-4</v>
      </c>
      <c r="E51" s="19">
        <f t="shared" si="1"/>
        <v>3.8856481481481468E-3</v>
      </c>
      <c r="F51" s="11">
        <v>2.6157407407407405E-5</v>
      </c>
      <c r="G51" s="19">
        <f t="shared" si="5"/>
        <v>5.1982638888888894E-3</v>
      </c>
      <c r="H51" s="19">
        <f t="shared" si="3"/>
        <v>5.4181712962962959E-3</v>
      </c>
      <c r="I51" s="11">
        <f t="shared" si="4"/>
        <v>1.3126157407407427E-3</v>
      </c>
      <c r="J51" s="18" t="s">
        <v>33</v>
      </c>
      <c r="K51" t="s">
        <v>33</v>
      </c>
    </row>
    <row r="52" spans="1:11" x14ac:dyDescent="0.3">
      <c r="A52">
        <v>51</v>
      </c>
      <c r="B52" s="3">
        <v>3.9277777777777783E-3</v>
      </c>
      <c r="C52">
        <v>7.86</v>
      </c>
      <c r="D52" s="3">
        <v>4.2129629629629592E-5</v>
      </c>
      <c r="E52" s="19">
        <f t="shared" si="1"/>
        <v>3.9277777777777766E-3</v>
      </c>
      <c r="F52" s="11">
        <v>9.0972222222222227E-5</v>
      </c>
      <c r="G52" s="19">
        <f t="shared" si="5"/>
        <v>5.3313657407407416E-3</v>
      </c>
      <c r="H52" s="19">
        <f t="shared" si="3"/>
        <v>5.5512731481481481E-3</v>
      </c>
      <c r="I52" s="11">
        <f t="shared" si="4"/>
        <v>1.403587962962965E-3</v>
      </c>
      <c r="J52" s="18" t="s">
        <v>34</v>
      </c>
      <c r="K52" t="s">
        <v>34</v>
      </c>
    </row>
    <row r="53" spans="1:11" x14ac:dyDescent="0.3">
      <c r="A53">
        <v>52</v>
      </c>
      <c r="B53" s="3">
        <v>3.977777777777778E-3</v>
      </c>
      <c r="C53">
        <v>9.48</v>
      </c>
      <c r="D53" s="3">
        <v>5.0000000000000131E-5</v>
      </c>
      <c r="E53" s="19">
        <f t="shared" si="1"/>
        <v>3.9777777777777763E-3</v>
      </c>
      <c r="F53" s="11">
        <v>1.0972222222222222E-4</v>
      </c>
      <c r="G53" s="19">
        <f t="shared" si="5"/>
        <v>5.4910879629629641E-3</v>
      </c>
      <c r="H53" s="19">
        <f t="shared" si="3"/>
        <v>5.7109953703703706E-3</v>
      </c>
      <c r="I53" s="11">
        <f t="shared" si="4"/>
        <v>1.5133101851851878E-3</v>
      </c>
      <c r="J53" s="18" t="s">
        <v>35</v>
      </c>
      <c r="K53" t="s">
        <v>35</v>
      </c>
    </row>
    <row r="54" spans="1:11" x14ac:dyDescent="0.3">
      <c r="A54">
        <v>53</v>
      </c>
      <c r="B54" s="3">
        <v>4.0641203703703698E-3</v>
      </c>
      <c r="C54">
        <v>4.1399999999999997</v>
      </c>
      <c r="D54" s="3">
        <v>8.6342592592591853E-5</v>
      </c>
      <c r="E54" s="19">
        <f t="shared" si="1"/>
        <v>4.0641203703703681E-3</v>
      </c>
      <c r="F54" s="11">
        <v>4.7916666666666661E-5</v>
      </c>
      <c r="G54" s="19">
        <f t="shared" si="5"/>
        <v>5.6253472222222226E-3</v>
      </c>
      <c r="H54" s="19">
        <f t="shared" si="3"/>
        <v>5.8452546296296291E-3</v>
      </c>
      <c r="I54" s="11">
        <f t="shared" si="4"/>
        <v>1.5612268518518544E-3</v>
      </c>
      <c r="J54" s="18" t="s">
        <v>106</v>
      </c>
      <c r="K54" t="s">
        <v>141</v>
      </c>
    </row>
    <row r="55" spans="1:11" x14ac:dyDescent="0.3">
      <c r="A55">
        <v>54</v>
      </c>
      <c r="B55" s="3">
        <v>4.1203703703703706E-3</v>
      </c>
      <c r="C55">
        <v>1.17</v>
      </c>
      <c r="D55" s="3">
        <v>5.6250000000000744E-5</v>
      </c>
      <c r="E55" s="19">
        <f t="shared" si="1"/>
        <v>4.1203703703703689E-3</v>
      </c>
      <c r="F55" s="11">
        <v>1.3541666666666666E-5</v>
      </c>
      <c r="G55" s="19">
        <f t="shared" si="5"/>
        <v>5.6951388888888902E-3</v>
      </c>
      <c r="H55" s="19">
        <f t="shared" si="3"/>
        <v>5.9150462962962967E-3</v>
      </c>
      <c r="I55" s="11">
        <f t="shared" si="4"/>
        <v>1.5747685185185213E-3</v>
      </c>
      <c r="J55" s="18" t="s">
        <v>107</v>
      </c>
      <c r="K55" t="s">
        <v>142</v>
      </c>
    </row>
    <row r="56" spans="1:11" x14ac:dyDescent="0.3">
      <c r="A56">
        <v>55</v>
      </c>
      <c r="B56" s="3">
        <v>4.2453703703703707E-3</v>
      </c>
      <c r="C56">
        <v>1.6</v>
      </c>
      <c r="D56" s="3">
        <v>1.2500000000000011E-4</v>
      </c>
      <c r="E56" s="19">
        <f t="shared" si="1"/>
        <v>4.245370370370369E-3</v>
      </c>
      <c r="F56" s="11">
        <v>1.8518518518518518E-5</v>
      </c>
      <c r="G56" s="19">
        <f t="shared" si="5"/>
        <v>5.8386574074074087E-3</v>
      </c>
      <c r="H56" s="19">
        <f t="shared" si="3"/>
        <v>6.0585648148148152E-3</v>
      </c>
      <c r="I56" s="11">
        <f t="shared" si="4"/>
        <v>1.5932870370370398E-3</v>
      </c>
      <c r="J56" s="18" t="s">
        <v>36</v>
      </c>
      <c r="K56" t="s">
        <v>36</v>
      </c>
    </row>
    <row r="57" spans="1:11" x14ac:dyDescent="0.3">
      <c r="A57">
        <v>56</v>
      </c>
      <c r="B57" s="3">
        <v>4.2877314814814809E-3</v>
      </c>
      <c r="C57">
        <v>3.64</v>
      </c>
      <c r="D57" s="3">
        <v>4.2361111111110638E-5</v>
      </c>
      <c r="E57" s="19">
        <f t="shared" si="1"/>
        <v>4.2877314814814792E-3</v>
      </c>
      <c r="F57" s="11">
        <v>4.2129629629629632E-5</v>
      </c>
      <c r="G57" s="19">
        <f t="shared" si="5"/>
        <v>5.9231481481481496E-3</v>
      </c>
      <c r="H57" s="19">
        <f t="shared" si="3"/>
        <v>6.1430555555555561E-3</v>
      </c>
      <c r="I57" s="11">
        <f t="shared" si="4"/>
        <v>1.6354166666666704E-3</v>
      </c>
      <c r="J57" s="18" t="s">
        <v>37</v>
      </c>
      <c r="K57" t="s">
        <v>37</v>
      </c>
    </row>
    <row r="58" spans="1:11" x14ac:dyDescent="0.3">
      <c r="A58">
        <v>57</v>
      </c>
      <c r="B58" s="3">
        <v>4.4053240740740737E-3</v>
      </c>
      <c r="C58">
        <v>1.74</v>
      </c>
      <c r="D58" s="3">
        <v>1.1759259259259275E-4</v>
      </c>
      <c r="E58" s="19">
        <f t="shared" si="1"/>
        <v>4.4053240740740719E-3</v>
      </c>
      <c r="F58" s="11">
        <v>2.0138888888888889E-5</v>
      </c>
      <c r="G58" s="19">
        <f t="shared" si="5"/>
        <v>6.0608796296296313E-3</v>
      </c>
      <c r="H58" s="19">
        <f t="shared" si="3"/>
        <v>6.2807870370370378E-3</v>
      </c>
      <c r="I58" s="11">
        <f t="shared" si="4"/>
        <v>1.6555555555555594E-3</v>
      </c>
      <c r="J58" s="18" t="s">
        <v>108</v>
      </c>
      <c r="K58" t="s">
        <v>108</v>
      </c>
    </row>
    <row r="59" spans="1:11" x14ac:dyDescent="0.3">
      <c r="A59">
        <v>58</v>
      </c>
      <c r="B59" s="3">
        <v>4.52962962962963E-3</v>
      </c>
      <c r="C59">
        <v>1.66</v>
      </c>
      <c r="D59" s="3">
        <v>1.2430555555555589E-4</v>
      </c>
      <c r="E59" s="19">
        <f t="shared" si="1"/>
        <v>4.5296296296296282E-3</v>
      </c>
      <c r="F59" s="11">
        <v>1.9212962962962965E-5</v>
      </c>
      <c r="G59" s="19">
        <f t="shared" si="5"/>
        <v>6.2043981481481507E-3</v>
      </c>
      <c r="H59" s="19">
        <f t="shared" si="3"/>
        <v>6.4243055555555572E-3</v>
      </c>
      <c r="I59" s="11">
        <f t="shared" si="4"/>
        <v>1.6747685185185225E-3</v>
      </c>
      <c r="J59" s="18" t="s">
        <v>109</v>
      </c>
      <c r="K59" t="s">
        <v>109</v>
      </c>
    </row>
    <row r="60" spans="1:11" x14ac:dyDescent="0.3">
      <c r="A60">
        <v>59</v>
      </c>
      <c r="B60" s="3">
        <v>4.6625E-3</v>
      </c>
      <c r="C60">
        <v>0.45</v>
      </c>
      <c r="D60" s="3">
        <v>1.3287037037037E-4</v>
      </c>
      <c r="E60" s="19">
        <f t="shared" si="1"/>
        <v>4.6624999999999982E-3</v>
      </c>
      <c r="F60" s="11">
        <v>5.2083333333333332E-6</v>
      </c>
      <c r="G60" s="19">
        <f t="shared" si="5"/>
        <v>6.3424768518518543E-3</v>
      </c>
      <c r="H60" s="19">
        <f t="shared" si="3"/>
        <v>6.5623842592592609E-3</v>
      </c>
      <c r="I60" s="11">
        <f t="shared" si="4"/>
        <v>1.6799768518518561E-3</v>
      </c>
      <c r="J60" s="18" t="s">
        <v>38</v>
      </c>
      <c r="K60" t="s">
        <v>38</v>
      </c>
    </row>
    <row r="61" spans="1:11" x14ac:dyDescent="0.3">
      <c r="A61">
        <v>60</v>
      </c>
      <c r="B61" s="3">
        <v>4.7958333333333325E-3</v>
      </c>
      <c r="C61">
        <v>1.25</v>
      </c>
      <c r="D61" s="3">
        <v>1.3333333333333296E-4</v>
      </c>
      <c r="E61" s="19">
        <f t="shared" si="1"/>
        <v>4.7958333333333308E-3</v>
      </c>
      <c r="F61" s="11">
        <v>1.4467592592592593E-5</v>
      </c>
      <c r="G61" s="19">
        <f t="shared" si="5"/>
        <v>6.4902777777777797E-3</v>
      </c>
      <c r="H61" s="19">
        <f t="shared" si="3"/>
        <v>6.7101851851851862E-3</v>
      </c>
      <c r="I61" s="11">
        <f t="shared" si="4"/>
        <v>1.6944444444444489E-3</v>
      </c>
      <c r="J61" s="18" t="s">
        <v>39</v>
      </c>
      <c r="K61" t="s">
        <v>39</v>
      </c>
    </row>
    <row r="62" spans="1:11" x14ac:dyDescent="0.3">
      <c r="A62">
        <v>61</v>
      </c>
      <c r="B62" s="3">
        <v>4.9305555555555552E-3</v>
      </c>
      <c r="C62">
        <v>1.26</v>
      </c>
      <c r="D62" s="3">
        <v>1.3472222222222227E-4</v>
      </c>
      <c r="E62" s="19">
        <f t="shared" si="1"/>
        <v>4.9305555555555526E-3</v>
      </c>
      <c r="F62" s="11">
        <v>1.4583333333333333E-5</v>
      </c>
      <c r="G62" s="19">
        <f t="shared" si="5"/>
        <v>6.6395833333333359E-3</v>
      </c>
      <c r="H62" s="19">
        <f t="shared" si="3"/>
        <v>6.8594907407407424E-3</v>
      </c>
      <c r="I62" s="11">
        <f t="shared" si="4"/>
        <v>1.7090277777777833E-3</v>
      </c>
      <c r="J62" s="18" t="s">
        <v>40</v>
      </c>
      <c r="K62" t="s">
        <v>40</v>
      </c>
    </row>
    <row r="63" spans="1:11" x14ac:dyDescent="0.3">
      <c r="A63">
        <v>62</v>
      </c>
      <c r="B63" s="3">
        <v>5.0530092592592588E-3</v>
      </c>
      <c r="C63">
        <v>1.02</v>
      </c>
      <c r="D63" s="3">
        <v>1.2245370370370405E-4</v>
      </c>
      <c r="E63" s="19">
        <f t="shared" si="1"/>
        <v>5.0530092592592571E-3</v>
      </c>
      <c r="F63" s="11">
        <v>1.1805555555555555E-5</v>
      </c>
      <c r="G63" s="19">
        <f t="shared" si="5"/>
        <v>6.7738425925925961E-3</v>
      </c>
      <c r="H63" s="19">
        <f t="shared" si="3"/>
        <v>6.9937500000000026E-3</v>
      </c>
      <c r="I63" s="11">
        <f t="shared" si="4"/>
        <v>1.720833333333339E-3</v>
      </c>
      <c r="J63" s="18" t="s">
        <v>126</v>
      </c>
      <c r="K63" t="s">
        <v>143</v>
      </c>
    </row>
    <row r="64" spans="1:11" x14ac:dyDescent="0.3">
      <c r="A64">
        <v>63</v>
      </c>
      <c r="B64" s="3">
        <v>5.1648148148148148E-3</v>
      </c>
      <c r="C64">
        <v>3.24</v>
      </c>
      <c r="D64" s="3">
        <v>1.1180555555555553E-4</v>
      </c>
      <c r="E64" s="19">
        <f t="shared" si="1"/>
        <v>5.1648148148148131E-3</v>
      </c>
      <c r="F64" s="11">
        <v>3.7500000000000003E-5</v>
      </c>
      <c r="G64" s="19">
        <f t="shared" si="5"/>
        <v>6.9231481481481514E-3</v>
      </c>
      <c r="H64" s="19">
        <f t="shared" si="3"/>
        <v>7.1430555555555579E-3</v>
      </c>
      <c r="I64" s="11">
        <f t="shared" si="4"/>
        <v>1.7583333333333383E-3</v>
      </c>
      <c r="J64" s="18" t="s">
        <v>110</v>
      </c>
      <c r="K64" t="s">
        <v>144</v>
      </c>
    </row>
    <row r="65" spans="1:11" x14ac:dyDescent="0.3">
      <c r="A65">
        <v>64</v>
      </c>
      <c r="B65" s="3">
        <v>5.2886574074074068E-3</v>
      </c>
      <c r="C65">
        <v>1.5</v>
      </c>
      <c r="D65" s="3">
        <v>1.2384259259259249E-4</v>
      </c>
      <c r="E65" s="19">
        <f t="shared" si="1"/>
        <v>5.2886574074074051E-3</v>
      </c>
      <c r="F65" s="11">
        <v>1.7361111111111111E-5</v>
      </c>
      <c r="G65" s="19">
        <f t="shared" si="5"/>
        <v>7.0643518518518555E-3</v>
      </c>
      <c r="H65" s="19">
        <f t="shared" si="3"/>
        <v>7.284259259259262E-3</v>
      </c>
      <c r="I65" s="11">
        <f t="shared" si="4"/>
        <v>1.7756944444444504E-3</v>
      </c>
      <c r="J65" s="18" t="s">
        <v>41</v>
      </c>
      <c r="K65" t="s">
        <v>41</v>
      </c>
    </row>
    <row r="66" spans="1:11" x14ac:dyDescent="0.3">
      <c r="A66">
        <v>65</v>
      </c>
      <c r="B66" s="3">
        <v>5.3657407407407404E-3</v>
      </c>
      <c r="C66">
        <v>1.57</v>
      </c>
      <c r="D66" s="3">
        <v>7.7083333333333517E-5</v>
      </c>
      <c r="E66" s="19">
        <f t="shared" si="1"/>
        <v>5.3657407407407386E-3</v>
      </c>
      <c r="F66" s="11">
        <v>1.8171296296296295E-5</v>
      </c>
      <c r="G66" s="19">
        <f t="shared" si="5"/>
        <v>7.1596064814814855E-3</v>
      </c>
      <c r="H66" s="19">
        <f t="shared" si="3"/>
        <v>7.3795138888888921E-3</v>
      </c>
      <c r="I66" s="11">
        <f t="shared" ref="I66:I97" si="6">G66-E66</f>
        <v>1.7938657407407469E-3</v>
      </c>
      <c r="J66" s="18" t="s">
        <v>42</v>
      </c>
      <c r="K66" t="s">
        <v>42</v>
      </c>
    </row>
    <row r="67" spans="1:11" x14ac:dyDescent="0.3">
      <c r="A67">
        <v>66</v>
      </c>
      <c r="B67" s="3">
        <v>5.4879629629629636E-3</v>
      </c>
      <c r="C67">
        <v>1.04</v>
      </c>
      <c r="D67" s="3">
        <v>1.2222222222222235E-4</v>
      </c>
      <c r="E67" s="19">
        <f t="shared" ref="E67:E120" si="7">E66+D67</f>
        <v>5.487962962962961E-3</v>
      </c>
      <c r="F67" s="11">
        <v>1.2037037037037037E-5</v>
      </c>
      <c r="G67" s="19">
        <f t="shared" ref="G67:G98" si="8">G66+D67+F67</f>
        <v>7.2938657407407449E-3</v>
      </c>
      <c r="H67" s="19">
        <f t="shared" ref="H67:H120" si="9">H66+D67+F67</f>
        <v>7.5137731481481514E-3</v>
      </c>
      <c r="I67" s="11">
        <f t="shared" si="6"/>
        <v>1.8059027777777839E-3</v>
      </c>
      <c r="J67" s="18" t="s">
        <v>43</v>
      </c>
      <c r="K67" t="s">
        <v>43</v>
      </c>
    </row>
    <row r="68" spans="1:11" x14ac:dyDescent="0.3">
      <c r="A68">
        <v>67</v>
      </c>
      <c r="B68" s="3">
        <v>5.579861111111111E-3</v>
      </c>
      <c r="C68">
        <v>0.96</v>
      </c>
      <c r="D68" s="3">
        <v>9.1898148148147809E-5</v>
      </c>
      <c r="E68" s="19">
        <f t="shared" si="7"/>
        <v>5.5798611111111084E-3</v>
      </c>
      <c r="F68" s="11">
        <v>1.111111111111111E-5</v>
      </c>
      <c r="G68" s="19">
        <f t="shared" si="8"/>
        <v>7.3968750000000041E-3</v>
      </c>
      <c r="H68" s="19">
        <f t="shared" si="9"/>
        <v>7.6167824074074107E-3</v>
      </c>
      <c r="I68" s="11">
        <f t="shared" si="6"/>
        <v>1.8170138888888958E-3</v>
      </c>
      <c r="J68" s="18" t="s">
        <v>44</v>
      </c>
      <c r="K68" t="s">
        <v>44</v>
      </c>
    </row>
    <row r="69" spans="1:11" x14ac:dyDescent="0.3">
      <c r="A69">
        <v>68</v>
      </c>
      <c r="B69" s="3">
        <v>5.6916666666666669E-3</v>
      </c>
      <c r="C69">
        <v>1.24</v>
      </c>
      <c r="D69" s="3">
        <v>1.1180555555555596E-4</v>
      </c>
      <c r="E69" s="19">
        <f t="shared" si="7"/>
        <v>5.6916666666666643E-3</v>
      </c>
      <c r="F69" s="11">
        <v>1.4351851851851851E-5</v>
      </c>
      <c r="G69" s="19">
        <f t="shared" si="8"/>
        <v>7.5230324074074123E-3</v>
      </c>
      <c r="H69" s="19">
        <f t="shared" si="9"/>
        <v>7.7429398148148188E-3</v>
      </c>
      <c r="I69" s="11">
        <f t="shared" si="6"/>
        <v>1.831365740740748E-3</v>
      </c>
      <c r="J69" s="18" t="s">
        <v>45</v>
      </c>
      <c r="K69" t="s">
        <v>45</v>
      </c>
    </row>
    <row r="70" spans="1:11" x14ac:dyDescent="0.3">
      <c r="A70">
        <v>69</v>
      </c>
      <c r="B70" s="3">
        <v>5.8002314814814817E-3</v>
      </c>
      <c r="C70">
        <v>1.22</v>
      </c>
      <c r="D70" s="3">
        <v>1.0856481481481481E-4</v>
      </c>
      <c r="E70" s="19">
        <f t="shared" si="7"/>
        <v>5.8002314814814791E-3</v>
      </c>
      <c r="F70" s="11">
        <v>1.412037037037037E-5</v>
      </c>
      <c r="G70" s="19">
        <f t="shared" si="8"/>
        <v>7.6457175925925972E-3</v>
      </c>
      <c r="H70" s="19">
        <f t="shared" si="9"/>
        <v>7.8656250000000046E-3</v>
      </c>
      <c r="I70" s="11">
        <f t="shared" si="6"/>
        <v>1.8454861111111181E-3</v>
      </c>
      <c r="J70" s="18" t="s">
        <v>46</v>
      </c>
      <c r="K70" t="s">
        <v>46</v>
      </c>
    </row>
    <row r="71" spans="1:11" x14ac:dyDescent="0.3">
      <c r="A71">
        <v>70</v>
      </c>
      <c r="B71" s="3">
        <v>5.9050925925925929E-3</v>
      </c>
      <c r="C71">
        <v>1.44</v>
      </c>
      <c r="D71" s="3">
        <v>1.0486111111111113E-4</v>
      </c>
      <c r="E71" s="19">
        <f t="shared" si="7"/>
        <v>5.9050925925925903E-3</v>
      </c>
      <c r="F71" s="11">
        <v>1.6666666666666667E-5</v>
      </c>
      <c r="G71" s="19">
        <f t="shared" si="8"/>
        <v>7.7672453703703749E-3</v>
      </c>
      <c r="H71" s="19">
        <f t="shared" si="9"/>
        <v>7.9871527777777823E-3</v>
      </c>
      <c r="I71" s="11">
        <f t="shared" si="6"/>
        <v>1.8621527777777846E-3</v>
      </c>
      <c r="J71" s="18" t="s">
        <v>47</v>
      </c>
      <c r="K71" t="s">
        <v>47</v>
      </c>
    </row>
    <row r="72" spans="1:11" x14ac:dyDescent="0.3">
      <c r="A72">
        <v>71</v>
      </c>
      <c r="B72" s="3">
        <v>5.9861111111111105E-3</v>
      </c>
      <c r="C72">
        <v>1.5</v>
      </c>
      <c r="D72" s="3">
        <v>8.1018518518518028E-5</v>
      </c>
      <c r="E72" s="19">
        <f t="shared" si="7"/>
        <v>5.9861111111111087E-3</v>
      </c>
      <c r="F72" s="11">
        <v>1.7361111111111111E-5</v>
      </c>
      <c r="G72" s="19">
        <f t="shared" si="8"/>
        <v>7.8656250000000028E-3</v>
      </c>
      <c r="H72" s="19">
        <f t="shared" si="9"/>
        <v>8.0855324074074111E-3</v>
      </c>
      <c r="I72" s="11">
        <f t="shared" si="6"/>
        <v>1.8795138888888941E-3</v>
      </c>
      <c r="J72" s="18" t="s">
        <v>48</v>
      </c>
      <c r="K72" t="s">
        <v>48</v>
      </c>
    </row>
    <row r="73" spans="1:11" x14ac:dyDescent="0.3">
      <c r="A73">
        <v>72</v>
      </c>
      <c r="B73" s="3">
        <v>6.0120370370370371E-3</v>
      </c>
      <c r="C73">
        <v>2.36</v>
      </c>
      <c r="D73" s="3">
        <v>2.5925925925926203E-5</v>
      </c>
      <c r="E73" s="19">
        <f t="shared" si="7"/>
        <v>6.0120370370370345E-3</v>
      </c>
      <c r="F73" s="11">
        <v>2.7314814814814812E-5</v>
      </c>
      <c r="G73" s="19">
        <f t="shared" si="8"/>
        <v>7.9188657407407437E-3</v>
      </c>
      <c r="H73" s="19">
        <f t="shared" si="9"/>
        <v>8.1387731481481519E-3</v>
      </c>
      <c r="I73" s="11">
        <f t="shared" si="6"/>
        <v>1.9068287037037092E-3</v>
      </c>
      <c r="J73" s="18" t="s">
        <v>49</v>
      </c>
      <c r="K73" t="s">
        <v>49</v>
      </c>
    </row>
    <row r="74" spans="1:11" x14ac:dyDescent="0.3">
      <c r="A74">
        <v>73</v>
      </c>
      <c r="B74" s="3">
        <v>6.1048611111111113E-3</v>
      </c>
      <c r="C74">
        <v>1.08</v>
      </c>
      <c r="D74" s="3">
        <v>9.2824074074073729E-5</v>
      </c>
      <c r="E74" s="19">
        <f t="shared" si="7"/>
        <v>6.1048611111111078E-3</v>
      </c>
      <c r="F74" s="11">
        <v>1.2500000000000001E-5</v>
      </c>
      <c r="G74" s="19">
        <f t="shared" si="8"/>
        <v>8.0241898148148173E-3</v>
      </c>
      <c r="H74" s="19">
        <f t="shared" si="9"/>
        <v>8.2440972222222256E-3</v>
      </c>
      <c r="I74" s="11">
        <f t="shared" si="6"/>
        <v>1.9193287037037095E-3</v>
      </c>
      <c r="J74" s="18" t="s">
        <v>50</v>
      </c>
      <c r="K74" t="s">
        <v>50</v>
      </c>
    </row>
    <row r="75" spans="1:11" x14ac:dyDescent="0.3">
      <c r="A75">
        <v>74</v>
      </c>
      <c r="B75" s="3">
        <v>6.1939814814814817E-3</v>
      </c>
      <c r="C75">
        <v>2.8</v>
      </c>
      <c r="D75" s="3">
        <v>8.9120370370370915E-5</v>
      </c>
      <c r="E75" s="19">
        <f t="shared" si="7"/>
        <v>6.1939814814814791E-3</v>
      </c>
      <c r="F75" s="11">
        <v>3.2407407407407408E-5</v>
      </c>
      <c r="G75" s="19">
        <f t="shared" si="8"/>
        <v>8.1457175925925968E-3</v>
      </c>
      <c r="H75" s="19">
        <f t="shared" si="9"/>
        <v>8.365625000000005E-3</v>
      </c>
      <c r="I75" s="11">
        <f t="shared" si="6"/>
        <v>1.9517361111111176E-3</v>
      </c>
      <c r="J75" s="18" t="s">
        <v>111</v>
      </c>
      <c r="K75" t="s">
        <v>145</v>
      </c>
    </row>
    <row r="76" spans="1:11" x14ac:dyDescent="0.3">
      <c r="A76">
        <v>75</v>
      </c>
      <c r="B76" s="3">
        <v>6.2673611111111107E-3</v>
      </c>
      <c r="C76">
        <v>1.36</v>
      </c>
      <c r="D76" s="3">
        <v>7.3379629629628969E-5</v>
      </c>
      <c r="E76" s="19">
        <f t="shared" si="7"/>
        <v>6.2673611111111081E-3</v>
      </c>
      <c r="F76" s="11">
        <v>1.574074074074074E-5</v>
      </c>
      <c r="G76" s="19">
        <f t="shared" si="8"/>
        <v>8.2348379629629664E-3</v>
      </c>
      <c r="H76" s="19">
        <f t="shared" si="9"/>
        <v>8.4547453703703746E-3</v>
      </c>
      <c r="I76" s="11">
        <f t="shared" si="6"/>
        <v>1.9674768518518583E-3</v>
      </c>
      <c r="J76" s="18" t="s">
        <v>51</v>
      </c>
      <c r="K76" t="s">
        <v>51</v>
      </c>
    </row>
    <row r="77" spans="1:11" x14ac:dyDescent="0.3">
      <c r="A77">
        <v>76</v>
      </c>
      <c r="B77" s="3">
        <v>6.3414351851851861E-3</v>
      </c>
      <c r="C77">
        <v>4.9000000000000004</v>
      </c>
      <c r="D77" s="3">
        <v>7.4074074074074927E-5</v>
      </c>
      <c r="E77" s="19">
        <f t="shared" si="7"/>
        <v>6.3414351851851826E-3</v>
      </c>
      <c r="F77" s="11">
        <v>5.6712962962962965E-5</v>
      </c>
      <c r="G77" s="19">
        <f t="shared" si="8"/>
        <v>8.365625000000005E-3</v>
      </c>
      <c r="H77" s="19">
        <f t="shared" si="9"/>
        <v>8.5855324074074132E-3</v>
      </c>
      <c r="I77" s="11">
        <f t="shared" si="6"/>
        <v>2.0241898148148224E-3</v>
      </c>
      <c r="J77" s="18" t="s">
        <v>52</v>
      </c>
      <c r="K77" t="s">
        <v>52</v>
      </c>
    </row>
    <row r="78" spans="1:11" x14ac:dyDescent="0.3">
      <c r="A78">
        <v>77</v>
      </c>
      <c r="B78" s="3">
        <v>6.45E-3</v>
      </c>
      <c r="C78">
        <v>1.32</v>
      </c>
      <c r="D78" s="3">
        <v>1.0856481481481437E-4</v>
      </c>
      <c r="E78" s="19">
        <f t="shared" si="7"/>
        <v>6.4499999999999974E-3</v>
      </c>
      <c r="F78" s="11">
        <v>1.5277777777777777E-5</v>
      </c>
      <c r="G78" s="19">
        <f t="shared" si="8"/>
        <v>8.4894675925925971E-3</v>
      </c>
      <c r="H78" s="19">
        <f t="shared" si="9"/>
        <v>8.7093750000000053E-3</v>
      </c>
      <c r="I78" s="11">
        <f t="shared" si="6"/>
        <v>2.0394675925925997E-3</v>
      </c>
      <c r="J78" s="18" t="s">
        <v>112</v>
      </c>
      <c r="K78" t="s">
        <v>146</v>
      </c>
    </row>
    <row r="79" spans="1:11" x14ac:dyDescent="0.3">
      <c r="A79">
        <v>78</v>
      </c>
      <c r="B79" s="3">
        <v>6.5888888888888889E-3</v>
      </c>
      <c r="C79">
        <v>1.3</v>
      </c>
      <c r="D79" s="3">
        <v>1.3888888888888935E-4</v>
      </c>
      <c r="E79" s="19">
        <f t="shared" si="7"/>
        <v>6.5888888888888872E-3</v>
      </c>
      <c r="F79" s="11">
        <v>1.5046296296296297E-5</v>
      </c>
      <c r="G79" s="19">
        <f t="shared" si="8"/>
        <v>8.6434027777777828E-3</v>
      </c>
      <c r="H79" s="19">
        <f t="shared" si="9"/>
        <v>8.8633101851851911E-3</v>
      </c>
      <c r="I79" s="11">
        <f t="shared" si="6"/>
        <v>2.0545138888888956E-3</v>
      </c>
      <c r="J79" s="18" t="s">
        <v>53</v>
      </c>
      <c r="K79" t="s">
        <v>53</v>
      </c>
    </row>
    <row r="80" spans="1:11" x14ac:dyDescent="0.3">
      <c r="A80">
        <v>79</v>
      </c>
      <c r="B80" s="3">
        <v>6.6974537037037037E-3</v>
      </c>
      <c r="C80">
        <v>1.22</v>
      </c>
      <c r="D80" s="3">
        <v>1.0856481481481481E-4</v>
      </c>
      <c r="E80" s="19">
        <f t="shared" si="7"/>
        <v>6.697453703703702E-3</v>
      </c>
      <c r="F80" s="11">
        <v>1.412037037037037E-5</v>
      </c>
      <c r="G80" s="19">
        <f t="shared" si="8"/>
        <v>8.7660879629629686E-3</v>
      </c>
      <c r="H80" s="19">
        <f t="shared" si="9"/>
        <v>8.9859953703703768E-3</v>
      </c>
      <c r="I80" s="11">
        <f t="shared" si="6"/>
        <v>2.0686342592592666E-3</v>
      </c>
      <c r="J80" s="18" t="s">
        <v>113</v>
      </c>
      <c r="K80" t="s">
        <v>147</v>
      </c>
    </row>
    <row r="81" spans="1:11" x14ac:dyDescent="0.3">
      <c r="A81">
        <v>80</v>
      </c>
      <c r="B81" s="3">
        <v>6.8268518518518522E-3</v>
      </c>
      <c r="C81">
        <v>1.42</v>
      </c>
      <c r="D81" s="3">
        <v>1.2939814814814802E-4</v>
      </c>
      <c r="E81" s="19">
        <f t="shared" si="7"/>
        <v>6.8268518518518496E-3</v>
      </c>
      <c r="F81" s="11">
        <v>1.6435185185185184E-5</v>
      </c>
      <c r="G81" s="19">
        <f t="shared" si="8"/>
        <v>8.9119212962963015E-3</v>
      </c>
      <c r="H81" s="19">
        <f t="shared" si="9"/>
        <v>9.1318287037037097E-3</v>
      </c>
      <c r="I81" s="11">
        <f t="shared" si="6"/>
        <v>2.0850694444444519E-3</v>
      </c>
      <c r="J81" s="18" t="s">
        <v>114</v>
      </c>
      <c r="K81" t="s">
        <v>148</v>
      </c>
    </row>
    <row r="82" spans="1:11" x14ac:dyDescent="0.3">
      <c r="A82">
        <v>81</v>
      </c>
      <c r="B82" s="3">
        <v>6.9495370370370371E-3</v>
      </c>
      <c r="C82">
        <v>2.5</v>
      </c>
      <c r="D82" s="3">
        <v>1.2268518518518488E-4</v>
      </c>
      <c r="E82" s="19">
        <f t="shared" si="7"/>
        <v>6.9495370370370345E-3</v>
      </c>
      <c r="F82" s="11">
        <v>2.8935185185185186E-5</v>
      </c>
      <c r="G82" s="19">
        <f t="shared" si="8"/>
        <v>9.0635416666666729E-3</v>
      </c>
      <c r="H82" s="19">
        <f t="shared" si="9"/>
        <v>9.2834490740740811E-3</v>
      </c>
      <c r="I82" s="11">
        <f t="shared" si="6"/>
        <v>2.1140046296296384E-3</v>
      </c>
      <c r="J82" s="18" t="s">
        <v>54</v>
      </c>
      <c r="K82" t="s">
        <v>54</v>
      </c>
    </row>
    <row r="83" spans="1:11" x14ac:dyDescent="0.3">
      <c r="A83">
        <v>82</v>
      </c>
      <c r="B83" s="3">
        <v>7.031018518518518E-3</v>
      </c>
      <c r="C83">
        <v>2.46</v>
      </c>
      <c r="D83" s="3">
        <v>8.1481481481480988E-5</v>
      </c>
      <c r="E83" s="19">
        <f t="shared" si="7"/>
        <v>7.0310185185185154E-3</v>
      </c>
      <c r="F83" s="11">
        <v>2.8472222222222223E-5</v>
      </c>
      <c r="G83" s="19">
        <f t="shared" si="8"/>
        <v>9.1734953703703753E-3</v>
      </c>
      <c r="H83" s="19">
        <f t="shared" si="9"/>
        <v>9.3934027777777835E-3</v>
      </c>
      <c r="I83" s="11">
        <f t="shared" si="6"/>
        <v>2.1424768518518598E-3</v>
      </c>
      <c r="J83" s="18" t="s">
        <v>55</v>
      </c>
      <c r="K83" t="s">
        <v>55</v>
      </c>
    </row>
    <row r="84" spans="1:11" x14ac:dyDescent="0.3">
      <c r="A84">
        <v>83</v>
      </c>
      <c r="B84" s="3">
        <v>7.1250000000000003E-3</v>
      </c>
      <c r="C84">
        <v>1.48</v>
      </c>
      <c r="D84" s="3">
        <v>9.3981481481482214E-5</v>
      </c>
      <c r="E84" s="19">
        <f t="shared" si="7"/>
        <v>7.1249999999999977E-3</v>
      </c>
      <c r="F84" s="11">
        <v>1.7129629629629631E-5</v>
      </c>
      <c r="G84" s="19">
        <f t="shared" si="8"/>
        <v>9.2846064814814857E-3</v>
      </c>
      <c r="H84" s="19">
        <f t="shared" si="9"/>
        <v>9.5045138888888939E-3</v>
      </c>
      <c r="I84" s="11">
        <f t="shared" si="6"/>
        <v>2.159606481481488E-3</v>
      </c>
      <c r="J84" s="18" t="s">
        <v>56</v>
      </c>
      <c r="K84" t="s">
        <v>56</v>
      </c>
    </row>
    <row r="85" spans="1:11" x14ac:dyDescent="0.3">
      <c r="A85">
        <v>84</v>
      </c>
      <c r="B85" s="3">
        <v>7.2018518518518516E-3</v>
      </c>
      <c r="C85">
        <v>3.46</v>
      </c>
      <c r="D85" s="3">
        <v>7.6851851851851387E-5</v>
      </c>
      <c r="E85" s="19">
        <f t="shared" si="7"/>
        <v>7.201851851851849E-3</v>
      </c>
      <c r="F85" s="11">
        <v>4.0046296296296298E-5</v>
      </c>
      <c r="G85" s="19">
        <f t="shared" si="8"/>
        <v>9.4015046296296329E-3</v>
      </c>
      <c r="H85" s="19">
        <f t="shared" si="9"/>
        <v>9.6214120370370412E-3</v>
      </c>
      <c r="I85" s="11">
        <f t="shared" si="6"/>
        <v>2.1996527777777839E-3</v>
      </c>
      <c r="J85" s="18" t="s">
        <v>115</v>
      </c>
      <c r="K85" t="s">
        <v>115</v>
      </c>
    </row>
    <row r="86" spans="1:11" x14ac:dyDescent="0.3">
      <c r="A86">
        <v>85</v>
      </c>
      <c r="B86" s="3">
        <v>7.291898148148148E-3</v>
      </c>
      <c r="C86">
        <v>4.82</v>
      </c>
      <c r="D86" s="3">
        <v>9.0046296296296402E-5</v>
      </c>
      <c r="E86" s="19">
        <f t="shared" si="7"/>
        <v>7.2918981481481454E-3</v>
      </c>
      <c r="F86" s="11">
        <v>5.5787037037037038E-5</v>
      </c>
      <c r="G86" s="19">
        <f t="shared" si="8"/>
        <v>9.5473379629629658E-3</v>
      </c>
      <c r="H86" s="19">
        <f t="shared" si="9"/>
        <v>9.767245370370374E-3</v>
      </c>
      <c r="I86" s="11">
        <f t="shared" si="6"/>
        <v>2.2554398148148204E-3</v>
      </c>
      <c r="J86" s="18" t="s">
        <v>116</v>
      </c>
      <c r="K86" t="s">
        <v>149</v>
      </c>
    </row>
    <row r="87" spans="1:11" x14ac:dyDescent="0.3">
      <c r="A87">
        <v>86</v>
      </c>
      <c r="B87" s="3">
        <v>7.3581018518518518E-3</v>
      </c>
      <c r="C87">
        <v>4.08</v>
      </c>
      <c r="D87" s="3">
        <v>6.620370370370417E-5</v>
      </c>
      <c r="E87" s="19">
        <f t="shared" si="7"/>
        <v>7.35810185185185E-3</v>
      </c>
      <c r="F87" s="11">
        <v>4.7222222222222221E-5</v>
      </c>
      <c r="G87" s="19">
        <f t="shared" si="8"/>
        <v>9.6607638888888923E-3</v>
      </c>
      <c r="H87" s="19">
        <f t="shared" si="9"/>
        <v>9.8806712962963006E-3</v>
      </c>
      <c r="I87" s="11">
        <f t="shared" si="6"/>
        <v>2.3026620370370423E-3</v>
      </c>
      <c r="J87" s="18" t="s">
        <v>117</v>
      </c>
      <c r="K87" t="s">
        <v>150</v>
      </c>
    </row>
    <row r="88" spans="1:11" x14ac:dyDescent="0.3">
      <c r="A88">
        <v>87</v>
      </c>
      <c r="B88" s="3">
        <v>7.4780092592592589E-3</v>
      </c>
      <c r="C88">
        <v>0.84</v>
      </c>
      <c r="D88" s="3">
        <v>1.1990740740740668E-4</v>
      </c>
      <c r="E88" s="19">
        <f t="shared" si="7"/>
        <v>7.4780092592592572E-3</v>
      </c>
      <c r="F88" s="11">
        <v>9.7222222222222227E-6</v>
      </c>
      <c r="G88" s="19">
        <f t="shared" si="8"/>
        <v>9.7903935185185212E-3</v>
      </c>
      <c r="H88" s="19">
        <f t="shared" si="9"/>
        <v>1.0010300925925929E-2</v>
      </c>
      <c r="I88" s="11">
        <f t="shared" si="6"/>
        <v>2.312384259259264E-3</v>
      </c>
      <c r="J88" s="18" t="s">
        <v>118</v>
      </c>
      <c r="K88" t="s">
        <v>151</v>
      </c>
    </row>
    <row r="89" spans="1:11" x14ac:dyDescent="0.3">
      <c r="A89">
        <v>88</v>
      </c>
      <c r="B89" s="3">
        <v>7.6092592592592592E-3</v>
      </c>
      <c r="C89">
        <v>0.96</v>
      </c>
      <c r="D89" s="3">
        <v>1.3125000000000029E-4</v>
      </c>
      <c r="E89" s="19">
        <f t="shared" si="7"/>
        <v>7.6092592592592575E-3</v>
      </c>
      <c r="F89" s="11">
        <v>1.111111111111111E-5</v>
      </c>
      <c r="G89" s="19">
        <f t="shared" si="8"/>
        <v>9.9327546296296317E-3</v>
      </c>
      <c r="H89" s="19">
        <f t="shared" si="9"/>
        <v>1.015266203703704E-2</v>
      </c>
      <c r="I89" s="11">
        <f t="shared" si="6"/>
        <v>2.3234953703703742E-3</v>
      </c>
      <c r="J89" s="18" t="s">
        <v>119</v>
      </c>
      <c r="K89" t="s">
        <v>152</v>
      </c>
    </row>
    <row r="90" spans="1:11" x14ac:dyDescent="0.3">
      <c r="A90">
        <v>89</v>
      </c>
      <c r="B90" s="3">
        <v>7.7337962962962968E-3</v>
      </c>
      <c r="C90">
        <v>4.7699999999999996</v>
      </c>
      <c r="D90" s="3">
        <v>1.2453703703703758E-4</v>
      </c>
      <c r="E90" s="19">
        <f t="shared" si="7"/>
        <v>7.733796296296295E-3</v>
      </c>
      <c r="F90" s="11">
        <v>5.5208333333333331E-5</v>
      </c>
      <c r="G90" s="19">
        <f t="shared" si="8"/>
        <v>1.0112500000000003E-2</v>
      </c>
      <c r="H90" s="19">
        <f t="shared" si="9"/>
        <v>1.0332407407407412E-2</v>
      </c>
      <c r="I90" s="11">
        <f t="shared" si="6"/>
        <v>2.3787037037037084E-3</v>
      </c>
      <c r="J90" s="18" t="s">
        <v>57</v>
      </c>
      <c r="K90" t="s">
        <v>57</v>
      </c>
    </row>
    <row r="91" spans="1:11" x14ac:dyDescent="0.3">
      <c r="A91">
        <v>90</v>
      </c>
      <c r="B91" s="3">
        <v>7.8518518518518529E-3</v>
      </c>
      <c r="C91">
        <v>1.03</v>
      </c>
      <c r="D91" s="3">
        <v>1.1805555555555527E-4</v>
      </c>
      <c r="E91" s="19">
        <f t="shared" si="7"/>
        <v>7.8518518518518494E-3</v>
      </c>
      <c r="F91" s="11">
        <v>1.1921296296296297E-5</v>
      </c>
      <c r="G91" s="19">
        <f t="shared" si="8"/>
        <v>1.0242476851851855E-2</v>
      </c>
      <c r="H91" s="19">
        <f t="shared" si="9"/>
        <v>1.0462384259259263E-2</v>
      </c>
      <c r="I91" s="11">
        <f t="shared" si="6"/>
        <v>2.3906250000000056E-3</v>
      </c>
      <c r="J91" s="18" t="s">
        <v>58</v>
      </c>
      <c r="K91" t="s">
        <v>58</v>
      </c>
    </row>
    <row r="92" spans="1:11" x14ac:dyDescent="0.3">
      <c r="A92">
        <v>91</v>
      </c>
      <c r="B92" s="3">
        <v>7.9497685185185192E-3</v>
      </c>
      <c r="C92">
        <v>1.44</v>
      </c>
      <c r="D92" s="3">
        <v>9.7916666666667158E-5</v>
      </c>
      <c r="E92" s="19">
        <f t="shared" si="7"/>
        <v>7.9497685185185157E-3</v>
      </c>
      <c r="F92" s="11">
        <v>1.6666666666666667E-5</v>
      </c>
      <c r="G92" s="19">
        <f t="shared" si="8"/>
        <v>1.035706018518519E-2</v>
      </c>
      <c r="H92" s="19">
        <f t="shared" si="9"/>
        <v>1.0576967592592598E-2</v>
      </c>
      <c r="I92" s="11">
        <f t="shared" si="6"/>
        <v>2.4072916666666739E-3</v>
      </c>
      <c r="J92" s="18" t="s">
        <v>120</v>
      </c>
      <c r="K92" t="s">
        <v>153</v>
      </c>
    </row>
    <row r="93" spans="1:11" x14ac:dyDescent="0.3">
      <c r="A93">
        <v>92</v>
      </c>
      <c r="B93" s="3">
        <v>8.0462962962962962E-3</v>
      </c>
      <c r="C93">
        <v>4.8899999999999997</v>
      </c>
      <c r="D93" s="3">
        <v>9.6527777777776977E-5</v>
      </c>
      <c r="E93" s="19">
        <f t="shared" si="7"/>
        <v>8.0462962962962927E-3</v>
      </c>
      <c r="F93" s="11">
        <v>5.6597222222222219E-5</v>
      </c>
      <c r="G93" s="19">
        <f t="shared" si="8"/>
        <v>1.0510185185185188E-2</v>
      </c>
      <c r="H93" s="19">
        <f t="shared" si="9"/>
        <v>1.0730092592592597E-2</v>
      </c>
      <c r="I93" s="11">
        <f t="shared" si="6"/>
        <v>2.4638888888888957E-3</v>
      </c>
      <c r="J93" s="18" t="s">
        <v>59</v>
      </c>
      <c r="K93" t="s">
        <v>154</v>
      </c>
    </row>
    <row r="94" spans="1:11" x14ac:dyDescent="0.3">
      <c r="A94">
        <v>93</v>
      </c>
      <c r="B94" s="3">
        <v>8.0932870370370377E-3</v>
      </c>
      <c r="C94">
        <v>6.34</v>
      </c>
      <c r="D94" s="3">
        <v>4.6990740740741541E-5</v>
      </c>
      <c r="E94" s="19">
        <f t="shared" si="7"/>
        <v>8.0932870370370343E-3</v>
      </c>
      <c r="F94" s="11">
        <v>7.3379629629629633E-5</v>
      </c>
      <c r="G94" s="19">
        <f t="shared" si="8"/>
        <v>1.063055555555556E-2</v>
      </c>
      <c r="H94" s="19">
        <f t="shared" si="9"/>
        <v>1.0850462962962968E-2</v>
      </c>
      <c r="I94" s="11">
        <f t="shared" si="6"/>
        <v>2.5372685185185255E-3</v>
      </c>
      <c r="J94" s="18" t="s">
        <v>60</v>
      </c>
      <c r="K94" t="s">
        <v>60</v>
      </c>
    </row>
    <row r="95" spans="1:11" x14ac:dyDescent="0.3">
      <c r="A95">
        <v>94</v>
      </c>
      <c r="B95" s="3">
        <v>8.1997685185185194E-3</v>
      </c>
      <c r="C95">
        <v>6</v>
      </c>
      <c r="D95" s="3">
        <v>1.0648148148148084E-4</v>
      </c>
      <c r="E95" s="19">
        <f t="shared" si="7"/>
        <v>8.199768518518516E-3</v>
      </c>
      <c r="F95" s="11">
        <v>6.9444444444444444E-5</v>
      </c>
      <c r="G95" s="19">
        <f t="shared" si="8"/>
        <v>1.0806481481481486E-2</v>
      </c>
      <c r="H95" s="19">
        <f t="shared" si="9"/>
        <v>1.1026388888888895E-2</v>
      </c>
      <c r="I95" s="11">
        <f t="shared" si="6"/>
        <v>2.6067129629629704E-3</v>
      </c>
      <c r="J95" s="18" t="s">
        <v>61</v>
      </c>
      <c r="K95" t="s">
        <v>61</v>
      </c>
    </row>
    <row r="96" spans="1:11" x14ac:dyDescent="0.3">
      <c r="A96">
        <v>95</v>
      </c>
      <c r="B96" s="3">
        <v>8.2592592592592596E-3</v>
      </c>
      <c r="C96">
        <v>7.26</v>
      </c>
      <c r="D96" s="3">
        <v>5.9490740740741031E-5</v>
      </c>
      <c r="E96" s="19">
        <f t="shared" si="7"/>
        <v>8.2592592592592579E-3</v>
      </c>
      <c r="F96" s="11">
        <v>8.4027777777777771E-5</v>
      </c>
      <c r="G96" s="19">
        <f t="shared" si="8"/>
        <v>1.0950000000000007E-2</v>
      </c>
      <c r="H96" s="19">
        <f t="shared" si="9"/>
        <v>1.1169907407407415E-2</v>
      </c>
      <c r="I96" s="11">
        <f t="shared" si="6"/>
        <v>2.6907407407407487E-3</v>
      </c>
      <c r="J96" s="18" t="s">
        <v>62</v>
      </c>
      <c r="K96" t="s">
        <v>62</v>
      </c>
    </row>
    <row r="97" spans="1:11" x14ac:dyDescent="0.3">
      <c r="A97">
        <v>96</v>
      </c>
      <c r="B97" s="3">
        <v>8.3483796296296292E-3</v>
      </c>
      <c r="C97">
        <v>0.6</v>
      </c>
      <c r="D97" s="3">
        <v>8.9120370370370482E-5</v>
      </c>
      <c r="E97" s="19">
        <f t="shared" si="7"/>
        <v>8.3483796296296292E-3</v>
      </c>
      <c r="F97" s="11">
        <v>6.9444444444444439E-6</v>
      </c>
      <c r="G97" s="19">
        <f t="shared" si="8"/>
        <v>1.1046064814814821E-2</v>
      </c>
      <c r="H97" s="19">
        <f t="shared" si="9"/>
        <v>1.1265972222222229E-2</v>
      </c>
      <c r="I97" s="11">
        <f t="shared" si="6"/>
        <v>2.6976851851851918E-3</v>
      </c>
      <c r="J97" s="18" t="s">
        <v>63</v>
      </c>
      <c r="K97" t="s">
        <v>63</v>
      </c>
    </row>
    <row r="98" spans="1:11" x14ac:dyDescent="0.3">
      <c r="A98">
        <v>97</v>
      </c>
      <c r="B98" s="3">
        <v>8.4449074074074079E-3</v>
      </c>
      <c r="C98">
        <v>1.26</v>
      </c>
      <c r="D98" s="3">
        <v>9.6527777777777844E-5</v>
      </c>
      <c r="E98" s="19">
        <f t="shared" si="7"/>
        <v>8.4449074074074079E-3</v>
      </c>
      <c r="F98" s="11">
        <v>1.4583333333333333E-5</v>
      </c>
      <c r="G98" s="19">
        <f t="shared" si="8"/>
        <v>1.1157175925925933E-2</v>
      </c>
      <c r="H98" s="19">
        <f t="shared" si="9"/>
        <v>1.1377083333333341E-2</v>
      </c>
      <c r="I98" s="11">
        <f t="shared" ref="I98:I120" si="10">G98-E98</f>
        <v>2.7122685185185253E-3</v>
      </c>
      <c r="J98" s="18" t="s">
        <v>64</v>
      </c>
      <c r="K98" t="s">
        <v>64</v>
      </c>
    </row>
    <row r="99" spans="1:11" x14ac:dyDescent="0.3">
      <c r="A99">
        <v>98</v>
      </c>
      <c r="B99" s="3">
        <v>8.523379629629629E-3</v>
      </c>
      <c r="C99">
        <v>1.1200000000000001</v>
      </c>
      <c r="D99" s="3">
        <v>7.8472222222221097E-5</v>
      </c>
      <c r="E99" s="19">
        <f t="shared" si="7"/>
        <v>8.523379629629629E-3</v>
      </c>
      <c r="F99" s="11">
        <v>1.2962962962962964E-5</v>
      </c>
      <c r="G99" s="19">
        <f t="shared" ref="G99:G120" si="11">G98+D99+F99</f>
        <v>1.1248611111111117E-2</v>
      </c>
      <c r="H99" s="19">
        <f t="shared" si="9"/>
        <v>1.1468518518518525E-2</v>
      </c>
      <c r="I99" s="11">
        <f t="shared" si="10"/>
        <v>2.7252314814814882E-3</v>
      </c>
      <c r="J99" s="18" t="s">
        <v>65</v>
      </c>
      <c r="K99" t="s">
        <v>65</v>
      </c>
    </row>
    <row r="100" spans="1:11" x14ac:dyDescent="0.3">
      <c r="A100">
        <v>99</v>
      </c>
      <c r="B100" s="3">
        <v>8.635185185185185E-3</v>
      </c>
      <c r="C100">
        <v>0.94</v>
      </c>
      <c r="D100" s="3">
        <v>1.1180555555555596E-4</v>
      </c>
      <c r="E100" s="19">
        <f t="shared" si="7"/>
        <v>8.635185185185185E-3</v>
      </c>
      <c r="F100" s="11">
        <v>1.0879629629629628E-5</v>
      </c>
      <c r="G100" s="19">
        <f t="shared" si="11"/>
        <v>1.1371296296296303E-2</v>
      </c>
      <c r="H100" s="19">
        <f t="shared" si="9"/>
        <v>1.1591203703703711E-2</v>
      </c>
      <c r="I100" s="11">
        <f t="shared" si="10"/>
        <v>2.736111111111118E-3</v>
      </c>
      <c r="J100" s="18" t="s">
        <v>66</v>
      </c>
      <c r="K100" t="s">
        <v>66</v>
      </c>
    </row>
    <row r="101" spans="1:11" x14ac:dyDescent="0.3">
      <c r="A101">
        <v>100</v>
      </c>
      <c r="B101" s="3">
        <v>8.7099537037037041E-3</v>
      </c>
      <c r="C101">
        <v>1.04</v>
      </c>
      <c r="D101" s="3">
        <v>7.476851851851915E-5</v>
      </c>
      <c r="E101" s="19">
        <f t="shared" si="7"/>
        <v>8.7099537037037041E-3</v>
      </c>
      <c r="F101" s="11">
        <v>1.2037037037037037E-5</v>
      </c>
      <c r="G101" s="19">
        <f t="shared" si="11"/>
        <v>1.145810185185186E-2</v>
      </c>
      <c r="H101" s="19">
        <f t="shared" si="9"/>
        <v>1.1678009259259268E-2</v>
      </c>
      <c r="I101" s="11">
        <f t="shared" si="10"/>
        <v>2.7481481481481558E-3</v>
      </c>
      <c r="J101" s="18" t="s">
        <v>121</v>
      </c>
      <c r="K101" t="s">
        <v>155</v>
      </c>
    </row>
    <row r="102" spans="1:11" x14ac:dyDescent="0.3">
      <c r="A102">
        <v>101</v>
      </c>
      <c r="B102" s="3">
        <v>8.7668981481481487E-3</v>
      </c>
      <c r="C102">
        <v>1.58</v>
      </c>
      <c r="D102" s="3">
        <v>5.6944444444444534E-5</v>
      </c>
      <c r="E102" s="19">
        <f t="shared" si="7"/>
        <v>8.7668981481481487E-3</v>
      </c>
      <c r="F102" s="11">
        <v>1.8287037037037038E-5</v>
      </c>
      <c r="G102" s="19">
        <f t="shared" si="11"/>
        <v>1.1533333333333342E-2</v>
      </c>
      <c r="H102" s="19">
        <f t="shared" si="9"/>
        <v>1.175324074074075E-2</v>
      </c>
      <c r="I102" s="11">
        <f t="shared" si="10"/>
        <v>2.7664351851851929E-3</v>
      </c>
      <c r="J102" s="18" t="s">
        <v>67</v>
      </c>
      <c r="K102" t="s">
        <v>67</v>
      </c>
    </row>
    <row r="103" spans="1:11" x14ac:dyDescent="0.3">
      <c r="A103">
        <v>102</v>
      </c>
      <c r="B103" s="3">
        <v>8.8703703703703722E-3</v>
      </c>
      <c r="C103">
        <v>1.36</v>
      </c>
      <c r="D103" s="3">
        <v>1.0347222222222268E-4</v>
      </c>
      <c r="E103" s="19">
        <f t="shared" si="7"/>
        <v>8.8703703703703722E-3</v>
      </c>
      <c r="F103" s="11">
        <v>1.574074074074074E-5</v>
      </c>
      <c r="G103" s="19">
        <f t="shared" si="11"/>
        <v>1.1652546296296305E-2</v>
      </c>
      <c r="H103" s="19">
        <f t="shared" si="9"/>
        <v>1.1872453703703713E-2</v>
      </c>
      <c r="I103" s="11">
        <f t="shared" si="10"/>
        <v>2.7821759259259327E-3</v>
      </c>
      <c r="J103" s="18" t="s">
        <v>68</v>
      </c>
      <c r="K103" t="s">
        <v>68</v>
      </c>
    </row>
    <row r="104" spans="1:11" x14ac:dyDescent="0.3">
      <c r="A104">
        <v>103</v>
      </c>
      <c r="B104" s="3">
        <v>8.95763888888889E-3</v>
      </c>
      <c r="C104">
        <v>0.76</v>
      </c>
      <c r="D104" s="3">
        <v>8.7268518518517774E-5</v>
      </c>
      <c r="E104" s="19">
        <f t="shared" si="7"/>
        <v>8.95763888888889E-3</v>
      </c>
      <c r="F104" s="11">
        <v>8.7962962962962956E-6</v>
      </c>
      <c r="G104" s="19">
        <f t="shared" si="11"/>
        <v>1.1748611111111119E-2</v>
      </c>
      <c r="H104" s="19">
        <f t="shared" si="9"/>
        <v>1.1968518518518528E-2</v>
      </c>
      <c r="I104" s="11">
        <f t="shared" si="10"/>
        <v>2.7909722222222294E-3</v>
      </c>
      <c r="J104" s="18" t="s">
        <v>69</v>
      </c>
      <c r="K104" t="s">
        <v>69</v>
      </c>
    </row>
    <row r="105" spans="1:11" x14ac:dyDescent="0.3">
      <c r="A105">
        <v>104</v>
      </c>
      <c r="B105" s="3">
        <v>9.0412037037037041E-3</v>
      </c>
      <c r="C105">
        <v>1.68</v>
      </c>
      <c r="D105" s="3">
        <v>8.356481481481496E-5</v>
      </c>
      <c r="E105" s="19">
        <f t="shared" si="7"/>
        <v>9.0412037037037041E-3</v>
      </c>
      <c r="F105" s="11">
        <v>1.9444444444444445E-5</v>
      </c>
      <c r="G105" s="19">
        <f t="shared" si="11"/>
        <v>1.1851620370370379E-2</v>
      </c>
      <c r="H105" s="19">
        <f t="shared" si="9"/>
        <v>1.2071527777777787E-2</v>
      </c>
      <c r="I105" s="11">
        <f t="shared" si="10"/>
        <v>2.8104166666666746E-3</v>
      </c>
      <c r="J105" s="18" t="s">
        <v>70</v>
      </c>
      <c r="K105" t="s">
        <v>70</v>
      </c>
    </row>
    <row r="106" spans="1:11" x14ac:dyDescent="0.3">
      <c r="A106">
        <v>105</v>
      </c>
      <c r="B106" s="3">
        <v>9.1664351851851854E-3</v>
      </c>
      <c r="C106">
        <v>4.58</v>
      </c>
      <c r="D106" s="3">
        <v>1.2523148148148137E-4</v>
      </c>
      <c r="E106" s="19">
        <f t="shared" si="7"/>
        <v>9.1664351851851854E-3</v>
      </c>
      <c r="F106" s="11">
        <v>5.3009259259259257E-5</v>
      </c>
      <c r="G106" s="19">
        <f t="shared" si="11"/>
        <v>1.202986111111112E-2</v>
      </c>
      <c r="H106" s="19">
        <f t="shared" si="9"/>
        <v>1.2249768518518528E-2</v>
      </c>
      <c r="I106" s="11">
        <f t="shared" si="10"/>
        <v>2.8634259259259342E-3</v>
      </c>
      <c r="J106" s="18" t="s">
        <v>71</v>
      </c>
      <c r="K106" t="s">
        <v>71</v>
      </c>
    </row>
    <row r="107" spans="1:11" x14ac:dyDescent="0.3">
      <c r="A107">
        <v>106</v>
      </c>
      <c r="B107" s="3">
        <v>9.2386574074074072E-3</v>
      </c>
      <c r="C107">
        <v>1.66</v>
      </c>
      <c r="D107" s="3">
        <v>7.2222222222221785E-5</v>
      </c>
      <c r="E107" s="19">
        <f t="shared" si="7"/>
        <v>9.2386574074074072E-3</v>
      </c>
      <c r="F107" s="11">
        <v>1.9212962962962965E-5</v>
      </c>
      <c r="G107" s="19">
        <f t="shared" si="11"/>
        <v>1.2121296296296304E-2</v>
      </c>
      <c r="H107" s="19">
        <f t="shared" si="9"/>
        <v>1.2341203703703712E-2</v>
      </c>
      <c r="I107" s="11">
        <f t="shared" si="10"/>
        <v>2.8826388888888964E-3</v>
      </c>
      <c r="J107" s="18" t="s">
        <v>122</v>
      </c>
      <c r="K107" t="s">
        <v>156</v>
      </c>
    </row>
    <row r="108" spans="1:11" x14ac:dyDescent="0.3">
      <c r="A108">
        <v>107</v>
      </c>
      <c r="B108" s="3">
        <v>9.3423611111111103E-3</v>
      </c>
      <c r="C108">
        <v>2.04</v>
      </c>
      <c r="D108" s="3">
        <v>1.0370370370370308E-4</v>
      </c>
      <c r="E108" s="19">
        <f t="shared" si="7"/>
        <v>9.3423611111111103E-3</v>
      </c>
      <c r="F108" s="11">
        <v>2.3611111111111111E-5</v>
      </c>
      <c r="G108" s="19">
        <f t="shared" si="11"/>
        <v>1.2248611111111118E-2</v>
      </c>
      <c r="H108" s="19">
        <f t="shared" si="9"/>
        <v>1.2468518518518526E-2</v>
      </c>
      <c r="I108" s="11">
        <f t="shared" si="10"/>
        <v>2.9062500000000078E-3</v>
      </c>
      <c r="J108" s="18" t="s">
        <v>123</v>
      </c>
      <c r="K108" t="s">
        <v>157</v>
      </c>
    </row>
    <row r="109" spans="1:11" x14ac:dyDescent="0.3">
      <c r="A109">
        <v>108</v>
      </c>
      <c r="B109" s="3">
        <v>9.4442129629629633E-3</v>
      </c>
      <c r="C109">
        <v>0.8</v>
      </c>
      <c r="D109" s="3">
        <v>1.0185185185185297E-4</v>
      </c>
      <c r="E109" s="19">
        <f t="shared" si="7"/>
        <v>9.4442129629629633E-3</v>
      </c>
      <c r="F109" s="11">
        <v>9.2592592592592591E-6</v>
      </c>
      <c r="G109" s="19">
        <f t="shared" si="11"/>
        <v>1.235972222222223E-2</v>
      </c>
      <c r="H109" s="19">
        <f t="shared" si="9"/>
        <v>1.2579629629629639E-2</v>
      </c>
      <c r="I109" s="11">
        <f t="shared" si="10"/>
        <v>2.915509259259267E-3</v>
      </c>
      <c r="J109" s="18" t="s">
        <v>72</v>
      </c>
      <c r="K109" t="s">
        <v>72</v>
      </c>
    </row>
    <row r="110" spans="1:11" x14ac:dyDescent="0.3">
      <c r="A110">
        <v>109</v>
      </c>
      <c r="B110" s="3">
        <v>9.5196759259259262E-3</v>
      </c>
      <c r="C110">
        <v>3.18</v>
      </c>
      <c r="D110" s="3">
        <v>7.546296296296294E-5</v>
      </c>
      <c r="E110" s="19">
        <f t="shared" si="7"/>
        <v>9.5196759259259262E-3</v>
      </c>
      <c r="F110" s="11">
        <v>3.6805555555555556E-5</v>
      </c>
      <c r="G110" s="19">
        <f t="shared" si="11"/>
        <v>1.2471990740740749E-2</v>
      </c>
      <c r="H110" s="19">
        <f t="shared" si="9"/>
        <v>1.2691898148148157E-2</v>
      </c>
      <c r="I110" s="11">
        <f t="shared" si="10"/>
        <v>2.9523148148148225E-3</v>
      </c>
      <c r="J110" s="18" t="s">
        <v>73</v>
      </c>
      <c r="K110" t="s">
        <v>73</v>
      </c>
    </row>
    <row r="111" spans="1:11" x14ac:dyDescent="0.3">
      <c r="A111">
        <v>110</v>
      </c>
      <c r="B111" s="3">
        <v>9.5770833333333333E-3</v>
      </c>
      <c r="C111">
        <v>1.44</v>
      </c>
      <c r="D111" s="3">
        <v>5.740740740740706E-5</v>
      </c>
      <c r="E111" s="19">
        <f t="shared" si="7"/>
        <v>9.5770833333333333E-3</v>
      </c>
      <c r="F111" s="11">
        <v>1.6666666666666667E-5</v>
      </c>
      <c r="G111" s="19">
        <f t="shared" si="11"/>
        <v>1.2546064814814822E-2</v>
      </c>
      <c r="H111" s="19">
        <f t="shared" si="9"/>
        <v>1.2765972222222231E-2</v>
      </c>
      <c r="I111" s="11">
        <f t="shared" si="10"/>
        <v>2.9689814814814891E-3</v>
      </c>
      <c r="J111" s="18" t="s">
        <v>124</v>
      </c>
      <c r="K111" t="s">
        <v>124</v>
      </c>
    </row>
    <row r="112" spans="1:11" x14ac:dyDescent="0.3">
      <c r="A112">
        <v>111</v>
      </c>
      <c r="B112" s="3">
        <v>9.6451388888888871E-3</v>
      </c>
      <c r="C112">
        <v>2.52</v>
      </c>
      <c r="D112" s="3">
        <v>6.805555555555471E-5</v>
      </c>
      <c r="E112" s="19">
        <f t="shared" si="7"/>
        <v>9.6451388888888871E-3</v>
      </c>
      <c r="F112" s="11">
        <v>2.9166666666666666E-5</v>
      </c>
      <c r="G112" s="19">
        <f t="shared" si="11"/>
        <v>1.2643287037037043E-2</v>
      </c>
      <c r="H112" s="19">
        <f t="shared" si="9"/>
        <v>1.2863194444444451E-2</v>
      </c>
      <c r="I112" s="11">
        <f t="shared" si="10"/>
        <v>2.998148148148156E-3</v>
      </c>
      <c r="J112" s="18" t="s">
        <v>74</v>
      </c>
      <c r="K112" t="s">
        <v>74</v>
      </c>
    </row>
    <row r="113" spans="1:11" x14ac:dyDescent="0.3">
      <c r="A113">
        <v>112</v>
      </c>
      <c r="B113" s="3">
        <v>9.7627314814814816E-3</v>
      </c>
      <c r="C113">
        <v>0.74</v>
      </c>
      <c r="D113" s="3">
        <v>1.1759259259259362E-4</v>
      </c>
      <c r="E113" s="19">
        <f t="shared" si="7"/>
        <v>9.7627314814814799E-3</v>
      </c>
      <c r="F113" s="11">
        <v>8.5648148148148155E-6</v>
      </c>
      <c r="G113" s="19">
        <f t="shared" si="11"/>
        <v>1.2769444444444451E-2</v>
      </c>
      <c r="H113" s="19">
        <f t="shared" si="9"/>
        <v>1.298935185185186E-2</v>
      </c>
      <c r="I113" s="11">
        <f t="shared" si="10"/>
        <v>3.0067129629629714E-3</v>
      </c>
      <c r="J113" s="18" t="s">
        <v>125</v>
      </c>
      <c r="K113" t="s">
        <v>125</v>
      </c>
    </row>
    <row r="114" spans="1:11" x14ac:dyDescent="0.3">
      <c r="A114">
        <v>113</v>
      </c>
      <c r="B114" s="3">
        <v>9.8298611111111121E-3</v>
      </c>
      <c r="C114">
        <v>1.1000000000000001</v>
      </c>
      <c r="D114" s="3">
        <v>6.7129629629629657E-5</v>
      </c>
      <c r="E114" s="19">
        <f t="shared" si="7"/>
        <v>9.8298611111111087E-3</v>
      </c>
      <c r="F114" s="11">
        <v>1.2731481481481482E-5</v>
      </c>
      <c r="G114" s="19">
        <f t="shared" si="11"/>
        <v>1.2849305555555562E-2</v>
      </c>
      <c r="H114" s="19">
        <f t="shared" si="9"/>
        <v>1.306921296296297E-2</v>
      </c>
      <c r="I114" s="11">
        <f t="shared" si="10"/>
        <v>3.0194444444444531E-3</v>
      </c>
      <c r="J114" s="18" t="s">
        <v>75</v>
      </c>
      <c r="K114" t="s">
        <v>75</v>
      </c>
    </row>
    <row r="115" spans="1:11" x14ac:dyDescent="0.3">
      <c r="A115">
        <v>114</v>
      </c>
      <c r="B115" s="3">
        <v>9.9460648148148138E-3</v>
      </c>
      <c r="C115">
        <v>2.86</v>
      </c>
      <c r="D115" s="3">
        <v>1.1620370370370343E-4</v>
      </c>
      <c r="E115" s="19">
        <f t="shared" si="7"/>
        <v>9.9460648148148121E-3</v>
      </c>
      <c r="F115" s="11">
        <v>3.3101851851851848E-5</v>
      </c>
      <c r="G115" s="19">
        <f t="shared" si="11"/>
        <v>1.2998611111111117E-2</v>
      </c>
      <c r="H115" s="19">
        <f t="shared" si="9"/>
        <v>1.3218518518518525E-2</v>
      </c>
      <c r="I115" s="11">
        <f t="shared" si="10"/>
        <v>3.0525462962963049E-3</v>
      </c>
      <c r="J115" s="18" t="s">
        <v>76</v>
      </c>
      <c r="K115" t="s">
        <v>76</v>
      </c>
    </row>
    <row r="116" spans="1:11" x14ac:dyDescent="0.3">
      <c r="A116">
        <v>115</v>
      </c>
      <c r="B116" s="3">
        <v>1.0016435185185186E-2</v>
      </c>
      <c r="C116">
        <v>0.52</v>
      </c>
      <c r="D116" s="3">
        <v>7.0370370370370812E-5</v>
      </c>
      <c r="E116" s="19">
        <f t="shared" si="7"/>
        <v>1.0016435185185184E-2</v>
      </c>
      <c r="F116" s="11">
        <v>6.0185185185185185E-6</v>
      </c>
      <c r="G116" s="19">
        <f t="shared" si="11"/>
        <v>1.3075000000000005E-2</v>
      </c>
      <c r="H116" s="19">
        <f t="shared" si="9"/>
        <v>1.3294907407407413E-2</v>
      </c>
      <c r="I116" s="11">
        <f t="shared" si="10"/>
        <v>3.0585648148148212E-3</v>
      </c>
      <c r="J116" s="18" t="s">
        <v>77</v>
      </c>
      <c r="K116" t="s">
        <v>77</v>
      </c>
    </row>
    <row r="117" spans="1:11" x14ac:dyDescent="0.3">
      <c r="A117">
        <v>116</v>
      </c>
      <c r="B117" s="3">
        <v>1.005601851851852E-2</v>
      </c>
      <c r="C117">
        <v>5.28</v>
      </c>
      <c r="D117" s="3">
        <v>3.9583333333333311E-5</v>
      </c>
      <c r="E117" s="19">
        <f t="shared" si="7"/>
        <v>1.0056018518518516E-2</v>
      </c>
      <c r="F117" s="11">
        <v>6.1111111111111107E-5</v>
      </c>
      <c r="G117" s="19">
        <f t="shared" si="11"/>
        <v>1.317569444444445E-2</v>
      </c>
      <c r="H117" s="19">
        <f t="shared" si="9"/>
        <v>1.3395601851851858E-2</v>
      </c>
      <c r="I117" s="11">
        <f t="shared" si="10"/>
        <v>3.1196759259259337E-3</v>
      </c>
      <c r="J117" s="18" t="s">
        <v>78</v>
      </c>
      <c r="K117" t="s">
        <v>78</v>
      </c>
    </row>
    <row r="118" spans="1:11" x14ac:dyDescent="0.3">
      <c r="A118">
        <v>117</v>
      </c>
      <c r="B118" s="3">
        <v>1.0093981481481482E-2</v>
      </c>
      <c r="C118">
        <v>7.12</v>
      </c>
      <c r="D118" s="3">
        <v>3.7962962962961866E-5</v>
      </c>
      <c r="E118" s="19">
        <f t="shared" si="7"/>
        <v>1.0093981481481478E-2</v>
      </c>
      <c r="F118" s="11">
        <v>8.240740740740741E-5</v>
      </c>
      <c r="G118" s="19">
        <f t="shared" si="11"/>
        <v>1.329606481481482E-2</v>
      </c>
      <c r="H118" s="19">
        <f t="shared" si="9"/>
        <v>1.3515972222222228E-2</v>
      </c>
      <c r="I118" s="11">
        <f t="shared" si="10"/>
        <v>3.2020833333333415E-3</v>
      </c>
      <c r="J118" s="18" t="s">
        <v>79</v>
      </c>
      <c r="K118" t="s">
        <v>79</v>
      </c>
    </row>
    <row r="119" spans="1:11" x14ac:dyDescent="0.3">
      <c r="A119">
        <v>118</v>
      </c>
      <c r="B119" s="3">
        <v>1.0150694444444445E-2</v>
      </c>
      <c r="C119">
        <v>3</v>
      </c>
      <c r="D119" s="3">
        <v>5.6712962962964138E-5</v>
      </c>
      <c r="E119" s="19">
        <f t="shared" si="7"/>
        <v>1.0150694444444441E-2</v>
      </c>
      <c r="F119" s="11">
        <v>3.4722222222222222E-5</v>
      </c>
      <c r="G119" s="19">
        <f t="shared" si="11"/>
        <v>1.3387500000000005E-2</v>
      </c>
      <c r="H119" s="19">
        <f t="shared" si="9"/>
        <v>1.3607407407407414E-2</v>
      </c>
      <c r="I119" s="11">
        <f t="shared" si="10"/>
        <v>3.2368055555555639E-3</v>
      </c>
      <c r="J119" s="18" t="s">
        <v>80</v>
      </c>
      <c r="K119" t="s">
        <v>80</v>
      </c>
    </row>
    <row r="120" spans="1:11" x14ac:dyDescent="0.3">
      <c r="A120">
        <v>119</v>
      </c>
      <c r="B120" s="3">
        <v>1.022800925925926E-2</v>
      </c>
      <c r="C120">
        <v>0</v>
      </c>
      <c r="D120" s="3">
        <v>7.7314814814814781E-5</v>
      </c>
      <c r="E120" s="19">
        <f t="shared" si="7"/>
        <v>1.0228009259259256E-2</v>
      </c>
      <c r="F120" s="11">
        <v>0</v>
      </c>
      <c r="G120" s="19">
        <f t="shared" si="11"/>
        <v>1.346481481481482E-2</v>
      </c>
      <c r="H120" s="19">
        <f t="shared" si="9"/>
        <v>1.3684722222222228E-2</v>
      </c>
      <c r="I120" s="11">
        <f t="shared" si="10"/>
        <v>3.2368055555555639E-3</v>
      </c>
      <c r="J120" s="18" t="s">
        <v>81</v>
      </c>
      <c r="K120" t="s">
        <v>81</v>
      </c>
    </row>
    <row r="121" spans="1:11" x14ac:dyDescent="0.3">
      <c r="F121" s="11">
        <f>SUM(F2:F120)</f>
        <v>3.2368055555555548E-3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27"/>
  <sheetViews>
    <sheetView topLeftCell="A2289" workbookViewId="0">
      <selection activeCell="A2329" sqref="A2329:A2346"/>
    </sheetView>
  </sheetViews>
  <sheetFormatPr defaultRowHeight="14" x14ac:dyDescent="0.3"/>
  <sheetData>
    <row r="1" spans="1:1" x14ac:dyDescent="0.3">
      <c r="A1">
        <v>1</v>
      </c>
    </row>
    <row r="2" spans="1:1" x14ac:dyDescent="0.3">
      <c r="A2" t="s">
        <v>926</v>
      </c>
    </row>
    <row r="3" spans="1:1" x14ac:dyDescent="0.3">
      <c r="A3" t="s">
        <v>158</v>
      </c>
    </row>
    <row r="5" spans="1:1" x14ac:dyDescent="0.3">
      <c r="A5">
        <v>2</v>
      </c>
    </row>
    <row r="6" spans="1:1" x14ac:dyDescent="0.3">
      <c r="A6" t="s">
        <v>927</v>
      </c>
    </row>
    <row r="7" spans="1:1" x14ac:dyDescent="0.3">
      <c r="A7" t="s">
        <v>159</v>
      </c>
    </row>
    <row r="9" spans="1:1" x14ac:dyDescent="0.3">
      <c r="A9">
        <v>3</v>
      </c>
    </row>
    <row r="10" spans="1:1" x14ac:dyDescent="0.3">
      <c r="A10" t="s">
        <v>928</v>
      </c>
    </row>
    <row r="11" spans="1:1" x14ac:dyDescent="0.3">
      <c r="A11" t="s">
        <v>160</v>
      </c>
    </row>
    <row r="13" spans="1:1" x14ac:dyDescent="0.3">
      <c r="A13">
        <v>4</v>
      </c>
    </row>
    <row r="14" spans="1:1" x14ac:dyDescent="0.3">
      <c r="A14" t="s">
        <v>929</v>
      </c>
    </row>
    <row r="15" spans="1:1" x14ac:dyDescent="0.3">
      <c r="A15" t="s">
        <v>930</v>
      </c>
    </row>
    <row r="17" spans="1:1" x14ac:dyDescent="0.3">
      <c r="A17">
        <v>5</v>
      </c>
    </row>
    <row r="18" spans="1:1" x14ac:dyDescent="0.3">
      <c r="A18" t="s">
        <v>931</v>
      </c>
    </row>
    <row r="19" spans="1:1" x14ac:dyDescent="0.3">
      <c r="A19" t="s">
        <v>932</v>
      </c>
    </row>
    <row r="21" spans="1:1" x14ac:dyDescent="0.3">
      <c r="A21">
        <v>6</v>
      </c>
    </row>
    <row r="22" spans="1:1" x14ac:dyDescent="0.3">
      <c r="A22" t="s">
        <v>933</v>
      </c>
    </row>
    <row r="23" spans="1:1" x14ac:dyDescent="0.3">
      <c r="A23" t="s">
        <v>934</v>
      </c>
    </row>
    <row r="25" spans="1:1" x14ac:dyDescent="0.3">
      <c r="A25">
        <v>7</v>
      </c>
    </row>
    <row r="26" spans="1:1" x14ac:dyDescent="0.3">
      <c r="A26" t="s">
        <v>935</v>
      </c>
    </row>
    <row r="27" spans="1:1" x14ac:dyDescent="0.3">
      <c r="A27" t="s">
        <v>936</v>
      </c>
    </row>
    <row r="29" spans="1:1" x14ac:dyDescent="0.3">
      <c r="A29">
        <v>8</v>
      </c>
    </row>
    <row r="30" spans="1:1" x14ac:dyDescent="0.3">
      <c r="A30" t="s">
        <v>937</v>
      </c>
    </row>
    <row r="31" spans="1:1" x14ac:dyDescent="0.3">
      <c r="A31" t="s">
        <v>938</v>
      </c>
    </row>
    <row r="33" spans="1:1" x14ac:dyDescent="0.3">
      <c r="A33">
        <v>9</v>
      </c>
    </row>
    <row r="34" spans="1:1" x14ac:dyDescent="0.3">
      <c r="A34" t="s">
        <v>939</v>
      </c>
    </row>
    <row r="35" spans="1:1" x14ac:dyDescent="0.3">
      <c r="A35" t="s">
        <v>940</v>
      </c>
    </row>
    <row r="37" spans="1:1" x14ac:dyDescent="0.3">
      <c r="A37">
        <v>10</v>
      </c>
    </row>
    <row r="38" spans="1:1" x14ac:dyDescent="0.3">
      <c r="A38" t="s">
        <v>941</v>
      </c>
    </row>
    <row r="39" spans="1:1" x14ac:dyDescent="0.3">
      <c r="A39" t="s">
        <v>942</v>
      </c>
    </row>
    <row r="41" spans="1:1" x14ac:dyDescent="0.3">
      <c r="A41">
        <v>11</v>
      </c>
    </row>
    <row r="42" spans="1:1" x14ac:dyDescent="0.3">
      <c r="A42" t="s">
        <v>943</v>
      </c>
    </row>
    <row r="43" spans="1:1" x14ac:dyDescent="0.3">
      <c r="A43" t="s">
        <v>161</v>
      </c>
    </row>
    <row r="45" spans="1:1" x14ac:dyDescent="0.3">
      <c r="A45">
        <v>12</v>
      </c>
    </row>
    <row r="46" spans="1:1" x14ac:dyDescent="0.3">
      <c r="A46" t="s">
        <v>944</v>
      </c>
    </row>
    <row r="47" spans="1:1" x14ac:dyDescent="0.3">
      <c r="A47" t="s">
        <v>162</v>
      </c>
    </row>
    <row r="49" spans="1:1" x14ac:dyDescent="0.3">
      <c r="A49">
        <v>13</v>
      </c>
    </row>
    <row r="50" spans="1:1" x14ac:dyDescent="0.3">
      <c r="A50" t="s">
        <v>945</v>
      </c>
    </row>
    <row r="51" spans="1:1" x14ac:dyDescent="0.3">
      <c r="A51" t="s">
        <v>163</v>
      </c>
    </row>
    <row r="53" spans="1:1" x14ac:dyDescent="0.3">
      <c r="A53">
        <v>14</v>
      </c>
    </row>
    <row r="54" spans="1:1" x14ac:dyDescent="0.3">
      <c r="A54" t="s">
        <v>946</v>
      </c>
    </row>
    <row r="55" spans="1:1" x14ac:dyDescent="0.3">
      <c r="A55" t="s">
        <v>164</v>
      </c>
    </row>
    <row r="57" spans="1:1" x14ac:dyDescent="0.3">
      <c r="A57">
        <v>15</v>
      </c>
    </row>
    <row r="58" spans="1:1" x14ac:dyDescent="0.3">
      <c r="A58" t="s">
        <v>947</v>
      </c>
    </row>
    <row r="59" spans="1:1" x14ac:dyDescent="0.3">
      <c r="A59" t="s">
        <v>165</v>
      </c>
    </row>
    <row r="61" spans="1:1" x14ac:dyDescent="0.3">
      <c r="A61">
        <v>16</v>
      </c>
    </row>
    <row r="62" spans="1:1" x14ac:dyDescent="0.3">
      <c r="A62" t="s">
        <v>948</v>
      </c>
    </row>
    <row r="63" spans="1:1" x14ac:dyDescent="0.3">
      <c r="A63" t="s">
        <v>166</v>
      </c>
    </row>
    <row r="65" spans="1:1" x14ac:dyDescent="0.3">
      <c r="A65">
        <v>17</v>
      </c>
    </row>
    <row r="66" spans="1:1" x14ac:dyDescent="0.3">
      <c r="A66" t="s">
        <v>949</v>
      </c>
    </row>
    <row r="67" spans="1:1" x14ac:dyDescent="0.3">
      <c r="A67" t="s">
        <v>167</v>
      </c>
    </row>
    <row r="69" spans="1:1" x14ac:dyDescent="0.3">
      <c r="A69">
        <v>18</v>
      </c>
    </row>
    <row r="70" spans="1:1" x14ac:dyDescent="0.3">
      <c r="A70" t="s">
        <v>950</v>
      </c>
    </row>
    <row r="71" spans="1:1" x14ac:dyDescent="0.3">
      <c r="A71" t="s">
        <v>951</v>
      </c>
    </row>
    <row r="73" spans="1:1" x14ac:dyDescent="0.3">
      <c r="A73">
        <v>19</v>
      </c>
    </row>
    <row r="74" spans="1:1" x14ac:dyDescent="0.3">
      <c r="A74" t="s">
        <v>952</v>
      </c>
    </row>
    <row r="75" spans="1:1" x14ac:dyDescent="0.3">
      <c r="A75" t="s">
        <v>953</v>
      </c>
    </row>
    <row r="77" spans="1:1" x14ac:dyDescent="0.3">
      <c r="A77">
        <v>20</v>
      </c>
    </row>
    <row r="78" spans="1:1" x14ac:dyDescent="0.3">
      <c r="A78" t="s">
        <v>954</v>
      </c>
    </row>
    <row r="79" spans="1:1" x14ac:dyDescent="0.3">
      <c r="A79" t="s">
        <v>168</v>
      </c>
    </row>
    <row r="81" spans="1:1" x14ac:dyDescent="0.3">
      <c r="A81">
        <v>21</v>
      </c>
    </row>
    <row r="82" spans="1:1" x14ac:dyDescent="0.3">
      <c r="A82" t="s">
        <v>955</v>
      </c>
    </row>
    <row r="83" spans="1:1" x14ac:dyDescent="0.3">
      <c r="A83" t="s">
        <v>956</v>
      </c>
    </row>
    <row r="85" spans="1:1" x14ac:dyDescent="0.3">
      <c r="A85">
        <v>22</v>
      </c>
    </row>
    <row r="86" spans="1:1" x14ac:dyDescent="0.3">
      <c r="A86" t="s">
        <v>957</v>
      </c>
    </row>
    <row r="87" spans="1:1" x14ac:dyDescent="0.3">
      <c r="A87" t="s">
        <v>169</v>
      </c>
    </row>
    <row r="89" spans="1:1" x14ac:dyDescent="0.3">
      <c r="A89">
        <v>23</v>
      </c>
    </row>
    <row r="90" spans="1:1" x14ac:dyDescent="0.3">
      <c r="A90" t="s">
        <v>958</v>
      </c>
    </row>
    <row r="91" spans="1:1" x14ac:dyDescent="0.3">
      <c r="A91" t="s">
        <v>170</v>
      </c>
    </row>
    <row r="93" spans="1:1" x14ac:dyDescent="0.3">
      <c r="A93">
        <v>24</v>
      </c>
    </row>
    <row r="94" spans="1:1" x14ac:dyDescent="0.3">
      <c r="A94" t="s">
        <v>959</v>
      </c>
    </row>
    <row r="95" spans="1:1" x14ac:dyDescent="0.3">
      <c r="A95" t="s">
        <v>171</v>
      </c>
    </row>
    <row r="97" spans="1:1" x14ac:dyDescent="0.3">
      <c r="A97">
        <v>25</v>
      </c>
    </row>
    <row r="98" spans="1:1" x14ac:dyDescent="0.3">
      <c r="A98" t="s">
        <v>960</v>
      </c>
    </row>
    <row r="99" spans="1:1" x14ac:dyDescent="0.3">
      <c r="A99" t="s">
        <v>961</v>
      </c>
    </row>
    <row r="101" spans="1:1" x14ac:dyDescent="0.3">
      <c r="A101">
        <v>26</v>
      </c>
    </row>
    <row r="102" spans="1:1" x14ac:dyDescent="0.3">
      <c r="A102" t="s">
        <v>962</v>
      </c>
    </row>
    <row r="103" spans="1:1" x14ac:dyDescent="0.3">
      <c r="A103" t="s">
        <v>172</v>
      </c>
    </row>
    <row r="105" spans="1:1" x14ac:dyDescent="0.3">
      <c r="A105">
        <v>27</v>
      </c>
    </row>
    <row r="106" spans="1:1" x14ac:dyDescent="0.3">
      <c r="A106" t="s">
        <v>963</v>
      </c>
    </row>
    <row r="107" spans="1:1" x14ac:dyDescent="0.3">
      <c r="A107" t="s">
        <v>173</v>
      </c>
    </row>
    <row r="109" spans="1:1" x14ac:dyDescent="0.3">
      <c r="A109">
        <v>28</v>
      </c>
    </row>
    <row r="110" spans="1:1" x14ac:dyDescent="0.3">
      <c r="A110" t="s">
        <v>964</v>
      </c>
    </row>
    <row r="111" spans="1:1" x14ac:dyDescent="0.3">
      <c r="A111" t="s">
        <v>174</v>
      </c>
    </row>
    <row r="113" spans="1:1" x14ac:dyDescent="0.3">
      <c r="A113">
        <v>29</v>
      </c>
    </row>
    <row r="114" spans="1:1" x14ac:dyDescent="0.3">
      <c r="A114" t="s">
        <v>965</v>
      </c>
    </row>
    <row r="115" spans="1:1" x14ac:dyDescent="0.3">
      <c r="A115" t="s">
        <v>175</v>
      </c>
    </row>
    <row r="117" spans="1:1" x14ac:dyDescent="0.3">
      <c r="A117">
        <v>30</v>
      </c>
    </row>
    <row r="118" spans="1:1" x14ac:dyDescent="0.3">
      <c r="A118" t="s">
        <v>966</v>
      </c>
    </row>
    <row r="119" spans="1:1" x14ac:dyDescent="0.3">
      <c r="A119" t="s">
        <v>176</v>
      </c>
    </row>
    <row r="121" spans="1:1" x14ac:dyDescent="0.3">
      <c r="A121">
        <v>31</v>
      </c>
    </row>
    <row r="122" spans="1:1" x14ac:dyDescent="0.3">
      <c r="A122" t="s">
        <v>967</v>
      </c>
    </row>
    <row r="123" spans="1:1" x14ac:dyDescent="0.3">
      <c r="A123" t="s">
        <v>177</v>
      </c>
    </row>
    <row r="125" spans="1:1" x14ac:dyDescent="0.3">
      <c r="A125">
        <v>32</v>
      </c>
    </row>
    <row r="126" spans="1:1" x14ac:dyDescent="0.3">
      <c r="A126" t="s">
        <v>968</v>
      </c>
    </row>
    <row r="127" spans="1:1" x14ac:dyDescent="0.3">
      <c r="A127" t="s">
        <v>178</v>
      </c>
    </row>
    <row r="129" spans="1:1" x14ac:dyDescent="0.3">
      <c r="A129">
        <v>33</v>
      </c>
    </row>
    <row r="130" spans="1:1" x14ac:dyDescent="0.3">
      <c r="A130" t="s">
        <v>969</v>
      </c>
    </row>
    <row r="131" spans="1:1" x14ac:dyDescent="0.3">
      <c r="A131" t="s">
        <v>179</v>
      </c>
    </row>
    <row r="133" spans="1:1" x14ac:dyDescent="0.3">
      <c r="A133">
        <v>34</v>
      </c>
    </row>
    <row r="134" spans="1:1" x14ac:dyDescent="0.3">
      <c r="A134" t="s">
        <v>970</v>
      </c>
    </row>
    <row r="135" spans="1:1" x14ac:dyDescent="0.3">
      <c r="A135" t="s">
        <v>180</v>
      </c>
    </row>
    <row r="137" spans="1:1" x14ac:dyDescent="0.3">
      <c r="A137">
        <v>35</v>
      </c>
    </row>
    <row r="138" spans="1:1" x14ac:dyDescent="0.3">
      <c r="A138" t="s">
        <v>971</v>
      </c>
    </row>
    <row r="139" spans="1:1" x14ac:dyDescent="0.3">
      <c r="A139" t="s">
        <v>181</v>
      </c>
    </row>
    <row r="141" spans="1:1" x14ac:dyDescent="0.3">
      <c r="A141">
        <v>36</v>
      </c>
    </row>
    <row r="142" spans="1:1" x14ac:dyDescent="0.3">
      <c r="A142" t="s">
        <v>972</v>
      </c>
    </row>
    <row r="143" spans="1:1" x14ac:dyDescent="0.3">
      <c r="A143" t="s">
        <v>182</v>
      </c>
    </row>
    <row r="145" spans="1:1" x14ac:dyDescent="0.3">
      <c r="A145">
        <v>37</v>
      </c>
    </row>
    <row r="146" spans="1:1" x14ac:dyDescent="0.3">
      <c r="A146" t="s">
        <v>973</v>
      </c>
    </row>
    <row r="147" spans="1:1" x14ac:dyDescent="0.3">
      <c r="A147" t="s">
        <v>183</v>
      </c>
    </row>
    <row r="149" spans="1:1" x14ac:dyDescent="0.3">
      <c r="A149">
        <v>38</v>
      </c>
    </row>
    <row r="150" spans="1:1" x14ac:dyDescent="0.3">
      <c r="A150" t="s">
        <v>974</v>
      </c>
    </row>
    <row r="151" spans="1:1" x14ac:dyDescent="0.3">
      <c r="A151" t="s">
        <v>975</v>
      </c>
    </row>
    <row r="153" spans="1:1" x14ac:dyDescent="0.3">
      <c r="A153">
        <v>39</v>
      </c>
    </row>
    <row r="154" spans="1:1" x14ac:dyDescent="0.3">
      <c r="A154" t="s">
        <v>976</v>
      </c>
    </row>
    <row r="155" spans="1:1" x14ac:dyDescent="0.3">
      <c r="A155" t="s">
        <v>977</v>
      </c>
    </row>
    <row r="157" spans="1:1" x14ac:dyDescent="0.3">
      <c r="A157">
        <v>40</v>
      </c>
    </row>
    <row r="158" spans="1:1" x14ac:dyDescent="0.3">
      <c r="A158" t="s">
        <v>978</v>
      </c>
    </row>
    <row r="159" spans="1:1" x14ac:dyDescent="0.3">
      <c r="A159" t="s">
        <v>184</v>
      </c>
    </row>
    <row r="161" spans="1:1" x14ac:dyDescent="0.3">
      <c r="A161">
        <v>41</v>
      </c>
    </row>
    <row r="162" spans="1:1" x14ac:dyDescent="0.3">
      <c r="A162" t="s">
        <v>979</v>
      </c>
    </row>
    <row r="163" spans="1:1" x14ac:dyDescent="0.3">
      <c r="A163" t="s">
        <v>185</v>
      </c>
    </row>
    <row r="165" spans="1:1" x14ac:dyDescent="0.3">
      <c r="A165">
        <v>42</v>
      </c>
    </row>
    <row r="166" spans="1:1" x14ac:dyDescent="0.3">
      <c r="A166" t="s">
        <v>980</v>
      </c>
    </row>
    <row r="167" spans="1:1" x14ac:dyDescent="0.3">
      <c r="A167" t="s">
        <v>186</v>
      </c>
    </row>
    <row r="169" spans="1:1" x14ac:dyDescent="0.3">
      <c r="A169">
        <v>43</v>
      </c>
    </row>
    <row r="170" spans="1:1" x14ac:dyDescent="0.3">
      <c r="A170" t="s">
        <v>981</v>
      </c>
    </row>
    <row r="171" spans="1:1" x14ac:dyDescent="0.3">
      <c r="A171" t="s">
        <v>187</v>
      </c>
    </row>
    <row r="173" spans="1:1" x14ac:dyDescent="0.3">
      <c r="A173">
        <v>44</v>
      </c>
    </row>
    <row r="174" spans="1:1" x14ac:dyDescent="0.3">
      <c r="A174" t="s">
        <v>982</v>
      </c>
    </row>
    <row r="175" spans="1:1" x14ac:dyDescent="0.3">
      <c r="A175" t="s">
        <v>188</v>
      </c>
    </row>
    <row r="177" spans="1:1" x14ac:dyDescent="0.3">
      <c r="A177">
        <v>45</v>
      </c>
    </row>
    <row r="178" spans="1:1" x14ac:dyDescent="0.3">
      <c r="A178" t="s">
        <v>983</v>
      </c>
    </row>
    <row r="179" spans="1:1" x14ac:dyDescent="0.3">
      <c r="A179" t="s">
        <v>984</v>
      </c>
    </row>
    <row r="181" spans="1:1" x14ac:dyDescent="0.3">
      <c r="A181">
        <v>46</v>
      </c>
    </row>
    <row r="182" spans="1:1" x14ac:dyDescent="0.3">
      <c r="A182" t="s">
        <v>985</v>
      </c>
    </row>
    <row r="183" spans="1:1" x14ac:dyDescent="0.3">
      <c r="A183" t="s">
        <v>986</v>
      </c>
    </row>
    <row r="185" spans="1:1" x14ac:dyDescent="0.3">
      <c r="A185">
        <v>47</v>
      </c>
    </row>
    <row r="186" spans="1:1" x14ac:dyDescent="0.3">
      <c r="A186" t="s">
        <v>987</v>
      </c>
    </row>
    <row r="187" spans="1:1" x14ac:dyDescent="0.3">
      <c r="A187" t="s">
        <v>988</v>
      </c>
    </row>
    <row r="189" spans="1:1" x14ac:dyDescent="0.3">
      <c r="A189">
        <v>48</v>
      </c>
    </row>
    <row r="190" spans="1:1" x14ac:dyDescent="0.3">
      <c r="A190" t="s">
        <v>989</v>
      </c>
    </row>
    <row r="191" spans="1:1" x14ac:dyDescent="0.3">
      <c r="A191" t="s">
        <v>189</v>
      </c>
    </row>
    <row r="193" spans="1:1" x14ac:dyDescent="0.3">
      <c r="A193">
        <v>49</v>
      </c>
    </row>
    <row r="194" spans="1:1" x14ac:dyDescent="0.3">
      <c r="A194" t="s">
        <v>990</v>
      </c>
    </row>
    <row r="195" spans="1:1" x14ac:dyDescent="0.3">
      <c r="A195" t="s">
        <v>190</v>
      </c>
    </row>
    <row r="197" spans="1:1" x14ac:dyDescent="0.3">
      <c r="A197">
        <v>50</v>
      </c>
    </row>
    <row r="198" spans="1:1" x14ac:dyDescent="0.3">
      <c r="A198" t="s">
        <v>991</v>
      </c>
    </row>
    <row r="199" spans="1:1" x14ac:dyDescent="0.3">
      <c r="A199" t="s">
        <v>191</v>
      </c>
    </row>
    <row r="201" spans="1:1" x14ac:dyDescent="0.3">
      <c r="A201">
        <v>51</v>
      </c>
    </row>
    <row r="202" spans="1:1" x14ac:dyDescent="0.3">
      <c r="A202" t="s">
        <v>992</v>
      </c>
    </row>
    <row r="203" spans="1:1" x14ac:dyDescent="0.3">
      <c r="A203" t="s">
        <v>192</v>
      </c>
    </row>
    <row r="205" spans="1:1" x14ac:dyDescent="0.3">
      <c r="A205">
        <v>52</v>
      </c>
    </row>
    <row r="206" spans="1:1" x14ac:dyDescent="0.3">
      <c r="A206" t="s">
        <v>993</v>
      </c>
    </row>
    <row r="207" spans="1:1" x14ac:dyDescent="0.3">
      <c r="A207" t="s">
        <v>193</v>
      </c>
    </row>
    <row r="209" spans="1:1" x14ac:dyDescent="0.3">
      <c r="A209">
        <v>53</v>
      </c>
    </row>
    <row r="210" spans="1:1" x14ac:dyDescent="0.3">
      <c r="A210" t="s">
        <v>994</v>
      </c>
    </row>
    <row r="211" spans="1:1" x14ac:dyDescent="0.3">
      <c r="A211" t="s">
        <v>7</v>
      </c>
    </row>
    <row r="213" spans="1:1" x14ac:dyDescent="0.3">
      <c r="A213">
        <v>54</v>
      </c>
    </row>
    <row r="214" spans="1:1" x14ac:dyDescent="0.3">
      <c r="A214" t="s">
        <v>995</v>
      </c>
    </row>
    <row r="215" spans="1:1" x14ac:dyDescent="0.3">
      <c r="A215" t="s">
        <v>194</v>
      </c>
    </row>
    <row r="217" spans="1:1" x14ac:dyDescent="0.3">
      <c r="A217">
        <v>55</v>
      </c>
    </row>
    <row r="218" spans="1:1" x14ac:dyDescent="0.3">
      <c r="A218" t="s">
        <v>996</v>
      </c>
    </row>
    <row r="219" spans="1:1" x14ac:dyDescent="0.3">
      <c r="A219" t="s">
        <v>195</v>
      </c>
    </row>
    <row r="221" spans="1:1" x14ac:dyDescent="0.3">
      <c r="A221">
        <v>56</v>
      </c>
    </row>
    <row r="222" spans="1:1" x14ac:dyDescent="0.3">
      <c r="A222" t="s">
        <v>997</v>
      </c>
    </row>
    <row r="223" spans="1:1" x14ac:dyDescent="0.3">
      <c r="A223" t="s">
        <v>998</v>
      </c>
    </row>
    <row r="225" spans="1:1" x14ac:dyDescent="0.3">
      <c r="A225">
        <v>57</v>
      </c>
    </row>
    <row r="226" spans="1:1" x14ac:dyDescent="0.3">
      <c r="A226" t="s">
        <v>999</v>
      </c>
    </row>
    <row r="227" spans="1:1" x14ac:dyDescent="0.3">
      <c r="A227" t="s">
        <v>1000</v>
      </c>
    </row>
    <row r="229" spans="1:1" x14ac:dyDescent="0.3">
      <c r="A229">
        <v>58</v>
      </c>
    </row>
    <row r="230" spans="1:1" x14ac:dyDescent="0.3">
      <c r="A230" t="s">
        <v>1001</v>
      </c>
    </row>
    <row r="231" spans="1:1" x14ac:dyDescent="0.3">
      <c r="A231" t="s">
        <v>1002</v>
      </c>
    </row>
    <row r="233" spans="1:1" x14ac:dyDescent="0.3">
      <c r="A233">
        <v>59</v>
      </c>
    </row>
    <row r="234" spans="1:1" x14ac:dyDescent="0.3">
      <c r="A234" t="s">
        <v>1003</v>
      </c>
    </row>
    <row r="235" spans="1:1" x14ac:dyDescent="0.3">
      <c r="A235" t="s">
        <v>1004</v>
      </c>
    </row>
    <row r="237" spans="1:1" x14ac:dyDescent="0.3">
      <c r="A237">
        <v>60</v>
      </c>
    </row>
    <row r="238" spans="1:1" x14ac:dyDescent="0.3">
      <c r="A238" t="s">
        <v>1005</v>
      </c>
    </row>
    <row r="239" spans="1:1" x14ac:dyDescent="0.3">
      <c r="A239" t="s">
        <v>1006</v>
      </c>
    </row>
    <row r="241" spans="1:1" x14ac:dyDescent="0.3">
      <c r="A241">
        <v>61</v>
      </c>
    </row>
    <row r="242" spans="1:1" x14ac:dyDescent="0.3">
      <c r="A242" t="s">
        <v>1007</v>
      </c>
    </row>
    <row r="243" spans="1:1" x14ac:dyDescent="0.3">
      <c r="A243" t="s">
        <v>1008</v>
      </c>
    </row>
    <row r="245" spans="1:1" x14ac:dyDescent="0.3">
      <c r="A245">
        <v>62</v>
      </c>
    </row>
    <row r="246" spans="1:1" x14ac:dyDescent="0.3">
      <c r="A246" t="s">
        <v>1009</v>
      </c>
    </row>
    <row r="247" spans="1:1" x14ac:dyDescent="0.3">
      <c r="A247" t="s">
        <v>1010</v>
      </c>
    </row>
    <row r="249" spans="1:1" x14ac:dyDescent="0.3">
      <c r="A249">
        <v>63</v>
      </c>
    </row>
    <row r="250" spans="1:1" x14ac:dyDescent="0.3">
      <c r="A250" t="s">
        <v>1011</v>
      </c>
    </row>
    <row r="251" spans="1:1" x14ac:dyDescent="0.3">
      <c r="A251" t="s">
        <v>196</v>
      </c>
    </row>
    <row r="253" spans="1:1" x14ac:dyDescent="0.3">
      <c r="A253">
        <v>64</v>
      </c>
    </row>
    <row r="254" spans="1:1" x14ac:dyDescent="0.3">
      <c r="A254" t="s">
        <v>1012</v>
      </c>
    </row>
    <row r="255" spans="1:1" x14ac:dyDescent="0.3">
      <c r="A255" t="s">
        <v>197</v>
      </c>
    </row>
    <row r="257" spans="1:1" x14ac:dyDescent="0.3">
      <c r="A257">
        <v>65</v>
      </c>
    </row>
    <row r="258" spans="1:1" x14ac:dyDescent="0.3">
      <c r="A258" t="s">
        <v>1013</v>
      </c>
    </row>
    <row r="259" spans="1:1" x14ac:dyDescent="0.3">
      <c r="A259" t="s">
        <v>198</v>
      </c>
    </row>
    <row r="261" spans="1:1" x14ac:dyDescent="0.3">
      <c r="A261">
        <v>66</v>
      </c>
    </row>
    <row r="262" spans="1:1" x14ac:dyDescent="0.3">
      <c r="A262" t="s">
        <v>1014</v>
      </c>
    </row>
    <row r="263" spans="1:1" x14ac:dyDescent="0.3">
      <c r="A263" t="s">
        <v>199</v>
      </c>
    </row>
    <row r="265" spans="1:1" x14ac:dyDescent="0.3">
      <c r="A265">
        <v>67</v>
      </c>
    </row>
    <row r="266" spans="1:1" x14ac:dyDescent="0.3">
      <c r="A266" t="s">
        <v>1015</v>
      </c>
    </row>
    <row r="267" spans="1:1" x14ac:dyDescent="0.3">
      <c r="A267" t="s">
        <v>1016</v>
      </c>
    </row>
    <row r="269" spans="1:1" x14ac:dyDescent="0.3">
      <c r="A269">
        <v>68</v>
      </c>
    </row>
    <row r="270" spans="1:1" x14ac:dyDescent="0.3">
      <c r="A270" t="s">
        <v>1017</v>
      </c>
    </row>
    <row r="271" spans="1:1" x14ac:dyDescent="0.3">
      <c r="A271" t="s">
        <v>200</v>
      </c>
    </row>
    <row r="273" spans="1:1" x14ac:dyDescent="0.3">
      <c r="A273">
        <v>69</v>
      </c>
    </row>
    <row r="274" spans="1:1" x14ac:dyDescent="0.3">
      <c r="A274" t="s">
        <v>1018</v>
      </c>
    </row>
    <row r="275" spans="1:1" x14ac:dyDescent="0.3">
      <c r="A275" t="s">
        <v>1019</v>
      </c>
    </row>
    <row r="277" spans="1:1" x14ac:dyDescent="0.3">
      <c r="A277">
        <v>70</v>
      </c>
    </row>
    <row r="278" spans="1:1" x14ac:dyDescent="0.3">
      <c r="A278" t="s">
        <v>1020</v>
      </c>
    </row>
    <row r="279" spans="1:1" x14ac:dyDescent="0.3">
      <c r="A279" t="s">
        <v>201</v>
      </c>
    </row>
    <row r="281" spans="1:1" x14ac:dyDescent="0.3">
      <c r="A281">
        <v>71</v>
      </c>
    </row>
    <row r="282" spans="1:1" x14ac:dyDescent="0.3">
      <c r="A282" t="s">
        <v>1021</v>
      </c>
    </row>
    <row r="283" spans="1:1" x14ac:dyDescent="0.3">
      <c r="A283" t="s">
        <v>202</v>
      </c>
    </row>
    <row r="285" spans="1:1" x14ac:dyDescent="0.3">
      <c r="A285">
        <v>72</v>
      </c>
    </row>
    <row r="286" spans="1:1" x14ac:dyDescent="0.3">
      <c r="A286" t="s">
        <v>1022</v>
      </c>
    </row>
    <row r="287" spans="1:1" x14ac:dyDescent="0.3">
      <c r="A287" t="s">
        <v>203</v>
      </c>
    </row>
    <row r="289" spans="1:1" x14ac:dyDescent="0.3">
      <c r="A289">
        <v>73</v>
      </c>
    </row>
    <row r="290" spans="1:1" x14ac:dyDescent="0.3">
      <c r="A290" t="s">
        <v>1023</v>
      </c>
    </row>
    <row r="291" spans="1:1" x14ac:dyDescent="0.3">
      <c r="A291" t="s">
        <v>204</v>
      </c>
    </row>
    <row r="293" spans="1:1" x14ac:dyDescent="0.3">
      <c r="A293">
        <v>74</v>
      </c>
    </row>
    <row r="294" spans="1:1" x14ac:dyDescent="0.3">
      <c r="A294" t="s">
        <v>1024</v>
      </c>
    </row>
    <row r="295" spans="1:1" x14ac:dyDescent="0.3">
      <c r="A295" t="s">
        <v>1025</v>
      </c>
    </row>
    <row r="297" spans="1:1" x14ac:dyDescent="0.3">
      <c r="A297">
        <v>75</v>
      </c>
    </row>
    <row r="298" spans="1:1" x14ac:dyDescent="0.3">
      <c r="A298" t="s">
        <v>1026</v>
      </c>
    </row>
    <row r="299" spans="1:1" x14ac:dyDescent="0.3">
      <c r="A299" t="s">
        <v>1027</v>
      </c>
    </row>
    <row r="301" spans="1:1" x14ac:dyDescent="0.3">
      <c r="A301">
        <v>76</v>
      </c>
    </row>
    <row r="302" spans="1:1" x14ac:dyDescent="0.3">
      <c r="A302" t="s">
        <v>1028</v>
      </c>
    </row>
    <row r="303" spans="1:1" x14ac:dyDescent="0.3">
      <c r="A303" t="s">
        <v>1029</v>
      </c>
    </row>
    <row r="305" spans="1:1" x14ac:dyDescent="0.3">
      <c r="A305">
        <v>77</v>
      </c>
    </row>
    <row r="306" spans="1:1" x14ac:dyDescent="0.3">
      <c r="A306" t="s">
        <v>1030</v>
      </c>
    </row>
    <row r="307" spans="1:1" x14ac:dyDescent="0.3">
      <c r="A307" t="s">
        <v>1031</v>
      </c>
    </row>
    <row r="309" spans="1:1" x14ac:dyDescent="0.3">
      <c r="A309">
        <v>78</v>
      </c>
    </row>
    <row r="310" spans="1:1" x14ac:dyDescent="0.3">
      <c r="A310" t="s">
        <v>1032</v>
      </c>
    </row>
    <row r="311" spans="1:1" x14ac:dyDescent="0.3">
      <c r="A311" t="s">
        <v>205</v>
      </c>
    </row>
    <row r="313" spans="1:1" x14ac:dyDescent="0.3">
      <c r="A313">
        <v>79</v>
      </c>
    </row>
    <row r="314" spans="1:1" x14ac:dyDescent="0.3">
      <c r="A314" t="s">
        <v>1033</v>
      </c>
    </row>
    <row r="315" spans="1:1" x14ac:dyDescent="0.3">
      <c r="A315" t="s">
        <v>206</v>
      </c>
    </row>
    <row r="317" spans="1:1" x14ac:dyDescent="0.3">
      <c r="A317">
        <v>80</v>
      </c>
    </row>
    <row r="318" spans="1:1" x14ac:dyDescent="0.3">
      <c r="A318" t="s">
        <v>1034</v>
      </c>
    </row>
    <row r="319" spans="1:1" x14ac:dyDescent="0.3">
      <c r="A319" t="s">
        <v>1035</v>
      </c>
    </row>
    <row r="321" spans="1:1" x14ac:dyDescent="0.3">
      <c r="A321">
        <v>81</v>
      </c>
    </row>
    <row r="322" spans="1:1" x14ac:dyDescent="0.3">
      <c r="A322" t="s">
        <v>1036</v>
      </c>
    </row>
    <row r="323" spans="1:1" x14ac:dyDescent="0.3">
      <c r="A323" t="s">
        <v>207</v>
      </c>
    </row>
    <row r="325" spans="1:1" x14ac:dyDescent="0.3">
      <c r="A325">
        <v>82</v>
      </c>
    </row>
    <row r="326" spans="1:1" x14ac:dyDescent="0.3">
      <c r="A326" t="s">
        <v>1037</v>
      </c>
    </row>
    <row r="327" spans="1:1" x14ac:dyDescent="0.3">
      <c r="A327" t="s">
        <v>1038</v>
      </c>
    </row>
    <row r="329" spans="1:1" x14ac:dyDescent="0.3">
      <c r="A329">
        <v>83</v>
      </c>
    </row>
    <row r="330" spans="1:1" x14ac:dyDescent="0.3">
      <c r="A330" t="s">
        <v>1039</v>
      </c>
    </row>
    <row r="331" spans="1:1" x14ac:dyDescent="0.3">
      <c r="A331" t="s">
        <v>1040</v>
      </c>
    </row>
    <row r="333" spans="1:1" x14ac:dyDescent="0.3">
      <c r="A333">
        <v>84</v>
      </c>
    </row>
    <row r="334" spans="1:1" x14ac:dyDescent="0.3">
      <c r="A334" t="s">
        <v>1041</v>
      </c>
    </row>
    <row r="335" spans="1:1" x14ac:dyDescent="0.3">
      <c r="A335" t="s">
        <v>208</v>
      </c>
    </row>
    <row r="337" spans="1:1" x14ac:dyDescent="0.3">
      <c r="A337">
        <v>85</v>
      </c>
    </row>
    <row r="338" spans="1:1" x14ac:dyDescent="0.3">
      <c r="A338" t="s">
        <v>1042</v>
      </c>
    </row>
    <row r="339" spans="1:1" x14ac:dyDescent="0.3">
      <c r="A339" t="s">
        <v>209</v>
      </c>
    </row>
    <row r="341" spans="1:1" x14ac:dyDescent="0.3">
      <c r="A341">
        <v>86</v>
      </c>
    </row>
    <row r="342" spans="1:1" x14ac:dyDescent="0.3">
      <c r="A342" t="s">
        <v>1043</v>
      </c>
    </row>
    <row r="343" spans="1:1" x14ac:dyDescent="0.3">
      <c r="A343" t="s">
        <v>210</v>
      </c>
    </row>
    <row r="345" spans="1:1" x14ac:dyDescent="0.3">
      <c r="A345">
        <v>87</v>
      </c>
    </row>
    <row r="346" spans="1:1" x14ac:dyDescent="0.3">
      <c r="A346" t="s">
        <v>1044</v>
      </c>
    </row>
    <row r="347" spans="1:1" x14ac:dyDescent="0.3">
      <c r="A347" t="s">
        <v>211</v>
      </c>
    </row>
    <row r="349" spans="1:1" x14ac:dyDescent="0.3">
      <c r="A349">
        <v>88</v>
      </c>
    </row>
    <row r="350" spans="1:1" x14ac:dyDescent="0.3">
      <c r="A350" t="s">
        <v>1045</v>
      </c>
    </row>
    <row r="351" spans="1:1" x14ac:dyDescent="0.3">
      <c r="A351" t="s">
        <v>212</v>
      </c>
    </row>
    <row r="353" spans="1:1" x14ac:dyDescent="0.3">
      <c r="A353">
        <v>89</v>
      </c>
    </row>
    <row r="354" spans="1:1" x14ac:dyDescent="0.3">
      <c r="A354" t="s">
        <v>1046</v>
      </c>
    </row>
    <row r="355" spans="1:1" x14ac:dyDescent="0.3">
      <c r="A355" t="s">
        <v>1047</v>
      </c>
    </row>
    <row r="357" spans="1:1" x14ac:dyDescent="0.3">
      <c r="A357">
        <v>90</v>
      </c>
    </row>
    <row r="358" spans="1:1" x14ac:dyDescent="0.3">
      <c r="A358" t="s">
        <v>1048</v>
      </c>
    </row>
    <row r="359" spans="1:1" x14ac:dyDescent="0.3">
      <c r="A359" t="s">
        <v>1049</v>
      </c>
    </row>
    <row r="361" spans="1:1" x14ac:dyDescent="0.3">
      <c r="A361">
        <v>91</v>
      </c>
    </row>
    <row r="362" spans="1:1" x14ac:dyDescent="0.3">
      <c r="A362" t="s">
        <v>1050</v>
      </c>
    </row>
    <row r="363" spans="1:1" x14ac:dyDescent="0.3">
      <c r="A363" t="s">
        <v>1051</v>
      </c>
    </row>
    <row r="365" spans="1:1" x14ac:dyDescent="0.3">
      <c r="A365">
        <v>92</v>
      </c>
    </row>
    <row r="366" spans="1:1" x14ac:dyDescent="0.3">
      <c r="A366" t="s">
        <v>1052</v>
      </c>
    </row>
    <row r="367" spans="1:1" x14ac:dyDescent="0.3">
      <c r="A367" t="s">
        <v>213</v>
      </c>
    </row>
    <row r="369" spans="1:1" x14ac:dyDescent="0.3">
      <c r="A369">
        <v>93</v>
      </c>
    </row>
    <row r="370" spans="1:1" x14ac:dyDescent="0.3">
      <c r="A370" t="s">
        <v>1053</v>
      </c>
    </row>
    <row r="371" spans="1:1" x14ac:dyDescent="0.3">
      <c r="A371" t="s">
        <v>214</v>
      </c>
    </row>
    <row r="373" spans="1:1" x14ac:dyDescent="0.3">
      <c r="A373">
        <v>94</v>
      </c>
    </row>
    <row r="374" spans="1:1" x14ac:dyDescent="0.3">
      <c r="A374" t="s">
        <v>1054</v>
      </c>
    </row>
    <row r="375" spans="1:1" x14ac:dyDescent="0.3">
      <c r="A375" t="s">
        <v>215</v>
      </c>
    </row>
    <row r="377" spans="1:1" x14ac:dyDescent="0.3">
      <c r="A377">
        <v>95</v>
      </c>
    </row>
    <row r="378" spans="1:1" x14ac:dyDescent="0.3">
      <c r="A378" t="s">
        <v>1055</v>
      </c>
    </row>
    <row r="379" spans="1:1" x14ac:dyDescent="0.3">
      <c r="A379" t="s">
        <v>216</v>
      </c>
    </row>
    <row r="381" spans="1:1" x14ac:dyDescent="0.3">
      <c r="A381">
        <v>96</v>
      </c>
    </row>
    <row r="382" spans="1:1" x14ac:dyDescent="0.3">
      <c r="A382" t="s">
        <v>1056</v>
      </c>
    </row>
    <row r="383" spans="1:1" x14ac:dyDescent="0.3">
      <c r="A383" t="s">
        <v>217</v>
      </c>
    </row>
    <row r="385" spans="1:1" x14ac:dyDescent="0.3">
      <c r="A385">
        <v>97</v>
      </c>
    </row>
    <row r="386" spans="1:1" x14ac:dyDescent="0.3">
      <c r="A386" t="s">
        <v>1057</v>
      </c>
    </row>
    <row r="387" spans="1:1" x14ac:dyDescent="0.3">
      <c r="A387" t="s">
        <v>1058</v>
      </c>
    </row>
    <row r="389" spans="1:1" x14ac:dyDescent="0.3">
      <c r="A389">
        <v>98</v>
      </c>
    </row>
    <row r="390" spans="1:1" x14ac:dyDescent="0.3">
      <c r="A390" t="s">
        <v>1059</v>
      </c>
    </row>
    <row r="391" spans="1:1" x14ac:dyDescent="0.3">
      <c r="A391" t="s">
        <v>1060</v>
      </c>
    </row>
    <row r="393" spans="1:1" x14ac:dyDescent="0.3">
      <c r="A393">
        <v>99</v>
      </c>
    </row>
    <row r="394" spans="1:1" x14ac:dyDescent="0.3">
      <c r="A394" t="s">
        <v>1061</v>
      </c>
    </row>
    <row r="395" spans="1:1" x14ac:dyDescent="0.3">
      <c r="A395" t="s">
        <v>218</v>
      </c>
    </row>
    <row r="397" spans="1:1" x14ac:dyDescent="0.3">
      <c r="A397">
        <v>100</v>
      </c>
    </row>
    <row r="398" spans="1:1" x14ac:dyDescent="0.3">
      <c r="A398" t="s">
        <v>1062</v>
      </c>
    </row>
    <row r="399" spans="1:1" x14ac:dyDescent="0.3">
      <c r="A399" t="s">
        <v>219</v>
      </c>
    </row>
    <row r="401" spans="1:1" x14ac:dyDescent="0.3">
      <c r="A401">
        <v>101</v>
      </c>
    </row>
    <row r="402" spans="1:1" x14ac:dyDescent="0.3">
      <c r="A402" t="s">
        <v>1063</v>
      </c>
    </row>
    <row r="403" spans="1:1" x14ac:dyDescent="0.3">
      <c r="A403" t="s">
        <v>220</v>
      </c>
    </row>
    <row r="405" spans="1:1" x14ac:dyDescent="0.3">
      <c r="A405">
        <v>102</v>
      </c>
    </row>
    <row r="406" spans="1:1" x14ac:dyDescent="0.3">
      <c r="A406" t="s">
        <v>1064</v>
      </c>
    </row>
    <row r="407" spans="1:1" x14ac:dyDescent="0.3">
      <c r="A407" t="s">
        <v>221</v>
      </c>
    </row>
    <row r="409" spans="1:1" x14ac:dyDescent="0.3">
      <c r="A409">
        <v>103</v>
      </c>
    </row>
    <row r="410" spans="1:1" x14ac:dyDescent="0.3">
      <c r="A410" t="s">
        <v>1065</v>
      </c>
    </row>
    <row r="411" spans="1:1" x14ac:dyDescent="0.3">
      <c r="A411" t="s">
        <v>222</v>
      </c>
    </row>
    <row r="413" spans="1:1" x14ac:dyDescent="0.3">
      <c r="A413">
        <v>104</v>
      </c>
    </row>
    <row r="414" spans="1:1" x14ac:dyDescent="0.3">
      <c r="A414" t="s">
        <v>1066</v>
      </c>
    </row>
    <row r="415" spans="1:1" x14ac:dyDescent="0.3">
      <c r="A415" t="s">
        <v>223</v>
      </c>
    </row>
    <row r="417" spans="1:1" x14ac:dyDescent="0.3">
      <c r="A417">
        <v>105</v>
      </c>
    </row>
    <row r="418" spans="1:1" x14ac:dyDescent="0.3">
      <c r="A418" t="s">
        <v>1067</v>
      </c>
    </row>
    <row r="419" spans="1:1" x14ac:dyDescent="0.3">
      <c r="A419" t="s">
        <v>224</v>
      </c>
    </row>
    <row r="421" spans="1:1" x14ac:dyDescent="0.3">
      <c r="A421">
        <v>106</v>
      </c>
    </row>
    <row r="422" spans="1:1" x14ac:dyDescent="0.3">
      <c r="A422" t="s">
        <v>1068</v>
      </c>
    </row>
    <row r="423" spans="1:1" x14ac:dyDescent="0.3">
      <c r="A423" t="s">
        <v>225</v>
      </c>
    </row>
    <row r="425" spans="1:1" x14ac:dyDescent="0.3">
      <c r="A425">
        <v>107</v>
      </c>
    </row>
    <row r="426" spans="1:1" x14ac:dyDescent="0.3">
      <c r="A426" t="s">
        <v>1069</v>
      </c>
    </row>
    <row r="427" spans="1:1" x14ac:dyDescent="0.3">
      <c r="A427" t="s">
        <v>1070</v>
      </c>
    </row>
    <row r="429" spans="1:1" x14ac:dyDescent="0.3">
      <c r="A429">
        <v>108</v>
      </c>
    </row>
    <row r="430" spans="1:1" x14ac:dyDescent="0.3">
      <c r="A430" t="s">
        <v>1071</v>
      </c>
    </row>
    <row r="431" spans="1:1" x14ac:dyDescent="0.3">
      <c r="A431" t="s">
        <v>1072</v>
      </c>
    </row>
    <row r="433" spans="1:1" x14ac:dyDescent="0.3">
      <c r="A433">
        <v>109</v>
      </c>
    </row>
    <row r="434" spans="1:1" x14ac:dyDescent="0.3">
      <c r="A434" t="s">
        <v>1073</v>
      </c>
    </row>
    <row r="435" spans="1:1" x14ac:dyDescent="0.3">
      <c r="A435" t="s">
        <v>226</v>
      </c>
    </row>
    <row r="437" spans="1:1" x14ac:dyDescent="0.3">
      <c r="A437">
        <v>110</v>
      </c>
    </row>
    <row r="438" spans="1:1" x14ac:dyDescent="0.3">
      <c r="A438" t="s">
        <v>1074</v>
      </c>
    </row>
    <row r="439" spans="1:1" x14ac:dyDescent="0.3">
      <c r="A439" t="s">
        <v>227</v>
      </c>
    </row>
    <row r="441" spans="1:1" x14ac:dyDescent="0.3">
      <c r="A441">
        <v>111</v>
      </c>
    </row>
    <row r="442" spans="1:1" x14ac:dyDescent="0.3">
      <c r="A442" t="s">
        <v>1075</v>
      </c>
    </row>
    <row r="443" spans="1:1" x14ac:dyDescent="0.3">
      <c r="A443" t="s">
        <v>4</v>
      </c>
    </row>
    <row r="445" spans="1:1" x14ac:dyDescent="0.3">
      <c r="A445">
        <v>112</v>
      </c>
    </row>
    <row r="446" spans="1:1" x14ac:dyDescent="0.3">
      <c r="A446" t="s">
        <v>1076</v>
      </c>
    </row>
    <row r="447" spans="1:1" x14ac:dyDescent="0.3">
      <c r="A447" t="s">
        <v>228</v>
      </c>
    </row>
    <row r="449" spans="1:1" x14ac:dyDescent="0.3">
      <c r="A449">
        <v>113</v>
      </c>
    </row>
    <row r="450" spans="1:1" x14ac:dyDescent="0.3">
      <c r="A450" t="s">
        <v>1077</v>
      </c>
    </row>
    <row r="451" spans="1:1" x14ac:dyDescent="0.3">
      <c r="A451" t="s">
        <v>229</v>
      </c>
    </row>
    <row r="453" spans="1:1" x14ac:dyDescent="0.3">
      <c r="A453">
        <v>114</v>
      </c>
    </row>
    <row r="454" spans="1:1" x14ac:dyDescent="0.3">
      <c r="A454" t="s">
        <v>1078</v>
      </c>
    </row>
    <row r="455" spans="1:1" x14ac:dyDescent="0.3">
      <c r="A455" t="s">
        <v>230</v>
      </c>
    </row>
    <row r="457" spans="1:1" x14ac:dyDescent="0.3">
      <c r="A457">
        <v>115</v>
      </c>
    </row>
    <row r="458" spans="1:1" x14ac:dyDescent="0.3">
      <c r="A458" t="s">
        <v>1079</v>
      </c>
    </row>
    <row r="459" spans="1:1" x14ac:dyDescent="0.3">
      <c r="A459" t="s">
        <v>231</v>
      </c>
    </row>
    <row r="461" spans="1:1" x14ac:dyDescent="0.3">
      <c r="A461">
        <v>116</v>
      </c>
    </row>
    <row r="462" spans="1:1" x14ac:dyDescent="0.3">
      <c r="A462" t="s">
        <v>1080</v>
      </c>
    </row>
    <row r="463" spans="1:1" x14ac:dyDescent="0.3">
      <c r="A463" t="s">
        <v>232</v>
      </c>
    </row>
    <row r="465" spans="1:1" x14ac:dyDescent="0.3">
      <c r="A465">
        <v>117</v>
      </c>
    </row>
    <row r="466" spans="1:1" x14ac:dyDescent="0.3">
      <c r="A466" t="s">
        <v>1081</v>
      </c>
    </row>
    <row r="467" spans="1:1" x14ac:dyDescent="0.3">
      <c r="A467" t="s">
        <v>233</v>
      </c>
    </row>
    <row r="469" spans="1:1" x14ac:dyDescent="0.3">
      <c r="A469">
        <v>118</v>
      </c>
    </row>
    <row r="470" spans="1:1" x14ac:dyDescent="0.3">
      <c r="A470" t="s">
        <v>1082</v>
      </c>
    </row>
    <row r="471" spans="1:1" x14ac:dyDescent="0.3">
      <c r="A471" t="s">
        <v>234</v>
      </c>
    </row>
    <row r="473" spans="1:1" x14ac:dyDescent="0.3">
      <c r="A473">
        <v>119</v>
      </c>
    </row>
    <row r="474" spans="1:1" x14ac:dyDescent="0.3">
      <c r="A474" t="s">
        <v>1083</v>
      </c>
    </row>
    <row r="475" spans="1:1" x14ac:dyDescent="0.3">
      <c r="A475" t="s">
        <v>235</v>
      </c>
    </row>
    <row r="477" spans="1:1" x14ac:dyDescent="0.3">
      <c r="A477">
        <v>120</v>
      </c>
    </row>
    <row r="478" spans="1:1" x14ac:dyDescent="0.3">
      <c r="A478" t="s">
        <v>1084</v>
      </c>
    </row>
    <row r="479" spans="1:1" x14ac:dyDescent="0.3">
      <c r="A479" t="s">
        <v>236</v>
      </c>
    </row>
    <row r="481" spans="1:1" x14ac:dyDescent="0.3">
      <c r="A481">
        <v>121</v>
      </c>
    </row>
    <row r="482" spans="1:1" x14ac:dyDescent="0.3">
      <c r="A482" t="s">
        <v>1085</v>
      </c>
    </row>
    <row r="483" spans="1:1" x14ac:dyDescent="0.3">
      <c r="A483" t="s">
        <v>237</v>
      </c>
    </row>
    <row r="485" spans="1:1" x14ac:dyDescent="0.3">
      <c r="A485">
        <v>122</v>
      </c>
    </row>
    <row r="486" spans="1:1" x14ac:dyDescent="0.3">
      <c r="A486" t="s">
        <v>1086</v>
      </c>
    </row>
    <row r="487" spans="1:1" x14ac:dyDescent="0.3">
      <c r="A487" t="s">
        <v>238</v>
      </c>
    </row>
    <row r="489" spans="1:1" x14ac:dyDescent="0.3">
      <c r="A489">
        <v>123</v>
      </c>
    </row>
    <row r="490" spans="1:1" x14ac:dyDescent="0.3">
      <c r="A490" t="s">
        <v>1087</v>
      </c>
    </row>
    <row r="491" spans="1:1" x14ac:dyDescent="0.3">
      <c r="A491" t="s">
        <v>239</v>
      </c>
    </row>
    <row r="493" spans="1:1" x14ac:dyDescent="0.3">
      <c r="A493">
        <v>124</v>
      </c>
    </row>
    <row r="494" spans="1:1" x14ac:dyDescent="0.3">
      <c r="A494" t="s">
        <v>1088</v>
      </c>
    </row>
    <row r="495" spans="1:1" x14ac:dyDescent="0.3">
      <c r="A495" t="s">
        <v>1089</v>
      </c>
    </row>
    <row r="497" spans="1:1" x14ac:dyDescent="0.3">
      <c r="A497">
        <v>125</v>
      </c>
    </row>
    <row r="498" spans="1:1" x14ac:dyDescent="0.3">
      <c r="A498" t="s">
        <v>1090</v>
      </c>
    </row>
    <row r="499" spans="1:1" x14ac:dyDescent="0.3">
      <c r="A499" t="s">
        <v>5</v>
      </c>
    </row>
    <row r="501" spans="1:1" x14ac:dyDescent="0.3">
      <c r="A501">
        <v>126</v>
      </c>
    </row>
    <row r="502" spans="1:1" x14ac:dyDescent="0.3">
      <c r="A502" t="s">
        <v>1091</v>
      </c>
    </row>
    <row r="503" spans="1:1" x14ac:dyDescent="0.3">
      <c r="A503" t="s">
        <v>240</v>
      </c>
    </row>
    <row r="505" spans="1:1" x14ac:dyDescent="0.3">
      <c r="A505">
        <v>127</v>
      </c>
    </row>
    <row r="506" spans="1:1" x14ac:dyDescent="0.3">
      <c r="A506" t="s">
        <v>1092</v>
      </c>
    </row>
    <row r="507" spans="1:1" x14ac:dyDescent="0.3">
      <c r="A507" t="s">
        <v>6</v>
      </c>
    </row>
    <row r="509" spans="1:1" x14ac:dyDescent="0.3">
      <c r="A509">
        <v>128</v>
      </c>
    </row>
    <row r="510" spans="1:1" x14ac:dyDescent="0.3">
      <c r="A510" t="s">
        <v>1093</v>
      </c>
    </row>
    <row r="511" spans="1:1" x14ac:dyDescent="0.3">
      <c r="A511" t="s">
        <v>1094</v>
      </c>
    </row>
    <row r="513" spans="1:1" x14ac:dyDescent="0.3">
      <c r="A513">
        <v>129</v>
      </c>
    </row>
    <row r="514" spans="1:1" x14ac:dyDescent="0.3">
      <c r="A514" t="s">
        <v>1095</v>
      </c>
    </row>
    <row r="515" spans="1:1" x14ac:dyDescent="0.3">
      <c r="A515" t="s">
        <v>1096</v>
      </c>
    </row>
    <row r="517" spans="1:1" x14ac:dyDescent="0.3">
      <c r="A517">
        <v>130</v>
      </c>
    </row>
    <row r="518" spans="1:1" x14ac:dyDescent="0.3">
      <c r="A518" t="s">
        <v>1097</v>
      </c>
    </row>
    <row r="519" spans="1:1" x14ac:dyDescent="0.3">
      <c r="A519" t="s">
        <v>241</v>
      </c>
    </row>
    <row r="521" spans="1:1" x14ac:dyDescent="0.3">
      <c r="A521">
        <v>131</v>
      </c>
    </row>
    <row r="522" spans="1:1" x14ac:dyDescent="0.3">
      <c r="A522" t="s">
        <v>1098</v>
      </c>
    </row>
    <row r="523" spans="1:1" x14ac:dyDescent="0.3">
      <c r="A523" t="s">
        <v>242</v>
      </c>
    </row>
    <row r="525" spans="1:1" x14ac:dyDescent="0.3">
      <c r="A525">
        <v>132</v>
      </c>
    </row>
    <row r="526" spans="1:1" x14ac:dyDescent="0.3">
      <c r="A526" t="s">
        <v>1099</v>
      </c>
    </row>
    <row r="527" spans="1:1" x14ac:dyDescent="0.3">
      <c r="A527" t="s">
        <v>243</v>
      </c>
    </row>
    <row r="529" spans="1:1" x14ac:dyDescent="0.3">
      <c r="A529">
        <v>133</v>
      </c>
    </row>
    <row r="530" spans="1:1" x14ac:dyDescent="0.3">
      <c r="A530" t="s">
        <v>1100</v>
      </c>
    </row>
    <row r="531" spans="1:1" x14ac:dyDescent="0.3">
      <c r="A531" t="s">
        <v>244</v>
      </c>
    </row>
    <row r="533" spans="1:1" x14ac:dyDescent="0.3">
      <c r="A533">
        <v>134</v>
      </c>
    </row>
    <row r="534" spans="1:1" x14ac:dyDescent="0.3">
      <c r="A534" t="s">
        <v>1101</v>
      </c>
    </row>
    <row r="535" spans="1:1" x14ac:dyDescent="0.3">
      <c r="A535" t="s">
        <v>245</v>
      </c>
    </row>
    <row r="537" spans="1:1" x14ac:dyDescent="0.3">
      <c r="A537">
        <v>135</v>
      </c>
    </row>
    <row r="538" spans="1:1" x14ac:dyDescent="0.3">
      <c r="A538" t="s">
        <v>1102</v>
      </c>
    </row>
    <row r="539" spans="1:1" x14ac:dyDescent="0.3">
      <c r="A539" t="s">
        <v>246</v>
      </c>
    </row>
    <row r="541" spans="1:1" x14ac:dyDescent="0.3">
      <c r="A541">
        <v>136</v>
      </c>
    </row>
    <row r="542" spans="1:1" x14ac:dyDescent="0.3">
      <c r="A542" t="s">
        <v>1103</v>
      </c>
    </row>
    <row r="543" spans="1:1" x14ac:dyDescent="0.3">
      <c r="A543" t="s">
        <v>1104</v>
      </c>
    </row>
    <row r="545" spans="1:1" x14ac:dyDescent="0.3">
      <c r="A545">
        <v>137</v>
      </c>
    </row>
    <row r="546" spans="1:1" x14ac:dyDescent="0.3">
      <c r="A546" t="s">
        <v>1105</v>
      </c>
    </row>
    <row r="547" spans="1:1" x14ac:dyDescent="0.3">
      <c r="A547" t="s">
        <v>1106</v>
      </c>
    </row>
    <row r="549" spans="1:1" x14ac:dyDescent="0.3">
      <c r="A549">
        <v>138</v>
      </c>
    </row>
    <row r="550" spans="1:1" x14ac:dyDescent="0.3">
      <c r="A550" t="s">
        <v>1107</v>
      </c>
    </row>
    <row r="551" spans="1:1" x14ac:dyDescent="0.3">
      <c r="A551" t="s">
        <v>247</v>
      </c>
    </row>
    <row r="553" spans="1:1" x14ac:dyDescent="0.3">
      <c r="A553">
        <v>139</v>
      </c>
    </row>
    <row r="554" spans="1:1" x14ac:dyDescent="0.3">
      <c r="A554" t="s">
        <v>1108</v>
      </c>
    </row>
    <row r="555" spans="1:1" x14ac:dyDescent="0.3">
      <c r="A555" t="s">
        <v>1109</v>
      </c>
    </row>
    <row r="557" spans="1:1" x14ac:dyDescent="0.3">
      <c r="A557">
        <v>140</v>
      </c>
    </row>
    <row r="558" spans="1:1" x14ac:dyDescent="0.3">
      <c r="A558" t="s">
        <v>1110</v>
      </c>
    </row>
    <row r="559" spans="1:1" x14ac:dyDescent="0.3">
      <c r="A559" t="s">
        <v>248</v>
      </c>
    </row>
    <row r="561" spans="1:1" x14ac:dyDescent="0.3">
      <c r="A561">
        <v>141</v>
      </c>
    </row>
    <row r="562" spans="1:1" x14ac:dyDescent="0.3">
      <c r="A562" t="s">
        <v>1111</v>
      </c>
    </row>
    <row r="563" spans="1:1" x14ac:dyDescent="0.3">
      <c r="A563" t="s">
        <v>1112</v>
      </c>
    </row>
    <row r="565" spans="1:1" x14ac:dyDescent="0.3">
      <c r="A565">
        <v>142</v>
      </c>
    </row>
    <row r="566" spans="1:1" x14ac:dyDescent="0.3">
      <c r="A566" t="s">
        <v>1113</v>
      </c>
    </row>
    <row r="567" spans="1:1" x14ac:dyDescent="0.3">
      <c r="A567" t="s">
        <v>249</v>
      </c>
    </row>
    <row r="569" spans="1:1" x14ac:dyDescent="0.3">
      <c r="A569">
        <v>143</v>
      </c>
    </row>
    <row r="570" spans="1:1" x14ac:dyDescent="0.3">
      <c r="A570" t="s">
        <v>1114</v>
      </c>
    </row>
    <row r="571" spans="1:1" x14ac:dyDescent="0.3">
      <c r="A571" t="s">
        <v>1115</v>
      </c>
    </row>
    <row r="573" spans="1:1" x14ac:dyDescent="0.3">
      <c r="A573">
        <v>144</v>
      </c>
    </row>
    <row r="574" spans="1:1" x14ac:dyDescent="0.3">
      <c r="A574" t="s">
        <v>1116</v>
      </c>
    </row>
    <row r="575" spans="1:1" x14ac:dyDescent="0.3">
      <c r="A575" t="s">
        <v>250</v>
      </c>
    </row>
    <row r="577" spans="1:1" x14ac:dyDescent="0.3">
      <c r="A577">
        <v>145</v>
      </c>
    </row>
    <row r="578" spans="1:1" x14ac:dyDescent="0.3">
      <c r="A578" t="s">
        <v>1117</v>
      </c>
    </row>
    <row r="579" spans="1:1" x14ac:dyDescent="0.3">
      <c r="A579" t="s">
        <v>251</v>
      </c>
    </row>
    <row r="581" spans="1:1" x14ac:dyDescent="0.3">
      <c r="A581">
        <v>146</v>
      </c>
    </row>
    <row r="582" spans="1:1" x14ac:dyDescent="0.3">
      <c r="A582" t="s">
        <v>1118</v>
      </c>
    </row>
    <row r="583" spans="1:1" x14ac:dyDescent="0.3">
      <c r="A583" t="s">
        <v>252</v>
      </c>
    </row>
    <row r="585" spans="1:1" x14ac:dyDescent="0.3">
      <c r="A585">
        <v>147</v>
      </c>
    </row>
    <row r="586" spans="1:1" x14ac:dyDescent="0.3">
      <c r="A586" t="s">
        <v>1119</v>
      </c>
    </row>
    <row r="587" spans="1:1" x14ac:dyDescent="0.3">
      <c r="A587" t="s">
        <v>253</v>
      </c>
    </row>
    <row r="589" spans="1:1" x14ac:dyDescent="0.3">
      <c r="A589">
        <v>148</v>
      </c>
    </row>
    <row r="590" spans="1:1" x14ac:dyDescent="0.3">
      <c r="A590" t="s">
        <v>1120</v>
      </c>
    </row>
    <row r="591" spans="1:1" x14ac:dyDescent="0.3">
      <c r="A591" t="s">
        <v>254</v>
      </c>
    </row>
    <row r="593" spans="1:1" x14ac:dyDescent="0.3">
      <c r="A593">
        <v>149</v>
      </c>
    </row>
    <row r="594" spans="1:1" x14ac:dyDescent="0.3">
      <c r="A594" t="s">
        <v>1121</v>
      </c>
    </row>
    <row r="595" spans="1:1" x14ac:dyDescent="0.3">
      <c r="A595" t="s">
        <v>255</v>
      </c>
    </row>
    <row r="597" spans="1:1" x14ac:dyDescent="0.3">
      <c r="A597">
        <v>150</v>
      </c>
    </row>
    <row r="598" spans="1:1" x14ac:dyDescent="0.3">
      <c r="A598" t="s">
        <v>1122</v>
      </c>
    </row>
    <row r="599" spans="1:1" x14ac:dyDescent="0.3">
      <c r="A599" t="s">
        <v>256</v>
      </c>
    </row>
    <row r="601" spans="1:1" x14ac:dyDescent="0.3">
      <c r="A601">
        <v>151</v>
      </c>
    </row>
    <row r="602" spans="1:1" x14ac:dyDescent="0.3">
      <c r="A602" t="s">
        <v>1123</v>
      </c>
    </row>
    <row r="603" spans="1:1" x14ac:dyDescent="0.3">
      <c r="A603" t="s">
        <v>257</v>
      </c>
    </row>
    <row r="605" spans="1:1" x14ac:dyDescent="0.3">
      <c r="A605">
        <v>152</v>
      </c>
    </row>
    <row r="606" spans="1:1" x14ac:dyDescent="0.3">
      <c r="A606" t="s">
        <v>1124</v>
      </c>
    </row>
    <row r="607" spans="1:1" x14ac:dyDescent="0.3">
      <c r="A607" t="s">
        <v>258</v>
      </c>
    </row>
    <row r="609" spans="1:1" x14ac:dyDescent="0.3">
      <c r="A609">
        <v>153</v>
      </c>
    </row>
    <row r="610" spans="1:1" x14ac:dyDescent="0.3">
      <c r="A610" t="s">
        <v>1125</v>
      </c>
    </row>
    <row r="611" spans="1:1" x14ac:dyDescent="0.3">
      <c r="A611" t="s">
        <v>259</v>
      </c>
    </row>
    <row r="613" spans="1:1" x14ac:dyDescent="0.3">
      <c r="A613">
        <v>154</v>
      </c>
    </row>
    <row r="614" spans="1:1" x14ac:dyDescent="0.3">
      <c r="A614" t="s">
        <v>1126</v>
      </c>
    </row>
    <row r="615" spans="1:1" x14ac:dyDescent="0.3">
      <c r="A615" t="s">
        <v>260</v>
      </c>
    </row>
    <row r="617" spans="1:1" x14ac:dyDescent="0.3">
      <c r="A617">
        <v>155</v>
      </c>
    </row>
    <row r="618" spans="1:1" x14ac:dyDescent="0.3">
      <c r="A618" t="s">
        <v>1127</v>
      </c>
    </row>
    <row r="619" spans="1:1" x14ac:dyDescent="0.3">
      <c r="A619" t="s">
        <v>261</v>
      </c>
    </row>
    <row r="621" spans="1:1" x14ac:dyDescent="0.3">
      <c r="A621">
        <v>156</v>
      </c>
    </row>
    <row r="622" spans="1:1" x14ac:dyDescent="0.3">
      <c r="A622" t="s">
        <v>1128</v>
      </c>
    </row>
    <row r="623" spans="1:1" x14ac:dyDescent="0.3">
      <c r="A623" t="s">
        <v>262</v>
      </c>
    </row>
    <row r="625" spans="1:1" x14ac:dyDescent="0.3">
      <c r="A625">
        <v>157</v>
      </c>
    </row>
    <row r="626" spans="1:1" x14ac:dyDescent="0.3">
      <c r="A626" t="s">
        <v>1129</v>
      </c>
    </row>
    <row r="627" spans="1:1" x14ac:dyDescent="0.3">
      <c r="A627" t="s">
        <v>263</v>
      </c>
    </row>
    <row r="629" spans="1:1" x14ac:dyDescent="0.3">
      <c r="A629">
        <v>158</v>
      </c>
    </row>
    <row r="630" spans="1:1" x14ac:dyDescent="0.3">
      <c r="A630" t="s">
        <v>1130</v>
      </c>
    </row>
    <row r="631" spans="1:1" x14ac:dyDescent="0.3">
      <c r="A631" t="s">
        <v>264</v>
      </c>
    </row>
    <row r="633" spans="1:1" x14ac:dyDescent="0.3">
      <c r="A633">
        <v>159</v>
      </c>
    </row>
    <row r="634" spans="1:1" x14ac:dyDescent="0.3">
      <c r="A634" t="s">
        <v>1131</v>
      </c>
    </row>
    <row r="635" spans="1:1" x14ac:dyDescent="0.3">
      <c r="A635" t="s">
        <v>265</v>
      </c>
    </row>
    <row r="637" spans="1:1" x14ac:dyDescent="0.3">
      <c r="A637">
        <v>160</v>
      </c>
    </row>
    <row r="638" spans="1:1" x14ac:dyDescent="0.3">
      <c r="A638" t="s">
        <v>1132</v>
      </c>
    </row>
    <row r="639" spans="1:1" x14ac:dyDescent="0.3">
      <c r="A639" t="s">
        <v>266</v>
      </c>
    </row>
    <row r="641" spans="1:1" x14ac:dyDescent="0.3">
      <c r="A641">
        <v>161</v>
      </c>
    </row>
    <row r="642" spans="1:1" x14ac:dyDescent="0.3">
      <c r="A642" t="s">
        <v>1133</v>
      </c>
    </row>
    <row r="643" spans="1:1" x14ac:dyDescent="0.3">
      <c r="A643" t="s">
        <v>267</v>
      </c>
    </row>
    <row r="645" spans="1:1" x14ac:dyDescent="0.3">
      <c r="A645">
        <v>162</v>
      </c>
    </row>
    <row r="646" spans="1:1" x14ac:dyDescent="0.3">
      <c r="A646" t="s">
        <v>1134</v>
      </c>
    </row>
    <row r="647" spans="1:1" x14ac:dyDescent="0.3">
      <c r="A647" t="s">
        <v>268</v>
      </c>
    </row>
    <row r="649" spans="1:1" x14ac:dyDescent="0.3">
      <c r="A649">
        <v>163</v>
      </c>
    </row>
    <row r="650" spans="1:1" x14ac:dyDescent="0.3">
      <c r="A650" t="s">
        <v>1135</v>
      </c>
    </row>
    <row r="651" spans="1:1" x14ac:dyDescent="0.3">
      <c r="A651" t="s">
        <v>269</v>
      </c>
    </row>
    <row r="653" spans="1:1" x14ac:dyDescent="0.3">
      <c r="A653">
        <v>164</v>
      </c>
    </row>
    <row r="654" spans="1:1" x14ac:dyDescent="0.3">
      <c r="A654" t="s">
        <v>1136</v>
      </c>
    </row>
    <row r="655" spans="1:1" x14ac:dyDescent="0.3">
      <c r="A655" t="s">
        <v>270</v>
      </c>
    </row>
    <row r="657" spans="1:1" x14ac:dyDescent="0.3">
      <c r="A657">
        <v>165</v>
      </c>
    </row>
    <row r="658" spans="1:1" x14ac:dyDescent="0.3">
      <c r="A658" t="s">
        <v>1137</v>
      </c>
    </row>
    <row r="659" spans="1:1" x14ac:dyDescent="0.3">
      <c r="A659" t="s">
        <v>271</v>
      </c>
    </row>
    <row r="661" spans="1:1" x14ac:dyDescent="0.3">
      <c r="A661">
        <v>166</v>
      </c>
    </row>
    <row r="662" spans="1:1" x14ac:dyDescent="0.3">
      <c r="A662" t="s">
        <v>1138</v>
      </c>
    </row>
    <row r="663" spans="1:1" x14ac:dyDescent="0.3">
      <c r="A663" t="s">
        <v>272</v>
      </c>
    </row>
    <row r="665" spans="1:1" x14ac:dyDescent="0.3">
      <c r="A665">
        <v>167</v>
      </c>
    </row>
    <row r="666" spans="1:1" x14ac:dyDescent="0.3">
      <c r="A666" t="s">
        <v>1139</v>
      </c>
    </row>
    <row r="667" spans="1:1" x14ac:dyDescent="0.3">
      <c r="A667" t="s">
        <v>273</v>
      </c>
    </row>
    <row r="669" spans="1:1" x14ac:dyDescent="0.3">
      <c r="A669">
        <v>168</v>
      </c>
    </row>
    <row r="670" spans="1:1" x14ac:dyDescent="0.3">
      <c r="A670" t="s">
        <v>1140</v>
      </c>
    </row>
    <row r="671" spans="1:1" x14ac:dyDescent="0.3">
      <c r="A671" t="s">
        <v>274</v>
      </c>
    </row>
    <row r="673" spans="1:1" x14ac:dyDescent="0.3">
      <c r="A673">
        <v>169</v>
      </c>
    </row>
    <row r="674" spans="1:1" x14ac:dyDescent="0.3">
      <c r="A674" t="s">
        <v>1141</v>
      </c>
    </row>
    <row r="675" spans="1:1" x14ac:dyDescent="0.3">
      <c r="A675" t="s">
        <v>275</v>
      </c>
    </row>
    <row r="677" spans="1:1" x14ac:dyDescent="0.3">
      <c r="A677">
        <v>170</v>
      </c>
    </row>
    <row r="678" spans="1:1" x14ac:dyDescent="0.3">
      <c r="A678" t="s">
        <v>1142</v>
      </c>
    </row>
    <row r="679" spans="1:1" x14ac:dyDescent="0.3">
      <c r="A679" t="s">
        <v>276</v>
      </c>
    </row>
    <row r="681" spans="1:1" x14ac:dyDescent="0.3">
      <c r="A681">
        <v>171</v>
      </c>
    </row>
    <row r="682" spans="1:1" x14ac:dyDescent="0.3">
      <c r="A682" t="s">
        <v>1143</v>
      </c>
    </row>
    <row r="683" spans="1:1" x14ac:dyDescent="0.3">
      <c r="A683" t="s">
        <v>0</v>
      </c>
    </row>
    <row r="685" spans="1:1" x14ac:dyDescent="0.3">
      <c r="A685">
        <v>172</v>
      </c>
    </row>
    <row r="686" spans="1:1" x14ac:dyDescent="0.3">
      <c r="A686" t="s">
        <v>1144</v>
      </c>
    </row>
    <row r="687" spans="1:1" x14ac:dyDescent="0.3">
      <c r="A687" t="s">
        <v>277</v>
      </c>
    </row>
    <row r="689" spans="1:1" x14ac:dyDescent="0.3">
      <c r="A689">
        <v>173</v>
      </c>
    </row>
    <row r="690" spans="1:1" x14ac:dyDescent="0.3">
      <c r="A690" t="s">
        <v>1145</v>
      </c>
    </row>
    <row r="691" spans="1:1" x14ac:dyDescent="0.3">
      <c r="A691" t="s">
        <v>278</v>
      </c>
    </row>
    <row r="693" spans="1:1" x14ac:dyDescent="0.3">
      <c r="A693">
        <v>174</v>
      </c>
    </row>
    <row r="694" spans="1:1" x14ac:dyDescent="0.3">
      <c r="A694" t="s">
        <v>1146</v>
      </c>
    </row>
    <row r="695" spans="1:1" x14ac:dyDescent="0.3">
      <c r="A695" t="s">
        <v>279</v>
      </c>
    </row>
    <row r="697" spans="1:1" x14ac:dyDescent="0.3">
      <c r="A697">
        <v>175</v>
      </c>
    </row>
    <row r="698" spans="1:1" x14ac:dyDescent="0.3">
      <c r="A698" t="s">
        <v>1147</v>
      </c>
    </row>
    <row r="699" spans="1:1" x14ac:dyDescent="0.3">
      <c r="A699" t="s">
        <v>280</v>
      </c>
    </row>
    <row r="701" spans="1:1" x14ac:dyDescent="0.3">
      <c r="A701">
        <v>176</v>
      </c>
    </row>
    <row r="702" spans="1:1" x14ac:dyDescent="0.3">
      <c r="A702" t="s">
        <v>1148</v>
      </c>
    </row>
    <row r="703" spans="1:1" x14ac:dyDescent="0.3">
      <c r="A703" t="s">
        <v>281</v>
      </c>
    </row>
    <row r="705" spans="1:1" x14ac:dyDescent="0.3">
      <c r="A705">
        <v>177</v>
      </c>
    </row>
    <row r="706" spans="1:1" x14ac:dyDescent="0.3">
      <c r="A706" t="s">
        <v>1149</v>
      </c>
    </row>
    <row r="707" spans="1:1" x14ac:dyDescent="0.3">
      <c r="A707" t="s">
        <v>282</v>
      </c>
    </row>
    <row r="709" spans="1:1" x14ac:dyDescent="0.3">
      <c r="A709">
        <v>178</v>
      </c>
    </row>
    <row r="710" spans="1:1" x14ac:dyDescent="0.3">
      <c r="A710" t="s">
        <v>1150</v>
      </c>
    </row>
    <row r="711" spans="1:1" x14ac:dyDescent="0.3">
      <c r="A711" t="s">
        <v>283</v>
      </c>
    </row>
    <row r="713" spans="1:1" x14ac:dyDescent="0.3">
      <c r="A713">
        <v>179</v>
      </c>
    </row>
    <row r="714" spans="1:1" x14ac:dyDescent="0.3">
      <c r="A714" t="s">
        <v>1151</v>
      </c>
    </row>
    <row r="715" spans="1:1" x14ac:dyDescent="0.3">
      <c r="A715" t="s">
        <v>284</v>
      </c>
    </row>
    <row r="717" spans="1:1" x14ac:dyDescent="0.3">
      <c r="A717">
        <v>180</v>
      </c>
    </row>
    <row r="718" spans="1:1" x14ac:dyDescent="0.3">
      <c r="A718" t="s">
        <v>1152</v>
      </c>
    </row>
    <row r="719" spans="1:1" x14ac:dyDescent="0.3">
      <c r="A719" t="s">
        <v>285</v>
      </c>
    </row>
    <row r="721" spans="1:1" x14ac:dyDescent="0.3">
      <c r="A721">
        <v>181</v>
      </c>
    </row>
    <row r="722" spans="1:1" x14ac:dyDescent="0.3">
      <c r="A722" t="s">
        <v>1153</v>
      </c>
    </row>
    <row r="723" spans="1:1" x14ac:dyDescent="0.3">
      <c r="A723" t="s">
        <v>286</v>
      </c>
    </row>
    <row r="725" spans="1:1" x14ac:dyDescent="0.3">
      <c r="A725">
        <v>182</v>
      </c>
    </row>
    <row r="726" spans="1:1" x14ac:dyDescent="0.3">
      <c r="A726" t="s">
        <v>1154</v>
      </c>
    </row>
    <row r="727" spans="1:1" x14ac:dyDescent="0.3">
      <c r="A727" t="s">
        <v>287</v>
      </c>
    </row>
    <row r="729" spans="1:1" x14ac:dyDescent="0.3">
      <c r="A729">
        <v>183</v>
      </c>
    </row>
    <row r="730" spans="1:1" x14ac:dyDescent="0.3">
      <c r="A730" t="s">
        <v>1155</v>
      </c>
    </row>
    <row r="731" spans="1:1" x14ac:dyDescent="0.3">
      <c r="A731" t="s">
        <v>288</v>
      </c>
    </row>
    <row r="733" spans="1:1" x14ac:dyDescent="0.3">
      <c r="A733">
        <v>184</v>
      </c>
    </row>
    <row r="734" spans="1:1" x14ac:dyDescent="0.3">
      <c r="A734" t="s">
        <v>1156</v>
      </c>
    </row>
    <row r="735" spans="1:1" x14ac:dyDescent="0.3">
      <c r="A735" t="s">
        <v>289</v>
      </c>
    </row>
    <row r="737" spans="1:1" x14ac:dyDescent="0.3">
      <c r="A737">
        <v>185</v>
      </c>
    </row>
    <row r="738" spans="1:1" x14ac:dyDescent="0.3">
      <c r="A738" t="s">
        <v>1157</v>
      </c>
    </row>
    <row r="739" spans="1:1" x14ac:dyDescent="0.3">
      <c r="A739" t="s">
        <v>290</v>
      </c>
    </row>
    <row r="741" spans="1:1" x14ac:dyDescent="0.3">
      <c r="A741">
        <v>186</v>
      </c>
    </row>
    <row r="742" spans="1:1" x14ac:dyDescent="0.3">
      <c r="A742" t="s">
        <v>1158</v>
      </c>
    </row>
    <row r="743" spans="1:1" x14ac:dyDescent="0.3">
      <c r="A743" t="s">
        <v>291</v>
      </c>
    </row>
    <row r="745" spans="1:1" x14ac:dyDescent="0.3">
      <c r="A745">
        <v>187</v>
      </c>
    </row>
    <row r="746" spans="1:1" x14ac:dyDescent="0.3">
      <c r="A746" t="s">
        <v>1159</v>
      </c>
    </row>
    <row r="747" spans="1:1" x14ac:dyDescent="0.3">
      <c r="A747" t="s">
        <v>292</v>
      </c>
    </row>
    <row r="749" spans="1:1" x14ac:dyDescent="0.3">
      <c r="A749">
        <v>188</v>
      </c>
    </row>
    <row r="750" spans="1:1" x14ac:dyDescent="0.3">
      <c r="A750" t="s">
        <v>1160</v>
      </c>
    </row>
    <row r="751" spans="1:1" x14ac:dyDescent="0.3">
      <c r="A751" t="s">
        <v>293</v>
      </c>
    </row>
    <row r="753" spans="1:1" x14ac:dyDescent="0.3">
      <c r="A753">
        <v>189</v>
      </c>
    </row>
    <row r="754" spans="1:1" x14ac:dyDescent="0.3">
      <c r="A754" t="s">
        <v>1161</v>
      </c>
    </row>
    <row r="755" spans="1:1" x14ac:dyDescent="0.3">
      <c r="A755" t="s">
        <v>1162</v>
      </c>
    </row>
    <row r="757" spans="1:1" x14ac:dyDescent="0.3">
      <c r="A757">
        <v>190</v>
      </c>
    </row>
    <row r="758" spans="1:1" x14ac:dyDescent="0.3">
      <c r="A758" t="s">
        <v>1163</v>
      </c>
    </row>
    <row r="759" spans="1:1" x14ac:dyDescent="0.3">
      <c r="A759" t="s">
        <v>1164</v>
      </c>
    </row>
    <row r="761" spans="1:1" x14ac:dyDescent="0.3">
      <c r="A761">
        <v>191</v>
      </c>
    </row>
    <row r="762" spans="1:1" x14ac:dyDescent="0.3">
      <c r="A762" t="s">
        <v>1165</v>
      </c>
    </row>
    <row r="763" spans="1:1" x14ac:dyDescent="0.3">
      <c r="A763" t="s">
        <v>1166</v>
      </c>
    </row>
    <row r="765" spans="1:1" x14ac:dyDescent="0.3">
      <c r="A765">
        <v>192</v>
      </c>
    </row>
    <row r="766" spans="1:1" x14ac:dyDescent="0.3">
      <c r="A766" t="s">
        <v>1167</v>
      </c>
    </row>
    <row r="767" spans="1:1" x14ac:dyDescent="0.3">
      <c r="A767" t="s">
        <v>1168</v>
      </c>
    </row>
    <row r="769" spans="1:1" x14ac:dyDescent="0.3">
      <c r="A769">
        <v>193</v>
      </c>
    </row>
    <row r="770" spans="1:1" x14ac:dyDescent="0.3">
      <c r="A770" t="s">
        <v>1169</v>
      </c>
    </row>
    <row r="771" spans="1:1" x14ac:dyDescent="0.3">
      <c r="A771" t="s">
        <v>1170</v>
      </c>
    </row>
    <row r="773" spans="1:1" x14ac:dyDescent="0.3">
      <c r="A773">
        <v>194</v>
      </c>
    </row>
    <row r="774" spans="1:1" x14ac:dyDescent="0.3">
      <c r="A774" t="s">
        <v>1171</v>
      </c>
    </row>
    <row r="775" spans="1:1" x14ac:dyDescent="0.3">
      <c r="A775" t="s">
        <v>1172</v>
      </c>
    </row>
    <row r="777" spans="1:1" x14ac:dyDescent="0.3">
      <c r="A777">
        <v>195</v>
      </c>
    </row>
    <row r="778" spans="1:1" x14ac:dyDescent="0.3">
      <c r="A778" t="s">
        <v>1173</v>
      </c>
    </row>
    <row r="779" spans="1:1" x14ac:dyDescent="0.3">
      <c r="A779" t="s">
        <v>294</v>
      </c>
    </row>
    <row r="781" spans="1:1" x14ac:dyDescent="0.3">
      <c r="A781">
        <v>196</v>
      </c>
    </row>
    <row r="782" spans="1:1" x14ac:dyDescent="0.3">
      <c r="A782" t="s">
        <v>1174</v>
      </c>
    </row>
    <row r="783" spans="1:1" x14ac:dyDescent="0.3">
      <c r="A783" t="s">
        <v>1175</v>
      </c>
    </row>
    <row r="785" spans="1:1" x14ac:dyDescent="0.3">
      <c r="A785">
        <v>197</v>
      </c>
    </row>
    <row r="786" spans="1:1" x14ac:dyDescent="0.3">
      <c r="A786" t="s">
        <v>1176</v>
      </c>
    </row>
    <row r="787" spans="1:1" x14ac:dyDescent="0.3">
      <c r="A787" t="s">
        <v>1177</v>
      </c>
    </row>
    <row r="789" spans="1:1" x14ac:dyDescent="0.3">
      <c r="A789">
        <v>198</v>
      </c>
    </row>
    <row r="790" spans="1:1" x14ac:dyDescent="0.3">
      <c r="A790" t="s">
        <v>1178</v>
      </c>
    </row>
    <row r="791" spans="1:1" x14ac:dyDescent="0.3">
      <c r="A791" t="s">
        <v>1179</v>
      </c>
    </row>
    <row r="793" spans="1:1" x14ac:dyDescent="0.3">
      <c r="A793">
        <v>199</v>
      </c>
    </row>
    <row r="794" spans="1:1" x14ac:dyDescent="0.3">
      <c r="A794" t="s">
        <v>1180</v>
      </c>
    </row>
    <row r="795" spans="1:1" x14ac:dyDescent="0.3">
      <c r="A795" t="s">
        <v>1181</v>
      </c>
    </row>
    <row r="797" spans="1:1" x14ac:dyDescent="0.3">
      <c r="A797">
        <v>200</v>
      </c>
    </row>
    <row r="798" spans="1:1" x14ac:dyDescent="0.3">
      <c r="A798" t="s">
        <v>1182</v>
      </c>
    </row>
    <row r="799" spans="1:1" x14ac:dyDescent="0.3">
      <c r="A799" t="s">
        <v>1183</v>
      </c>
    </row>
    <row r="801" spans="1:1" x14ac:dyDescent="0.3">
      <c r="A801">
        <v>201</v>
      </c>
    </row>
    <row r="802" spans="1:1" x14ac:dyDescent="0.3">
      <c r="A802" t="s">
        <v>1184</v>
      </c>
    </row>
    <row r="803" spans="1:1" x14ac:dyDescent="0.3">
      <c r="A803" t="s">
        <v>1185</v>
      </c>
    </row>
    <row r="805" spans="1:1" x14ac:dyDescent="0.3">
      <c r="A805">
        <v>202</v>
      </c>
    </row>
    <row r="806" spans="1:1" x14ac:dyDescent="0.3">
      <c r="A806" t="s">
        <v>1186</v>
      </c>
    </row>
    <row r="807" spans="1:1" x14ac:dyDescent="0.3">
      <c r="A807" t="s">
        <v>295</v>
      </c>
    </row>
    <row r="809" spans="1:1" x14ac:dyDescent="0.3">
      <c r="A809">
        <v>203</v>
      </c>
    </row>
    <row r="810" spans="1:1" x14ac:dyDescent="0.3">
      <c r="A810" t="s">
        <v>1187</v>
      </c>
    </row>
    <row r="811" spans="1:1" x14ac:dyDescent="0.3">
      <c r="A811" t="s">
        <v>296</v>
      </c>
    </row>
    <row r="813" spans="1:1" x14ac:dyDescent="0.3">
      <c r="A813">
        <v>204</v>
      </c>
    </row>
    <row r="814" spans="1:1" x14ac:dyDescent="0.3">
      <c r="A814" t="s">
        <v>1188</v>
      </c>
    </row>
    <row r="815" spans="1:1" x14ac:dyDescent="0.3">
      <c r="A815" t="s">
        <v>297</v>
      </c>
    </row>
    <row r="817" spans="1:1" x14ac:dyDescent="0.3">
      <c r="A817">
        <v>205</v>
      </c>
    </row>
    <row r="818" spans="1:1" x14ac:dyDescent="0.3">
      <c r="A818" t="s">
        <v>1189</v>
      </c>
    </row>
    <row r="819" spans="1:1" x14ac:dyDescent="0.3">
      <c r="A819" t="s">
        <v>298</v>
      </c>
    </row>
    <row r="821" spans="1:1" x14ac:dyDescent="0.3">
      <c r="A821">
        <v>206</v>
      </c>
    </row>
    <row r="822" spans="1:1" x14ac:dyDescent="0.3">
      <c r="A822" t="s">
        <v>1190</v>
      </c>
    </row>
    <row r="823" spans="1:1" x14ac:dyDescent="0.3">
      <c r="A823" t="s">
        <v>299</v>
      </c>
    </row>
    <row r="825" spans="1:1" x14ac:dyDescent="0.3">
      <c r="A825">
        <v>207</v>
      </c>
    </row>
    <row r="826" spans="1:1" x14ac:dyDescent="0.3">
      <c r="A826" t="s">
        <v>1191</v>
      </c>
    </row>
    <row r="827" spans="1:1" x14ac:dyDescent="0.3">
      <c r="A827" t="s">
        <v>300</v>
      </c>
    </row>
    <row r="829" spans="1:1" x14ac:dyDescent="0.3">
      <c r="A829">
        <v>208</v>
      </c>
    </row>
    <row r="830" spans="1:1" x14ac:dyDescent="0.3">
      <c r="A830" t="s">
        <v>1192</v>
      </c>
    </row>
    <row r="831" spans="1:1" x14ac:dyDescent="0.3">
      <c r="A831" t="s">
        <v>301</v>
      </c>
    </row>
    <row r="833" spans="1:1" x14ac:dyDescent="0.3">
      <c r="A833">
        <v>209</v>
      </c>
    </row>
    <row r="834" spans="1:1" x14ac:dyDescent="0.3">
      <c r="A834" t="s">
        <v>1193</v>
      </c>
    </row>
    <row r="835" spans="1:1" x14ac:dyDescent="0.3">
      <c r="A835" t="s">
        <v>302</v>
      </c>
    </row>
    <row r="837" spans="1:1" x14ac:dyDescent="0.3">
      <c r="A837">
        <v>210</v>
      </c>
    </row>
    <row r="838" spans="1:1" x14ac:dyDescent="0.3">
      <c r="A838" t="s">
        <v>1194</v>
      </c>
    </row>
    <row r="839" spans="1:1" x14ac:dyDescent="0.3">
      <c r="A839" t="s">
        <v>1195</v>
      </c>
    </row>
    <row r="841" spans="1:1" x14ac:dyDescent="0.3">
      <c r="A841">
        <v>211</v>
      </c>
    </row>
    <row r="842" spans="1:1" x14ac:dyDescent="0.3">
      <c r="A842" t="s">
        <v>1196</v>
      </c>
    </row>
    <row r="843" spans="1:1" x14ac:dyDescent="0.3">
      <c r="A843" t="s">
        <v>303</v>
      </c>
    </row>
    <row r="845" spans="1:1" x14ac:dyDescent="0.3">
      <c r="A845">
        <v>212</v>
      </c>
    </row>
    <row r="846" spans="1:1" x14ac:dyDescent="0.3">
      <c r="A846" t="s">
        <v>1197</v>
      </c>
    </row>
    <row r="847" spans="1:1" x14ac:dyDescent="0.3">
      <c r="A847" t="s">
        <v>304</v>
      </c>
    </row>
    <row r="849" spans="1:1" x14ac:dyDescent="0.3">
      <c r="A849">
        <v>213</v>
      </c>
    </row>
    <row r="850" spans="1:1" x14ac:dyDescent="0.3">
      <c r="A850" t="s">
        <v>1198</v>
      </c>
    </row>
    <row r="851" spans="1:1" x14ac:dyDescent="0.3">
      <c r="A851" t="s">
        <v>305</v>
      </c>
    </row>
    <row r="853" spans="1:1" x14ac:dyDescent="0.3">
      <c r="A853">
        <v>214</v>
      </c>
    </row>
    <row r="854" spans="1:1" x14ac:dyDescent="0.3">
      <c r="A854" t="s">
        <v>1199</v>
      </c>
    </row>
    <row r="855" spans="1:1" x14ac:dyDescent="0.3">
      <c r="A855" t="s">
        <v>306</v>
      </c>
    </row>
    <row r="857" spans="1:1" x14ac:dyDescent="0.3">
      <c r="A857">
        <v>215</v>
      </c>
    </row>
    <row r="858" spans="1:1" x14ac:dyDescent="0.3">
      <c r="A858" t="s">
        <v>1200</v>
      </c>
    </row>
    <row r="859" spans="1:1" x14ac:dyDescent="0.3">
      <c r="A859" t="s">
        <v>1201</v>
      </c>
    </row>
    <row r="861" spans="1:1" x14ac:dyDescent="0.3">
      <c r="A861">
        <v>216</v>
      </c>
    </row>
    <row r="862" spans="1:1" x14ac:dyDescent="0.3">
      <c r="A862" t="s">
        <v>1202</v>
      </c>
    </row>
    <row r="863" spans="1:1" x14ac:dyDescent="0.3">
      <c r="A863" t="s">
        <v>1203</v>
      </c>
    </row>
    <row r="865" spans="1:1" x14ac:dyDescent="0.3">
      <c r="A865">
        <v>217</v>
      </c>
    </row>
    <row r="866" spans="1:1" x14ac:dyDescent="0.3">
      <c r="A866" t="s">
        <v>1204</v>
      </c>
    </row>
    <row r="867" spans="1:1" x14ac:dyDescent="0.3">
      <c r="A867" t="s">
        <v>1205</v>
      </c>
    </row>
    <row r="869" spans="1:1" x14ac:dyDescent="0.3">
      <c r="A869">
        <v>218</v>
      </c>
    </row>
    <row r="870" spans="1:1" x14ac:dyDescent="0.3">
      <c r="A870" t="s">
        <v>1206</v>
      </c>
    </row>
    <row r="871" spans="1:1" x14ac:dyDescent="0.3">
      <c r="A871" t="s">
        <v>307</v>
      </c>
    </row>
    <row r="873" spans="1:1" x14ac:dyDescent="0.3">
      <c r="A873">
        <v>219</v>
      </c>
    </row>
    <row r="874" spans="1:1" x14ac:dyDescent="0.3">
      <c r="A874" t="s">
        <v>1207</v>
      </c>
    </row>
    <row r="875" spans="1:1" x14ac:dyDescent="0.3">
      <c r="A875" t="s">
        <v>308</v>
      </c>
    </row>
    <row r="877" spans="1:1" x14ac:dyDescent="0.3">
      <c r="A877">
        <v>220</v>
      </c>
    </row>
    <row r="878" spans="1:1" x14ac:dyDescent="0.3">
      <c r="A878" t="s">
        <v>1208</v>
      </c>
    </row>
    <row r="879" spans="1:1" x14ac:dyDescent="0.3">
      <c r="A879" t="s">
        <v>309</v>
      </c>
    </row>
    <row r="881" spans="1:1" x14ac:dyDescent="0.3">
      <c r="A881">
        <v>221</v>
      </c>
    </row>
    <row r="882" spans="1:1" x14ac:dyDescent="0.3">
      <c r="A882" t="s">
        <v>1209</v>
      </c>
    </row>
    <row r="883" spans="1:1" x14ac:dyDescent="0.3">
      <c r="A883" t="s">
        <v>310</v>
      </c>
    </row>
    <row r="885" spans="1:1" x14ac:dyDescent="0.3">
      <c r="A885">
        <v>222</v>
      </c>
    </row>
    <row r="886" spans="1:1" x14ac:dyDescent="0.3">
      <c r="A886" t="s">
        <v>1210</v>
      </c>
    </row>
    <row r="887" spans="1:1" x14ac:dyDescent="0.3">
      <c r="A887" t="s">
        <v>1211</v>
      </c>
    </row>
    <row r="889" spans="1:1" x14ac:dyDescent="0.3">
      <c r="A889">
        <v>223</v>
      </c>
    </row>
    <row r="890" spans="1:1" x14ac:dyDescent="0.3">
      <c r="A890" t="s">
        <v>1212</v>
      </c>
    </row>
    <row r="891" spans="1:1" x14ac:dyDescent="0.3">
      <c r="A891" t="s">
        <v>311</v>
      </c>
    </row>
    <row r="893" spans="1:1" x14ac:dyDescent="0.3">
      <c r="A893">
        <v>224</v>
      </c>
    </row>
    <row r="894" spans="1:1" x14ac:dyDescent="0.3">
      <c r="A894" t="s">
        <v>1213</v>
      </c>
    </row>
    <row r="895" spans="1:1" x14ac:dyDescent="0.3">
      <c r="A895" t="s">
        <v>1214</v>
      </c>
    </row>
    <row r="897" spans="1:1" x14ac:dyDescent="0.3">
      <c r="A897">
        <v>225</v>
      </c>
    </row>
    <row r="898" spans="1:1" x14ac:dyDescent="0.3">
      <c r="A898" t="s">
        <v>1215</v>
      </c>
    </row>
    <row r="899" spans="1:1" x14ac:dyDescent="0.3">
      <c r="A899" t="s">
        <v>1216</v>
      </c>
    </row>
    <row r="901" spans="1:1" x14ac:dyDescent="0.3">
      <c r="A901">
        <v>226</v>
      </c>
    </row>
    <row r="902" spans="1:1" x14ac:dyDescent="0.3">
      <c r="A902" t="s">
        <v>1217</v>
      </c>
    </row>
    <row r="903" spans="1:1" x14ac:dyDescent="0.3">
      <c r="A903" t="s">
        <v>1218</v>
      </c>
    </row>
    <row r="905" spans="1:1" x14ac:dyDescent="0.3">
      <c r="A905">
        <v>227</v>
      </c>
    </row>
    <row r="906" spans="1:1" x14ac:dyDescent="0.3">
      <c r="A906" t="s">
        <v>1219</v>
      </c>
    </row>
    <row r="907" spans="1:1" x14ac:dyDescent="0.3">
      <c r="A907" t="s">
        <v>1220</v>
      </c>
    </row>
    <row r="909" spans="1:1" x14ac:dyDescent="0.3">
      <c r="A909">
        <v>228</v>
      </c>
    </row>
    <row r="910" spans="1:1" x14ac:dyDescent="0.3">
      <c r="A910" t="s">
        <v>1221</v>
      </c>
    </row>
    <row r="911" spans="1:1" x14ac:dyDescent="0.3">
      <c r="A911" t="s">
        <v>312</v>
      </c>
    </row>
    <row r="913" spans="1:1" x14ac:dyDescent="0.3">
      <c r="A913">
        <v>229</v>
      </c>
    </row>
    <row r="914" spans="1:1" x14ac:dyDescent="0.3">
      <c r="A914" t="s">
        <v>1222</v>
      </c>
    </row>
    <row r="915" spans="1:1" x14ac:dyDescent="0.3">
      <c r="A915" t="s">
        <v>1223</v>
      </c>
    </row>
    <row r="917" spans="1:1" x14ac:dyDescent="0.3">
      <c r="A917">
        <v>230</v>
      </c>
    </row>
    <row r="918" spans="1:1" x14ac:dyDescent="0.3">
      <c r="A918" t="s">
        <v>1224</v>
      </c>
    </row>
    <row r="919" spans="1:1" x14ac:dyDescent="0.3">
      <c r="A919" t="s">
        <v>1225</v>
      </c>
    </row>
    <row r="921" spans="1:1" x14ac:dyDescent="0.3">
      <c r="A921">
        <v>231</v>
      </c>
    </row>
    <row r="922" spans="1:1" x14ac:dyDescent="0.3">
      <c r="A922" t="s">
        <v>1226</v>
      </c>
    </row>
    <row r="923" spans="1:1" x14ac:dyDescent="0.3">
      <c r="A923" t="s">
        <v>1227</v>
      </c>
    </row>
    <row r="925" spans="1:1" x14ac:dyDescent="0.3">
      <c r="A925">
        <v>232</v>
      </c>
    </row>
    <row r="926" spans="1:1" x14ac:dyDescent="0.3">
      <c r="A926" t="s">
        <v>1228</v>
      </c>
    </row>
    <row r="927" spans="1:1" x14ac:dyDescent="0.3">
      <c r="A927" t="s">
        <v>313</v>
      </c>
    </row>
    <row r="929" spans="1:1" x14ac:dyDescent="0.3">
      <c r="A929">
        <v>233</v>
      </c>
    </row>
    <row r="930" spans="1:1" x14ac:dyDescent="0.3">
      <c r="A930" t="s">
        <v>1229</v>
      </c>
    </row>
    <row r="931" spans="1:1" x14ac:dyDescent="0.3">
      <c r="A931" t="s">
        <v>1230</v>
      </c>
    </row>
    <row r="933" spans="1:1" x14ac:dyDescent="0.3">
      <c r="A933">
        <v>234</v>
      </c>
    </row>
    <row r="934" spans="1:1" x14ac:dyDescent="0.3">
      <c r="A934" t="s">
        <v>1231</v>
      </c>
    </row>
    <row r="935" spans="1:1" x14ac:dyDescent="0.3">
      <c r="A935" t="s">
        <v>1232</v>
      </c>
    </row>
    <row r="937" spans="1:1" x14ac:dyDescent="0.3">
      <c r="A937">
        <v>235</v>
      </c>
    </row>
    <row r="938" spans="1:1" x14ac:dyDescent="0.3">
      <c r="A938" t="s">
        <v>1233</v>
      </c>
    </row>
    <row r="939" spans="1:1" x14ac:dyDescent="0.3">
      <c r="A939" t="s">
        <v>1234</v>
      </c>
    </row>
    <row r="941" spans="1:1" x14ac:dyDescent="0.3">
      <c r="A941">
        <v>236</v>
      </c>
    </row>
    <row r="942" spans="1:1" x14ac:dyDescent="0.3">
      <c r="A942" t="s">
        <v>1235</v>
      </c>
    </row>
    <row r="943" spans="1:1" x14ac:dyDescent="0.3">
      <c r="A943" t="s">
        <v>1236</v>
      </c>
    </row>
    <row r="945" spans="1:1" x14ac:dyDescent="0.3">
      <c r="A945">
        <v>237</v>
      </c>
    </row>
    <row r="946" spans="1:1" x14ac:dyDescent="0.3">
      <c r="A946" t="s">
        <v>1237</v>
      </c>
    </row>
    <row r="947" spans="1:1" x14ac:dyDescent="0.3">
      <c r="A947" t="s">
        <v>1238</v>
      </c>
    </row>
    <row r="949" spans="1:1" x14ac:dyDescent="0.3">
      <c r="A949">
        <v>238</v>
      </c>
    </row>
    <row r="950" spans="1:1" x14ac:dyDescent="0.3">
      <c r="A950" t="s">
        <v>1239</v>
      </c>
    </row>
    <row r="951" spans="1:1" x14ac:dyDescent="0.3">
      <c r="A951" t="s">
        <v>314</v>
      </c>
    </row>
    <row r="953" spans="1:1" x14ac:dyDescent="0.3">
      <c r="A953">
        <v>239</v>
      </c>
    </row>
    <row r="954" spans="1:1" x14ac:dyDescent="0.3">
      <c r="A954" t="s">
        <v>1240</v>
      </c>
    </row>
    <row r="955" spans="1:1" x14ac:dyDescent="0.3">
      <c r="A955" t="s">
        <v>1241</v>
      </c>
    </row>
    <row r="957" spans="1:1" x14ac:dyDescent="0.3">
      <c r="A957">
        <v>240</v>
      </c>
    </row>
    <row r="958" spans="1:1" x14ac:dyDescent="0.3">
      <c r="A958" t="s">
        <v>1242</v>
      </c>
    </row>
    <row r="959" spans="1:1" x14ac:dyDescent="0.3">
      <c r="A959" t="s">
        <v>1243</v>
      </c>
    </row>
    <row r="961" spans="1:1" x14ac:dyDescent="0.3">
      <c r="A961">
        <v>241</v>
      </c>
    </row>
    <row r="962" spans="1:1" x14ac:dyDescent="0.3">
      <c r="A962" t="s">
        <v>1244</v>
      </c>
    </row>
    <row r="963" spans="1:1" x14ac:dyDescent="0.3">
      <c r="A963" t="s">
        <v>1245</v>
      </c>
    </row>
    <row r="965" spans="1:1" x14ac:dyDescent="0.3">
      <c r="A965">
        <v>242</v>
      </c>
    </row>
    <row r="966" spans="1:1" x14ac:dyDescent="0.3">
      <c r="A966" t="s">
        <v>1246</v>
      </c>
    </row>
    <row r="967" spans="1:1" x14ac:dyDescent="0.3">
      <c r="A967" t="s">
        <v>1247</v>
      </c>
    </row>
    <row r="969" spans="1:1" x14ac:dyDescent="0.3">
      <c r="A969">
        <v>243</v>
      </c>
    </row>
    <row r="970" spans="1:1" x14ac:dyDescent="0.3">
      <c r="A970" t="s">
        <v>1248</v>
      </c>
    </row>
    <row r="971" spans="1:1" x14ac:dyDescent="0.3">
      <c r="A971" t="s">
        <v>315</v>
      </c>
    </row>
    <row r="973" spans="1:1" x14ac:dyDescent="0.3">
      <c r="A973">
        <v>244</v>
      </c>
    </row>
    <row r="974" spans="1:1" x14ac:dyDescent="0.3">
      <c r="A974" t="s">
        <v>1249</v>
      </c>
    </row>
    <row r="975" spans="1:1" x14ac:dyDescent="0.3">
      <c r="A975" t="s">
        <v>316</v>
      </c>
    </row>
    <row r="977" spans="1:1" x14ac:dyDescent="0.3">
      <c r="A977">
        <v>245</v>
      </c>
    </row>
    <row r="978" spans="1:1" x14ac:dyDescent="0.3">
      <c r="A978" t="s">
        <v>1250</v>
      </c>
    </row>
    <row r="979" spans="1:1" x14ac:dyDescent="0.3">
      <c r="A979" t="s">
        <v>317</v>
      </c>
    </row>
    <row r="981" spans="1:1" x14ac:dyDescent="0.3">
      <c r="A981">
        <v>246</v>
      </c>
    </row>
    <row r="982" spans="1:1" x14ac:dyDescent="0.3">
      <c r="A982" t="s">
        <v>1251</v>
      </c>
    </row>
    <row r="983" spans="1:1" x14ac:dyDescent="0.3">
      <c r="A983" t="s">
        <v>1252</v>
      </c>
    </row>
    <row r="985" spans="1:1" x14ac:dyDescent="0.3">
      <c r="A985">
        <v>247</v>
      </c>
    </row>
    <row r="986" spans="1:1" x14ac:dyDescent="0.3">
      <c r="A986" t="s">
        <v>1253</v>
      </c>
    </row>
    <row r="987" spans="1:1" x14ac:dyDescent="0.3">
      <c r="A987" t="s">
        <v>318</v>
      </c>
    </row>
    <row r="989" spans="1:1" x14ac:dyDescent="0.3">
      <c r="A989">
        <v>248</v>
      </c>
    </row>
    <row r="990" spans="1:1" x14ac:dyDescent="0.3">
      <c r="A990" t="s">
        <v>1254</v>
      </c>
    </row>
    <row r="991" spans="1:1" x14ac:dyDescent="0.3">
      <c r="A991" t="s">
        <v>319</v>
      </c>
    </row>
    <row r="993" spans="1:1" x14ac:dyDescent="0.3">
      <c r="A993">
        <v>249</v>
      </c>
    </row>
    <row r="994" spans="1:1" x14ac:dyDescent="0.3">
      <c r="A994" t="s">
        <v>1255</v>
      </c>
    </row>
    <row r="995" spans="1:1" x14ac:dyDescent="0.3">
      <c r="A995" t="s">
        <v>320</v>
      </c>
    </row>
    <row r="997" spans="1:1" x14ac:dyDescent="0.3">
      <c r="A997">
        <v>250</v>
      </c>
    </row>
    <row r="998" spans="1:1" x14ac:dyDescent="0.3">
      <c r="A998" t="s">
        <v>1256</v>
      </c>
    </row>
    <row r="999" spans="1:1" x14ac:dyDescent="0.3">
      <c r="A999" t="s">
        <v>4</v>
      </c>
    </row>
    <row r="1001" spans="1:1" x14ac:dyDescent="0.3">
      <c r="A1001">
        <v>251</v>
      </c>
    </row>
    <row r="1002" spans="1:1" x14ac:dyDescent="0.3">
      <c r="A1002" t="s">
        <v>1257</v>
      </c>
    </row>
    <row r="1003" spans="1:1" x14ac:dyDescent="0.3">
      <c r="A1003" t="s">
        <v>321</v>
      </c>
    </row>
    <row r="1005" spans="1:1" x14ac:dyDescent="0.3">
      <c r="A1005">
        <v>252</v>
      </c>
    </row>
    <row r="1006" spans="1:1" x14ac:dyDescent="0.3">
      <c r="A1006" t="s">
        <v>1258</v>
      </c>
    </row>
    <row r="1007" spans="1:1" x14ac:dyDescent="0.3">
      <c r="A1007" t="s">
        <v>1259</v>
      </c>
    </row>
    <row r="1009" spans="1:1" x14ac:dyDescent="0.3">
      <c r="A1009">
        <v>253</v>
      </c>
    </row>
    <row r="1010" spans="1:1" x14ac:dyDescent="0.3">
      <c r="A1010" t="s">
        <v>1260</v>
      </c>
    </row>
    <row r="1011" spans="1:1" x14ac:dyDescent="0.3">
      <c r="A1011" t="s">
        <v>1261</v>
      </c>
    </row>
    <row r="1013" spans="1:1" x14ac:dyDescent="0.3">
      <c r="A1013">
        <v>254</v>
      </c>
    </row>
    <row r="1014" spans="1:1" x14ac:dyDescent="0.3">
      <c r="A1014" t="s">
        <v>1262</v>
      </c>
    </row>
    <row r="1015" spans="1:1" x14ac:dyDescent="0.3">
      <c r="A1015" t="s">
        <v>322</v>
      </c>
    </row>
    <row r="1017" spans="1:1" x14ac:dyDescent="0.3">
      <c r="A1017">
        <v>255</v>
      </c>
    </row>
    <row r="1018" spans="1:1" x14ac:dyDescent="0.3">
      <c r="A1018" t="s">
        <v>1263</v>
      </c>
    </row>
    <row r="1019" spans="1:1" x14ac:dyDescent="0.3">
      <c r="A1019" t="s">
        <v>1264</v>
      </c>
    </row>
    <row r="1021" spans="1:1" x14ac:dyDescent="0.3">
      <c r="A1021">
        <v>256</v>
      </c>
    </row>
    <row r="1022" spans="1:1" x14ac:dyDescent="0.3">
      <c r="A1022" t="s">
        <v>1265</v>
      </c>
    </row>
    <row r="1023" spans="1:1" x14ac:dyDescent="0.3">
      <c r="A1023" t="s">
        <v>323</v>
      </c>
    </row>
    <row r="1025" spans="1:1" x14ac:dyDescent="0.3">
      <c r="A1025">
        <v>257</v>
      </c>
    </row>
    <row r="1026" spans="1:1" x14ac:dyDescent="0.3">
      <c r="A1026" t="s">
        <v>1266</v>
      </c>
    </row>
    <row r="1027" spans="1:1" x14ac:dyDescent="0.3">
      <c r="A1027" t="s">
        <v>324</v>
      </c>
    </row>
    <row r="1029" spans="1:1" x14ac:dyDescent="0.3">
      <c r="A1029">
        <v>258</v>
      </c>
    </row>
    <row r="1030" spans="1:1" x14ac:dyDescent="0.3">
      <c r="A1030" t="s">
        <v>1267</v>
      </c>
    </row>
    <row r="1031" spans="1:1" x14ac:dyDescent="0.3">
      <c r="A1031" t="s">
        <v>325</v>
      </c>
    </row>
    <row r="1033" spans="1:1" x14ac:dyDescent="0.3">
      <c r="A1033">
        <v>259</v>
      </c>
    </row>
    <row r="1034" spans="1:1" x14ac:dyDescent="0.3">
      <c r="A1034" t="s">
        <v>1268</v>
      </c>
    </row>
    <row r="1035" spans="1:1" x14ac:dyDescent="0.3">
      <c r="A1035" t="s">
        <v>326</v>
      </c>
    </row>
    <row r="1037" spans="1:1" x14ac:dyDescent="0.3">
      <c r="A1037">
        <v>260</v>
      </c>
    </row>
    <row r="1038" spans="1:1" x14ac:dyDescent="0.3">
      <c r="A1038" t="s">
        <v>1269</v>
      </c>
    </row>
    <row r="1039" spans="1:1" x14ac:dyDescent="0.3">
      <c r="A1039" t="s">
        <v>327</v>
      </c>
    </row>
    <row r="1041" spans="1:1" x14ac:dyDescent="0.3">
      <c r="A1041">
        <v>261</v>
      </c>
    </row>
    <row r="1042" spans="1:1" x14ac:dyDescent="0.3">
      <c r="A1042" t="s">
        <v>1270</v>
      </c>
    </row>
    <row r="1043" spans="1:1" x14ac:dyDescent="0.3">
      <c r="A1043" t="s">
        <v>328</v>
      </c>
    </row>
    <row r="1045" spans="1:1" x14ac:dyDescent="0.3">
      <c r="A1045">
        <v>262</v>
      </c>
    </row>
    <row r="1046" spans="1:1" x14ac:dyDescent="0.3">
      <c r="A1046" t="s">
        <v>1271</v>
      </c>
    </row>
    <row r="1047" spans="1:1" x14ac:dyDescent="0.3">
      <c r="A1047" t="s">
        <v>1272</v>
      </c>
    </row>
    <row r="1049" spans="1:1" x14ac:dyDescent="0.3">
      <c r="A1049">
        <v>263</v>
      </c>
    </row>
    <row r="1050" spans="1:1" x14ac:dyDescent="0.3">
      <c r="A1050" t="s">
        <v>1273</v>
      </c>
    </row>
    <row r="1051" spans="1:1" x14ac:dyDescent="0.3">
      <c r="A1051" t="s">
        <v>329</v>
      </c>
    </row>
    <row r="1053" spans="1:1" x14ac:dyDescent="0.3">
      <c r="A1053">
        <v>264</v>
      </c>
    </row>
    <row r="1054" spans="1:1" x14ac:dyDescent="0.3">
      <c r="A1054" t="s">
        <v>1274</v>
      </c>
    </row>
    <row r="1055" spans="1:1" x14ac:dyDescent="0.3">
      <c r="A1055" t="s">
        <v>330</v>
      </c>
    </row>
    <row r="1057" spans="1:1" x14ac:dyDescent="0.3">
      <c r="A1057">
        <v>265</v>
      </c>
    </row>
    <row r="1058" spans="1:1" x14ac:dyDescent="0.3">
      <c r="A1058" t="s">
        <v>1275</v>
      </c>
    </row>
    <row r="1059" spans="1:1" x14ac:dyDescent="0.3">
      <c r="A1059" t="s">
        <v>331</v>
      </c>
    </row>
    <row r="1061" spans="1:1" x14ac:dyDescent="0.3">
      <c r="A1061">
        <v>266</v>
      </c>
    </row>
    <row r="1062" spans="1:1" x14ac:dyDescent="0.3">
      <c r="A1062" t="s">
        <v>1276</v>
      </c>
    </row>
    <row r="1063" spans="1:1" x14ac:dyDescent="0.3">
      <c r="A1063" t="s">
        <v>332</v>
      </c>
    </row>
    <row r="1065" spans="1:1" x14ac:dyDescent="0.3">
      <c r="A1065">
        <v>267</v>
      </c>
    </row>
    <row r="1066" spans="1:1" x14ac:dyDescent="0.3">
      <c r="A1066" t="s">
        <v>1277</v>
      </c>
    </row>
    <row r="1067" spans="1:1" x14ac:dyDescent="0.3">
      <c r="A1067" t="s">
        <v>1278</v>
      </c>
    </row>
    <row r="1069" spans="1:1" x14ac:dyDescent="0.3">
      <c r="A1069">
        <v>268</v>
      </c>
    </row>
    <row r="1070" spans="1:1" x14ac:dyDescent="0.3">
      <c r="A1070" t="s">
        <v>1279</v>
      </c>
    </row>
    <row r="1071" spans="1:1" x14ac:dyDescent="0.3">
      <c r="A1071" t="s">
        <v>333</v>
      </c>
    </row>
    <row r="1073" spans="1:1" x14ac:dyDescent="0.3">
      <c r="A1073">
        <v>269</v>
      </c>
    </row>
    <row r="1074" spans="1:1" x14ac:dyDescent="0.3">
      <c r="A1074" t="s">
        <v>1280</v>
      </c>
    </row>
    <row r="1075" spans="1:1" x14ac:dyDescent="0.3">
      <c r="A1075" t="s">
        <v>334</v>
      </c>
    </row>
    <row r="1077" spans="1:1" x14ac:dyDescent="0.3">
      <c r="A1077">
        <v>270</v>
      </c>
    </row>
    <row r="1078" spans="1:1" x14ac:dyDescent="0.3">
      <c r="A1078" t="s">
        <v>1281</v>
      </c>
    </row>
    <row r="1079" spans="1:1" x14ac:dyDescent="0.3">
      <c r="A1079" t="s">
        <v>335</v>
      </c>
    </row>
    <row r="1081" spans="1:1" x14ac:dyDescent="0.3">
      <c r="A1081">
        <v>271</v>
      </c>
    </row>
    <row r="1082" spans="1:1" x14ac:dyDescent="0.3">
      <c r="A1082" t="s">
        <v>1282</v>
      </c>
    </row>
    <row r="1083" spans="1:1" x14ac:dyDescent="0.3">
      <c r="A1083" t="s">
        <v>336</v>
      </c>
    </row>
    <row r="1085" spans="1:1" x14ac:dyDescent="0.3">
      <c r="A1085">
        <v>272</v>
      </c>
    </row>
    <row r="1086" spans="1:1" x14ac:dyDescent="0.3">
      <c r="A1086" t="s">
        <v>1283</v>
      </c>
    </row>
    <row r="1087" spans="1:1" x14ac:dyDescent="0.3">
      <c r="A1087" t="s">
        <v>337</v>
      </c>
    </row>
    <row r="1089" spans="1:1" x14ac:dyDescent="0.3">
      <c r="A1089">
        <v>273</v>
      </c>
    </row>
    <row r="1090" spans="1:1" x14ac:dyDescent="0.3">
      <c r="A1090" t="s">
        <v>1284</v>
      </c>
    </row>
    <row r="1091" spans="1:1" x14ac:dyDescent="0.3">
      <c r="A1091" t="s">
        <v>338</v>
      </c>
    </row>
    <row r="1093" spans="1:1" x14ac:dyDescent="0.3">
      <c r="A1093">
        <v>274</v>
      </c>
    </row>
    <row r="1094" spans="1:1" x14ac:dyDescent="0.3">
      <c r="A1094" t="s">
        <v>1285</v>
      </c>
    </row>
    <row r="1095" spans="1:1" x14ac:dyDescent="0.3">
      <c r="A1095" t="s">
        <v>339</v>
      </c>
    </row>
    <row r="1097" spans="1:1" x14ac:dyDescent="0.3">
      <c r="A1097">
        <v>275</v>
      </c>
    </row>
    <row r="1098" spans="1:1" x14ac:dyDescent="0.3">
      <c r="A1098" t="s">
        <v>1286</v>
      </c>
    </row>
    <row r="1099" spans="1:1" x14ac:dyDescent="0.3">
      <c r="A1099" t="s">
        <v>340</v>
      </c>
    </row>
    <row r="1101" spans="1:1" x14ac:dyDescent="0.3">
      <c r="A1101">
        <v>276</v>
      </c>
    </row>
    <row r="1102" spans="1:1" x14ac:dyDescent="0.3">
      <c r="A1102" t="s">
        <v>1287</v>
      </c>
    </row>
    <row r="1103" spans="1:1" x14ac:dyDescent="0.3">
      <c r="A1103" t="s">
        <v>341</v>
      </c>
    </row>
    <row r="1105" spans="1:1" x14ac:dyDescent="0.3">
      <c r="A1105">
        <v>277</v>
      </c>
    </row>
    <row r="1106" spans="1:1" x14ac:dyDescent="0.3">
      <c r="A1106" t="s">
        <v>1288</v>
      </c>
    </row>
    <row r="1107" spans="1:1" x14ac:dyDescent="0.3">
      <c r="A1107" t="s">
        <v>342</v>
      </c>
    </row>
    <row r="1109" spans="1:1" x14ac:dyDescent="0.3">
      <c r="A1109">
        <v>278</v>
      </c>
    </row>
    <row r="1110" spans="1:1" x14ac:dyDescent="0.3">
      <c r="A1110" t="s">
        <v>1289</v>
      </c>
    </row>
    <row r="1111" spans="1:1" x14ac:dyDescent="0.3">
      <c r="A1111" t="s">
        <v>343</v>
      </c>
    </row>
    <row r="1113" spans="1:1" x14ac:dyDescent="0.3">
      <c r="A1113">
        <v>279</v>
      </c>
    </row>
    <row r="1114" spans="1:1" x14ac:dyDescent="0.3">
      <c r="A1114" t="s">
        <v>1290</v>
      </c>
    </row>
    <row r="1115" spans="1:1" x14ac:dyDescent="0.3">
      <c r="A1115" t="s">
        <v>344</v>
      </c>
    </row>
    <row r="1117" spans="1:1" x14ac:dyDescent="0.3">
      <c r="A1117">
        <v>280</v>
      </c>
    </row>
    <row r="1118" spans="1:1" x14ac:dyDescent="0.3">
      <c r="A1118" t="s">
        <v>1291</v>
      </c>
    </row>
    <row r="1119" spans="1:1" x14ac:dyDescent="0.3">
      <c r="A1119" t="s">
        <v>345</v>
      </c>
    </row>
    <row r="1121" spans="1:1" x14ac:dyDescent="0.3">
      <c r="A1121">
        <v>281</v>
      </c>
    </row>
    <row r="1122" spans="1:1" x14ac:dyDescent="0.3">
      <c r="A1122" t="s">
        <v>1292</v>
      </c>
    </row>
    <row r="1123" spans="1:1" x14ac:dyDescent="0.3">
      <c r="A1123" t="s">
        <v>346</v>
      </c>
    </row>
    <row r="1125" spans="1:1" x14ac:dyDescent="0.3">
      <c r="A1125">
        <v>282</v>
      </c>
    </row>
    <row r="1126" spans="1:1" x14ac:dyDescent="0.3">
      <c r="A1126" t="s">
        <v>1293</v>
      </c>
    </row>
    <row r="1127" spans="1:1" x14ac:dyDescent="0.3">
      <c r="A1127" t="s">
        <v>347</v>
      </c>
    </row>
    <row r="1129" spans="1:1" x14ac:dyDescent="0.3">
      <c r="A1129">
        <v>283</v>
      </c>
    </row>
    <row r="1130" spans="1:1" x14ac:dyDescent="0.3">
      <c r="A1130" t="s">
        <v>1294</v>
      </c>
    </row>
    <row r="1131" spans="1:1" x14ac:dyDescent="0.3">
      <c r="A1131" t="s">
        <v>348</v>
      </c>
    </row>
    <row r="1133" spans="1:1" x14ac:dyDescent="0.3">
      <c r="A1133">
        <v>284</v>
      </c>
    </row>
    <row r="1134" spans="1:1" x14ac:dyDescent="0.3">
      <c r="A1134" t="s">
        <v>1295</v>
      </c>
    </row>
    <row r="1135" spans="1:1" x14ac:dyDescent="0.3">
      <c r="A1135" t="s">
        <v>349</v>
      </c>
    </row>
    <row r="1137" spans="1:1" x14ac:dyDescent="0.3">
      <c r="A1137">
        <v>285</v>
      </c>
    </row>
    <row r="1138" spans="1:1" x14ac:dyDescent="0.3">
      <c r="A1138" t="s">
        <v>1296</v>
      </c>
    </row>
    <row r="1139" spans="1:1" x14ac:dyDescent="0.3">
      <c r="A1139" t="s">
        <v>1297</v>
      </c>
    </row>
    <row r="1141" spans="1:1" x14ac:dyDescent="0.3">
      <c r="A1141">
        <v>286</v>
      </c>
    </row>
    <row r="1142" spans="1:1" x14ac:dyDescent="0.3">
      <c r="A1142" t="s">
        <v>1298</v>
      </c>
    </row>
    <row r="1143" spans="1:1" x14ac:dyDescent="0.3">
      <c r="A1143" t="s">
        <v>1299</v>
      </c>
    </row>
    <row r="1145" spans="1:1" x14ac:dyDescent="0.3">
      <c r="A1145">
        <v>287</v>
      </c>
    </row>
    <row r="1146" spans="1:1" x14ac:dyDescent="0.3">
      <c r="A1146" t="s">
        <v>1300</v>
      </c>
    </row>
    <row r="1147" spans="1:1" x14ac:dyDescent="0.3">
      <c r="A1147" t="s">
        <v>1301</v>
      </c>
    </row>
    <row r="1149" spans="1:1" x14ac:dyDescent="0.3">
      <c r="A1149">
        <v>288</v>
      </c>
    </row>
    <row r="1150" spans="1:1" x14ac:dyDescent="0.3">
      <c r="A1150" t="s">
        <v>1302</v>
      </c>
    </row>
    <row r="1151" spans="1:1" x14ac:dyDescent="0.3">
      <c r="A1151" t="s">
        <v>1303</v>
      </c>
    </row>
    <row r="1153" spans="1:1" x14ac:dyDescent="0.3">
      <c r="A1153">
        <v>289</v>
      </c>
    </row>
    <row r="1154" spans="1:1" x14ac:dyDescent="0.3">
      <c r="A1154" t="s">
        <v>1348</v>
      </c>
    </row>
    <row r="1155" spans="1:1" x14ac:dyDescent="0.3">
      <c r="A1155" t="s">
        <v>1349</v>
      </c>
    </row>
    <row r="1157" spans="1:1" x14ac:dyDescent="0.3">
      <c r="A1157">
        <v>290</v>
      </c>
    </row>
    <row r="1158" spans="1:1" x14ac:dyDescent="0.3">
      <c r="A1158" t="s">
        <v>1350</v>
      </c>
    </row>
    <row r="1159" spans="1:1" x14ac:dyDescent="0.3">
      <c r="A1159" t="s">
        <v>350</v>
      </c>
    </row>
    <row r="1161" spans="1:1" x14ac:dyDescent="0.3">
      <c r="A1161">
        <v>291</v>
      </c>
    </row>
    <row r="1162" spans="1:1" x14ac:dyDescent="0.3">
      <c r="A1162" t="s">
        <v>1351</v>
      </c>
    </row>
    <row r="1163" spans="1:1" x14ac:dyDescent="0.3">
      <c r="A1163" t="s">
        <v>1352</v>
      </c>
    </row>
    <row r="1165" spans="1:1" x14ac:dyDescent="0.3">
      <c r="A1165">
        <v>292</v>
      </c>
    </row>
    <row r="1166" spans="1:1" x14ac:dyDescent="0.3">
      <c r="A1166" t="s">
        <v>1353</v>
      </c>
    </row>
    <row r="1167" spans="1:1" x14ac:dyDescent="0.3">
      <c r="A1167" t="s">
        <v>1354</v>
      </c>
    </row>
    <row r="1169" spans="1:1" x14ac:dyDescent="0.3">
      <c r="A1169">
        <v>293</v>
      </c>
    </row>
    <row r="1170" spans="1:1" x14ac:dyDescent="0.3">
      <c r="A1170" t="s">
        <v>1355</v>
      </c>
    </row>
    <row r="1171" spans="1:1" x14ac:dyDescent="0.3">
      <c r="A1171" t="s">
        <v>1356</v>
      </c>
    </row>
    <row r="1173" spans="1:1" x14ac:dyDescent="0.3">
      <c r="A1173">
        <v>294</v>
      </c>
    </row>
    <row r="1174" spans="1:1" x14ac:dyDescent="0.3">
      <c r="A1174" t="s">
        <v>1357</v>
      </c>
    </row>
    <row r="1175" spans="1:1" x14ac:dyDescent="0.3">
      <c r="A1175" t="s">
        <v>1358</v>
      </c>
    </row>
    <row r="1177" spans="1:1" x14ac:dyDescent="0.3">
      <c r="A1177">
        <v>295</v>
      </c>
    </row>
    <row r="1178" spans="1:1" x14ac:dyDescent="0.3">
      <c r="A1178" t="s">
        <v>1359</v>
      </c>
    </row>
    <row r="1179" spans="1:1" x14ac:dyDescent="0.3">
      <c r="A1179" t="s">
        <v>351</v>
      </c>
    </row>
    <row r="1181" spans="1:1" x14ac:dyDescent="0.3">
      <c r="A1181">
        <v>296</v>
      </c>
    </row>
    <row r="1182" spans="1:1" x14ac:dyDescent="0.3">
      <c r="A1182" t="s">
        <v>1360</v>
      </c>
    </row>
    <row r="1183" spans="1:1" x14ac:dyDescent="0.3">
      <c r="A1183" t="s">
        <v>352</v>
      </c>
    </row>
    <row r="1185" spans="1:1" x14ac:dyDescent="0.3">
      <c r="A1185">
        <v>297</v>
      </c>
    </row>
    <row r="1186" spans="1:1" x14ac:dyDescent="0.3">
      <c r="A1186" t="s">
        <v>1361</v>
      </c>
    </row>
    <row r="1187" spans="1:1" x14ac:dyDescent="0.3">
      <c r="A1187" t="s">
        <v>1362</v>
      </c>
    </row>
    <row r="1189" spans="1:1" x14ac:dyDescent="0.3">
      <c r="A1189">
        <v>298</v>
      </c>
    </row>
    <row r="1190" spans="1:1" x14ac:dyDescent="0.3">
      <c r="A1190" t="s">
        <v>1363</v>
      </c>
    </row>
    <row r="1191" spans="1:1" x14ac:dyDescent="0.3">
      <c r="A1191" t="s">
        <v>353</v>
      </c>
    </row>
    <row r="1193" spans="1:1" x14ac:dyDescent="0.3">
      <c r="A1193">
        <v>299</v>
      </c>
    </row>
    <row r="1194" spans="1:1" x14ac:dyDescent="0.3">
      <c r="A1194" t="s">
        <v>1364</v>
      </c>
    </row>
    <row r="1195" spans="1:1" x14ac:dyDescent="0.3">
      <c r="A1195" t="s">
        <v>354</v>
      </c>
    </row>
    <row r="1197" spans="1:1" x14ac:dyDescent="0.3">
      <c r="A1197">
        <v>300</v>
      </c>
    </row>
    <row r="1198" spans="1:1" x14ac:dyDescent="0.3">
      <c r="A1198" t="s">
        <v>1365</v>
      </c>
    </row>
    <row r="1199" spans="1:1" x14ac:dyDescent="0.3">
      <c r="A1199" t="s">
        <v>1366</v>
      </c>
    </row>
    <row r="1201" spans="1:1" x14ac:dyDescent="0.3">
      <c r="A1201">
        <v>301</v>
      </c>
    </row>
    <row r="1202" spans="1:1" x14ac:dyDescent="0.3">
      <c r="A1202" t="s">
        <v>1367</v>
      </c>
    </row>
    <row r="1203" spans="1:1" x14ac:dyDescent="0.3">
      <c r="A1203" t="s">
        <v>355</v>
      </c>
    </row>
    <row r="1205" spans="1:1" x14ac:dyDescent="0.3">
      <c r="A1205">
        <v>302</v>
      </c>
    </row>
    <row r="1206" spans="1:1" x14ac:dyDescent="0.3">
      <c r="A1206" t="s">
        <v>1368</v>
      </c>
    </row>
    <row r="1207" spans="1:1" x14ac:dyDescent="0.3">
      <c r="A1207" t="s">
        <v>1369</v>
      </c>
    </row>
    <row r="1209" spans="1:1" x14ac:dyDescent="0.3">
      <c r="A1209">
        <v>303</v>
      </c>
    </row>
    <row r="1210" spans="1:1" x14ac:dyDescent="0.3">
      <c r="A1210" t="s">
        <v>1370</v>
      </c>
    </row>
    <row r="1211" spans="1:1" x14ac:dyDescent="0.3">
      <c r="A1211" t="s">
        <v>356</v>
      </c>
    </row>
    <row r="1213" spans="1:1" x14ac:dyDescent="0.3">
      <c r="A1213">
        <v>304</v>
      </c>
    </row>
    <row r="1214" spans="1:1" x14ac:dyDescent="0.3">
      <c r="A1214" t="s">
        <v>1371</v>
      </c>
    </row>
    <row r="1215" spans="1:1" x14ac:dyDescent="0.3">
      <c r="A1215" t="s">
        <v>357</v>
      </c>
    </row>
    <row r="1217" spans="1:1" x14ac:dyDescent="0.3">
      <c r="A1217">
        <v>305</v>
      </c>
    </row>
    <row r="1218" spans="1:1" x14ac:dyDescent="0.3">
      <c r="A1218" t="s">
        <v>1372</v>
      </c>
    </row>
    <row r="1219" spans="1:1" x14ac:dyDescent="0.3">
      <c r="A1219" t="s">
        <v>358</v>
      </c>
    </row>
    <row r="1221" spans="1:1" x14ac:dyDescent="0.3">
      <c r="A1221">
        <v>306</v>
      </c>
    </row>
    <row r="1222" spans="1:1" x14ac:dyDescent="0.3">
      <c r="A1222" t="s">
        <v>1373</v>
      </c>
    </row>
    <row r="1223" spans="1:1" x14ac:dyDescent="0.3">
      <c r="A1223" t="s">
        <v>359</v>
      </c>
    </row>
    <row r="1225" spans="1:1" x14ac:dyDescent="0.3">
      <c r="A1225">
        <v>307</v>
      </c>
    </row>
    <row r="1226" spans="1:1" x14ac:dyDescent="0.3">
      <c r="A1226" t="s">
        <v>1374</v>
      </c>
    </row>
    <row r="1227" spans="1:1" x14ac:dyDescent="0.3">
      <c r="A1227" t="s">
        <v>360</v>
      </c>
    </row>
    <row r="1229" spans="1:1" x14ac:dyDescent="0.3">
      <c r="A1229">
        <v>308</v>
      </c>
    </row>
    <row r="1230" spans="1:1" x14ac:dyDescent="0.3">
      <c r="A1230" t="s">
        <v>1375</v>
      </c>
    </row>
    <row r="1231" spans="1:1" x14ac:dyDescent="0.3">
      <c r="A1231" t="s">
        <v>361</v>
      </c>
    </row>
    <row r="1233" spans="1:1" x14ac:dyDescent="0.3">
      <c r="A1233">
        <v>309</v>
      </c>
    </row>
    <row r="1234" spans="1:1" x14ac:dyDescent="0.3">
      <c r="A1234" t="s">
        <v>1376</v>
      </c>
    </row>
    <row r="1235" spans="1:1" x14ac:dyDescent="0.3">
      <c r="A1235" t="s">
        <v>362</v>
      </c>
    </row>
    <row r="1237" spans="1:1" x14ac:dyDescent="0.3">
      <c r="A1237">
        <v>310</v>
      </c>
    </row>
    <row r="1238" spans="1:1" x14ac:dyDescent="0.3">
      <c r="A1238" t="s">
        <v>1377</v>
      </c>
    </row>
    <row r="1239" spans="1:1" x14ac:dyDescent="0.3">
      <c r="A1239" t="s">
        <v>363</v>
      </c>
    </row>
    <row r="1241" spans="1:1" x14ac:dyDescent="0.3">
      <c r="A1241">
        <v>311</v>
      </c>
    </row>
    <row r="1242" spans="1:1" x14ac:dyDescent="0.3">
      <c r="A1242" t="s">
        <v>1378</v>
      </c>
    </row>
    <row r="1243" spans="1:1" x14ac:dyDescent="0.3">
      <c r="A1243" t="s">
        <v>364</v>
      </c>
    </row>
    <row r="1245" spans="1:1" x14ac:dyDescent="0.3">
      <c r="A1245">
        <v>312</v>
      </c>
    </row>
    <row r="1246" spans="1:1" x14ac:dyDescent="0.3">
      <c r="A1246" t="s">
        <v>1379</v>
      </c>
    </row>
    <row r="1247" spans="1:1" x14ac:dyDescent="0.3">
      <c r="A1247" t="s">
        <v>365</v>
      </c>
    </row>
    <row r="1249" spans="1:1" x14ac:dyDescent="0.3">
      <c r="A1249">
        <v>313</v>
      </c>
    </row>
    <row r="1250" spans="1:1" x14ac:dyDescent="0.3">
      <c r="A1250" t="s">
        <v>1380</v>
      </c>
    </row>
    <row r="1251" spans="1:1" x14ac:dyDescent="0.3">
      <c r="A1251" t="s">
        <v>366</v>
      </c>
    </row>
    <row r="1253" spans="1:1" x14ac:dyDescent="0.3">
      <c r="A1253">
        <v>314</v>
      </c>
    </row>
    <row r="1254" spans="1:1" x14ac:dyDescent="0.3">
      <c r="A1254" t="s">
        <v>1381</v>
      </c>
    </row>
    <row r="1255" spans="1:1" x14ac:dyDescent="0.3">
      <c r="A1255" t="s">
        <v>367</v>
      </c>
    </row>
    <row r="1257" spans="1:1" x14ac:dyDescent="0.3">
      <c r="A1257">
        <v>315</v>
      </c>
    </row>
    <row r="1258" spans="1:1" x14ac:dyDescent="0.3">
      <c r="A1258" t="s">
        <v>1382</v>
      </c>
    </row>
    <row r="1259" spans="1:1" x14ac:dyDescent="0.3">
      <c r="A1259" t="s">
        <v>368</v>
      </c>
    </row>
    <row r="1261" spans="1:1" x14ac:dyDescent="0.3">
      <c r="A1261">
        <v>316</v>
      </c>
    </row>
    <row r="1262" spans="1:1" x14ac:dyDescent="0.3">
      <c r="A1262" t="s">
        <v>1383</v>
      </c>
    </row>
    <row r="1263" spans="1:1" x14ac:dyDescent="0.3">
      <c r="A1263" t="s">
        <v>0</v>
      </c>
    </row>
    <row r="1265" spans="1:1" x14ac:dyDescent="0.3">
      <c r="A1265">
        <v>317</v>
      </c>
    </row>
    <row r="1266" spans="1:1" x14ac:dyDescent="0.3">
      <c r="A1266" t="s">
        <v>1384</v>
      </c>
    </row>
    <row r="1267" spans="1:1" x14ac:dyDescent="0.3">
      <c r="A1267" t="s">
        <v>369</v>
      </c>
    </row>
    <row r="1269" spans="1:1" x14ac:dyDescent="0.3">
      <c r="A1269">
        <v>318</v>
      </c>
    </row>
    <row r="1270" spans="1:1" x14ac:dyDescent="0.3">
      <c r="A1270" t="s">
        <v>1385</v>
      </c>
    </row>
    <row r="1271" spans="1:1" x14ac:dyDescent="0.3">
      <c r="A1271" t="s">
        <v>370</v>
      </c>
    </row>
    <row r="1273" spans="1:1" x14ac:dyDescent="0.3">
      <c r="A1273">
        <v>319</v>
      </c>
    </row>
    <row r="1274" spans="1:1" x14ac:dyDescent="0.3">
      <c r="A1274" t="s">
        <v>1386</v>
      </c>
    </row>
    <row r="1275" spans="1:1" x14ac:dyDescent="0.3">
      <c r="A1275" t="s">
        <v>9</v>
      </c>
    </row>
    <row r="1277" spans="1:1" x14ac:dyDescent="0.3">
      <c r="A1277">
        <v>320</v>
      </c>
    </row>
    <row r="1278" spans="1:1" x14ac:dyDescent="0.3">
      <c r="A1278" t="s">
        <v>1387</v>
      </c>
    </row>
    <row r="1279" spans="1:1" x14ac:dyDescent="0.3">
      <c r="A1279" t="s">
        <v>1388</v>
      </c>
    </row>
    <row r="1281" spans="1:1" x14ac:dyDescent="0.3">
      <c r="A1281">
        <v>321</v>
      </c>
    </row>
    <row r="1282" spans="1:1" x14ac:dyDescent="0.3">
      <c r="A1282" t="s">
        <v>1389</v>
      </c>
    </row>
    <row r="1283" spans="1:1" x14ac:dyDescent="0.3">
      <c r="A1283" t="s">
        <v>371</v>
      </c>
    </row>
    <row r="1285" spans="1:1" x14ac:dyDescent="0.3">
      <c r="A1285">
        <v>322</v>
      </c>
    </row>
    <row r="1286" spans="1:1" x14ac:dyDescent="0.3">
      <c r="A1286" t="s">
        <v>1390</v>
      </c>
    </row>
    <row r="1287" spans="1:1" x14ac:dyDescent="0.3">
      <c r="A1287" t="s">
        <v>1391</v>
      </c>
    </row>
    <row r="1289" spans="1:1" x14ac:dyDescent="0.3">
      <c r="A1289">
        <v>323</v>
      </c>
    </row>
    <row r="1290" spans="1:1" x14ac:dyDescent="0.3">
      <c r="A1290" t="s">
        <v>1392</v>
      </c>
    </row>
    <row r="1291" spans="1:1" x14ac:dyDescent="0.3">
      <c r="A1291" t="s">
        <v>372</v>
      </c>
    </row>
    <row r="1293" spans="1:1" x14ac:dyDescent="0.3">
      <c r="A1293">
        <v>324</v>
      </c>
    </row>
    <row r="1294" spans="1:1" x14ac:dyDescent="0.3">
      <c r="A1294" t="s">
        <v>1393</v>
      </c>
    </row>
    <row r="1295" spans="1:1" x14ac:dyDescent="0.3">
      <c r="A1295" t="s">
        <v>373</v>
      </c>
    </row>
    <row r="1297" spans="1:1" x14ac:dyDescent="0.3">
      <c r="A1297">
        <v>325</v>
      </c>
    </row>
    <row r="1298" spans="1:1" x14ac:dyDescent="0.3">
      <c r="A1298" t="s">
        <v>1394</v>
      </c>
    </row>
    <row r="1299" spans="1:1" x14ac:dyDescent="0.3">
      <c r="A1299" t="s">
        <v>374</v>
      </c>
    </row>
    <row r="1301" spans="1:1" x14ac:dyDescent="0.3">
      <c r="A1301">
        <v>326</v>
      </c>
    </row>
    <row r="1302" spans="1:1" x14ac:dyDescent="0.3">
      <c r="A1302" t="s">
        <v>1395</v>
      </c>
    </row>
    <row r="1303" spans="1:1" x14ac:dyDescent="0.3">
      <c r="A1303" t="s">
        <v>375</v>
      </c>
    </row>
    <row r="1305" spans="1:1" x14ac:dyDescent="0.3">
      <c r="A1305">
        <v>327</v>
      </c>
    </row>
    <row r="1306" spans="1:1" x14ac:dyDescent="0.3">
      <c r="A1306" t="s">
        <v>1396</v>
      </c>
    </row>
    <row r="1307" spans="1:1" x14ac:dyDescent="0.3">
      <c r="A1307" t="s">
        <v>376</v>
      </c>
    </row>
    <row r="1309" spans="1:1" x14ac:dyDescent="0.3">
      <c r="A1309">
        <v>328</v>
      </c>
    </row>
    <row r="1310" spans="1:1" x14ac:dyDescent="0.3">
      <c r="A1310" t="s">
        <v>1397</v>
      </c>
    </row>
    <row r="1311" spans="1:1" x14ac:dyDescent="0.3">
      <c r="A1311" t="s">
        <v>377</v>
      </c>
    </row>
    <row r="1313" spans="1:1" x14ac:dyDescent="0.3">
      <c r="A1313">
        <v>329</v>
      </c>
    </row>
    <row r="1314" spans="1:1" x14ac:dyDescent="0.3">
      <c r="A1314" t="s">
        <v>1398</v>
      </c>
    </row>
    <row r="1315" spans="1:1" x14ac:dyDescent="0.3">
      <c r="A1315" t="s">
        <v>378</v>
      </c>
    </row>
    <row r="1317" spans="1:1" x14ac:dyDescent="0.3">
      <c r="A1317">
        <v>330</v>
      </c>
    </row>
    <row r="1318" spans="1:1" x14ac:dyDescent="0.3">
      <c r="A1318" t="s">
        <v>1399</v>
      </c>
    </row>
    <row r="1319" spans="1:1" x14ac:dyDescent="0.3">
      <c r="A1319" t="s">
        <v>1400</v>
      </c>
    </row>
    <row r="1321" spans="1:1" x14ac:dyDescent="0.3">
      <c r="A1321">
        <v>331</v>
      </c>
    </row>
    <row r="1322" spans="1:1" x14ac:dyDescent="0.3">
      <c r="A1322" t="s">
        <v>1401</v>
      </c>
    </row>
    <row r="1323" spans="1:1" x14ac:dyDescent="0.3">
      <c r="A1323" t="s">
        <v>1402</v>
      </c>
    </row>
    <row r="1325" spans="1:1" x14ac:dyDescent="0.3">
      <c r="A1325">
        <v>332</v>
      </c>
    </row>
    <row r="1326" spans="1:1" x14ac:dyDescent="0.3">
      <c r="A1326" t="s">
        <v>1403</v>
      </c>
    </row>
    <row r="1327" spans="1:1" x14ac:dyDescent="0.3">
      <c r="A1327" t="s">
        <v>379</v>
      </c>
    </row>
    <row r="1329" spans="1:1" x14ac:dyDescent="0.3">
      <c r="A1329">
        <v>333</v>
      </c>
    </row>
    <row r="1330" spans="1:1" x14ac:dyDescent="0.3">
      <c r="A1330" t="s">
        <v>1404</v>
      </c>
    </row>
    <row r="1331" spans="1:1" x14ac:dyDescent="0.3">
      <c r="A1331" t="s">
        <v>380</v>
      </c>
    </row>
    <row r="1333" spans="1:1" x14ac:dyDescent="0.3">
      <c r="A1333">
        <v>334</v>
      </c>
    </row>
    <row r="1334" spans="1:1" x14ac:dyDescent="0.3">
      <c r="A1334" t="s">
        <v>1405</v>
      </c>
    </row>
    <row r="1335" spans="1:1" x14ac:dyDescent="0.3">
      <c r="A1335" t="s">
        <v>381</v>
      </c>
    </row>
    <row r="1337" spans="1:1" x14ac:dyDescent="0.3">
      <c r="A1337">
        <v>335</v>
      </c>
    </row>
    <row r="1338" spans="1:1" x14ac:dyDescent="0.3">
      <c r="A1338" t="s">
        <v>1406</v>
      </c>
    </row>
    <row r="1339" spans="1:1" x14ac:dyDescent="0.3">
      <c r="A1339" t="s">
        <v>382</v>
      </c>
    </row>
    <row r="1341" spans="1:1" x14ac:dyDescent="0.3">
      <c r="A1341">
        <v>336</v>
      </c>
    </row>
    <row r="1342" spans="1:1" x14ac:dyDescent="0.3">
      <c r="A1342" t="s">
        <v>1407</v>
      </c>
    </row>
    <row r="1343" spans="1:1" x14ac:dyDescent="0.3">
      <c r="A1343" t="s">
        <v>383</v>
      </c>
    </row>
    <row r="1345" spans="1:1" x14ac:dyDescent="0.3">
      <c r="A1345">
        <v>337</v>
      </c>
    </row>
    <row r="1346" spans="1:1" x14ac:dyDescent="0.3">
      <c r="A1346" t="s">
        <v>1408</v>
      </c>
    </row>
    <row r="1347" spans="1:1" x14ac:dyDescent="0.3">
      <c r="A1347" t="s">
        <v>384</v>
      </c>
    </row>
    <row r="1349" spans="1:1" x14ac:dyDescent="0.3">
      <c r="A1349">
        <v>338</v>
      </c>
    </row>
    <row r="1350" spans="1:1" x14ac:dyDescent="0.3">
      <c r="A1350" t="s">
        <v>1409</v>
      </c>
    </row>
    <row r="1351" spans="1:1" x14ac:dyDescent="0.3">
      <c r="A1351" t="s">
        <v>385</v>
      </c>
    </row>
    <row r="1353" spans="1:1" x14ac:dyDescent="0.3">
      <c r="A1353">
        <v>339</v>
      </c>
    </row>
    <row r="1354" spans="1:1" x14ac:dyDescent="0.3">
      <c r="A1354" t="s">
        <v>1410</v>
      </c>
    </row>
    <row r="1355" spans="1:1" x14ac:dyDescent="0.3">
      <c r="A1355" t="s">
        <v>386</v>
      </c>
    </row>
    <row r="1357" spans="1:1" x14ac:dyDescent="0.3">
      <c r="A1357">
        <v>340</v>
      </c>
    </row>
    <row r="1358" spans="1:1" x14ac:dyDescent="0.3">
      <c r="A1358" t="s">
        <v>1411</v>
      </c>
    </row>
    <row r="1359" spans="1:1" x14ac:dyDescent="0.3">
      <c r="A1359" t="s">
        <v>387</v>
      </c>
    </row>
    <row r="1361" spans="1:1" x14ac:dyDescent="0.3">
      <c r="A1361">
        <v>341</v>
      </c>
    </row>
    <row r="1362" spans="1:1" x14ac:dyDescent="0.3">
      <c r="A1362" t="s">
        <v>1412</v>
      </c>
    </row>
    <row r="1363" spans="1:1" x14ac:dyDescent="0.3">
      <c r="A1363" t="s">
        <v>388</v>
      </c>
    </row>
    <row r="1365" spans="1:1" x14ac:dyDescent="0.3">
      <c r="A1365">
        <v>342</v>
      </c>
    </row>
    <row r="1366" spans="1:1" x14ac:dyDescent="0.3">
      <c r="A1366" t="s">
        <v>1413</v>
      </c>
    </row>
    <row r="1367" spans="1:1" x14ac:dyDescent="0.3">
      <c r="A1367" t="s">
        <v>389</v>
      </c>
    </row>
    <row r="1369" spans="1:1" x14ac:dyDescent="0.3">
      <c r="A1369">
        <v>343</v>
      </c>
    </row>
    <row r="1370" spans="1:1" x14ac:dyDescent="0.3">
      <c r="A1370" t="s">
        <v>1414</v>
      </c>
    </row>
    <row r="1371" spans="1:1" x14ac:dyDescent="0.3">
      <c r="A1371" t="s">
        <v>390</v>
      </c>
    </row>
    <row r="1373" spans="1:1" x14ac:dyDescent="0.3">
      <c r="A1373">
        <v>344</v>
      </c>
    </row>
    <row r="1374" spans="1:1" x14ac:dyDescent="0.3">
      <c r="A1374" t="s">
        <v>1415</v>
      </c>
    </row>
    <row r="1375" spans="1:1" x14ac:dyDescent="0.3">
      <c r="A1375" t="s">
        <v>391</v>
      </c>
    </row>
    <row r="1377" spans="1:1" x14ac:dyDescent="0.3">
      <c r="A1377">
        <v>345</v>
      </c>
    </row>
    <row r="1378" spans="1:1" x14ac:dyDescent="0.3">
      <c r="A1378" t="s">
        <v>1416</v>
      </c>
    </row>
    <row r="1379" spans="1:1" x14ac:dyDescent="0.3">
      <c r="A1379" t="s">
        <v>392</v>
      </c>
    </row>
    <row r="1381" spans="1:1" x14ac:dyDescent="0.3">
      <c r="A1381">
        <v>346</v>
      </c>
    </row>
    <row r="1382" spans="1:1" x14ac:dyDescent="0.3">
      <c r="A1382" t="s">
        <v>1417</v>
      </c>
    </row>
    <row r="1383" spans="1:1" x14ac:dyDescent="0.3">
      <c r="A1383" t="s">
        <v>393</v>
      </c>
    </row>
    <row r="1385" spans="1:1" x14ac:dyDescent="0.3">
      <c r="A1385">
        <v>347</v>
      </c>
    </row>
    <row r="1386" spans="1:1" x14ac:dyDescent="0.3">
      <c r="A1386" t="s">
        <v>1418</v>
      </c>
    </row>
    <row r="1387" spans="1:1" x14ac:dyDescent="0.3">
      <c r="A1387" t="s">
        <v>394</v>
      </c>
    </row>
    <row r="1389" spans="1:1" x14ac:dyDescent="0.3">
      <c r="A1389">
        <v>348</v>
      </c>
    </row>
    <row r="1390" spans="1:1" x14ac:dyDescent="0.3">
      <c r="A1390" t="s">
        <v>1419</v>
      </c>
    </row>
    <row r="1391" spans="1:1" x14ac:dyDescent="0.3">
      <c r="A1391" t="s">
        <v>395</v>
      </c>
    </row>
    <row r="1393" spans="1:1" x14ac:dyDescent="0.3">
      <c r="A1393">
        <v>349</v>
      </c>
    </row>
    <row r="1394" spans="1:1" x14ac:dyDescent="0.3">
      <c r="A1394" t="s">
        <v>1420</v>
      </c>
    </row>
    <row r="1395" spans="1:1" x14ac:dyDescent="0.3">
      <c r="A1395" t="s">
        <v>396</v>
      </c>
    </row>
    <row r="1397" spans="1:1" x14ac:dyDescent="0.3">
      <c r="A1397">
        <v>350</v>
      </c>
    </row>
    <row r="1398" spans="1:1" x14ac:dyDescent="0.3">
      <c r="A1398" t="s">
        <v>1421</v>
      </c>
    </row>
    <row r="1399" spans="1:1" x14ac:dyDescent="0.3">
      <c r="A1399" t="s">
        <v>397</v>
      </c>
    </row>
    <row r="1401" spans="1:1" x14ac:dyDescent="0.3">
      <c r="A1401">
        <v>351</v>
      </c>
    </row>
    <row r="1402" spans="1:1" x14ac:dyDescent="0.3">
      <c r="A1402" t="s">
        <v>1422</v>
      </c>
    </row>
    <row r="1403" spans="1:1" x14ac:dyDescent="0.3">
      <c r="A1403" t="s">
        <v>398</v>
      </c>
    </row>
    <row r="1405" spans="1:1" x14ac:dyDescent="0.3">
      <c r="A1405">
        <v>352</v>
      </c>
    </row>
    <row r="1406" spans="1:1" x14ac:dyDescent="0.3">
      <c r="A1406" t="s">
        <v>1423</v>
      </c>
    </row>
    <row r="1407" spans="1:1" x14ac:dyDescent="0.3">
      <c r="A1407" t="s">
        <v>399</v>
      </c>
    </row>
    <row r="1409" spans="1:1" x14ac:dyDescent="0.3">
      <c r="A1409">
        <v>353</v>
      </c>
    </row>
    <row r="1410" spans="1:1" x14ac:dyDescent="0.3">
      <c r="A1410" t="s">
        <v>1424</v>
      </c>
    </row>
    <row r="1411" spans="1:1" x14ac:dyDescent="0.3">
      <c r="A1411" t="s">
        <v>400</v>
      </c>
    </row>
    <row r="1413" spans="1:1" x14ac:dyDescent="0.3">
      <c r="A1413">
        <v>354</v>
      </c>
    </row>
    <row r="1414" spans="1:1" x14ac:dyDescent="0.3">
      <c r="A1414" t="s">
        <v>1425</v>
      </c>
    </row>
    <row r="1415" spans="1:1" x14ac:dyDescent="0.3">
      <c r="A1415" t="s">
        <v>401</v>
      </c>
    </row>
    <row r="1417" spans="1:1" x14ac:dyDescent="0.3">
      <c r="A1417">
        <v>355</v>
      </c>
    </row>
    <row r="1418" spans="1:1" x14ac:dyDescent="0.3">
      <c r="A1418" t="s">
        <v>1426</v>
      </c>
    </row>
    <row r="1419" spans="1:1" x14ac:dyDescent="0.3">
      <c r="A1419" t="s">
        <v>402</v>
      </c>
    </row>
    <row r="1421" spans="1:1" x14ac:dyDescent="0.3">
      <c r="A1421">
        <v>356</v>
      </c>
    </row>
    <row r="1422" spans="1:1" x14ac:dyDescent="0.3">
      <c r="A1422" t="s">
        <v>1427</v>
      </c>
    </row>
    <row r="1423" spans="1:1" x14ac:dyDescent="0.3">
      <c r="A1423" t="s">
        <v>403</v>
      </c>
    </row>
    <row r="1425" spans="1:1" x14ac:dyDescent="0.3">
      <c r="A1425">
        <v>357</v>
      </c>
    </row>
    <row r="1426" spans="1:1" x14ac:dyDescent="0.3">
      <c r="A1426" t="s">
        <v>1428</v>
      </c>
    </row>
    <row r="1427" spans="1:1" x14ac:dyDescent="0.3">
      <c r="A1427" t="s">
        <v>404</v>
      </c>
    </row>
    <row r="1429" spans="1:1" x14ac:dyDescent="0.3">
      <c r="A1429">
        <v>358</v>
      </c>
    </row>
    <row r="1430" spans="1:1" x14ac:dyDescent="0.3">
      <c r="A1430" t="s">
        <v>1429</v>
      </c>
    </row>
    <row r="1431" spans="1:1" x14ac:dyDescent="0.3">
      <c r="A1431" t="s">
        <v>405</v>
      </c>
    </row>
    <row r="1433" spans="1:1" x14ac:dyDescent="0.3">
      <c r="A1433">
        <v>359</v>
      </c>
    </row>
    <row r="1434" spans="1:1" x14ac:dyDescent="0.3">
      <c r="A1434" t="s">
        <v>1430</v>
      </c>
    </row>
    <row r="1435" spans="1:1" x14ac:dyDescent="0.3">
      <c r="A1435" t="s">
        <v>406</v>
      </c>
    </row>
    <row r="1437" spans="1:1" x14ac:dyDescent="0.3">
      <c r="A1437">
        <v>360</v>
      </c>
    </row>
    <row r="1438" spans="1:1" x14ac:dyDescent="0.3">
      <c r="A1438" t="s">
        <v>1431</v>
      </c>
    </row>
    <row r="1439" spans="1:1" x14ac:dyDescent="0.3">
      <c r="A1439" t="s">
        <v>407</v>
      </c>
    </row>
    <row r="1441" spans="1:1" x14ac:dyDescent="0.3">
      <c r="A1441">
        <v>361</v>
      </c>
    </row>
    <row r="1442" spans="1:1" x14ac:dyDescent="0.3">
      <c r="A1442" t="s">
        <v>1432</v>
      </c>
    </row>
    <row r="1443" spans="1:1" x14ac:dyDescent="0.3">
      <c r="A1443" t="s">
        <v>408</v>
      </c>
    </row>
    <row r="1445" spans="1:1" x14ac:dyDescent="0.3">
      <c r="A1445">
        <v>362</v>
      </c>
    </row>
    <row r="1446" spans="1:1" x14ac:dyDescent="0.3">
      <c r="A1446" t="s">
        <v>1433</v>
      </c>
    </row>
    <row r="1447" spans="1:1" x14ac:dyDescent="0.3">
      <c r="A1447" t="s">
        <v>409</v>
      </c>
    </row>
    <row r="1449" spans="1:1" x14ac:dyDescent="0.3">
      <c r="A1449">
        <v>363</v>
      </c>
    </row>
    <row r="1450" spans="1:1" x14ac:dyDescent="0.3">
      <c r="A1450" t="s">
        <v>1434</v>
      </c>
    </row>
    <row r="1451" spans="1:1" x14ac:dyDescent="0.3">
      <c r="A1451" t="s">
        <v>410</v>
      </c>
    </row>
    <row r="1453" spans="1:1" x14ac:dyDescent="0.3">
      <c r="A1453">
        <v>364</v>
      </c>
    </row>
    <row r="1454" spans="1:1" x14ac:dyDescent="0.3">
      <c r="A1454" t="s">
        <v>1435</v>
      </c>
    </row>
    <row r="1455" spans="1:1" x14ac:dyDescent="0.3">
      <c r="A1455" t="s">
        <v>411</v>
      </c>
    </row>
    <row r="1457" spans="1:1" x14ac:dyDescent="0.3">
      <c r="A1457">
        <v>365</v>
      </c>
    </row>
    <row r="1458" spans="1:1" x14ac:dyDescent="0.3">
      <c r="A1458" t="s">
        <v>1436</v>
      </c>
    </row>
    <row r="1459" spans="1:1" x14ac:dyDescent="0.3">
      <c r="A1459" t="s">
        <v>412</v>
      </c>
    </row>
    <row r="1461" spans="1:1" x14ac:dyDescent="0.3">
      <c r="A1461">
        <v>366</v>
      </c>
    </row>
    <row r="1462" spans="1:1" x14ac:dyDescent="0.3">
      <c r="A1462" t="s">
        <v>1437</v>
      </c>
    </row>
    <row r="1463" spans="1:1" x14ac:dyDescent="0.3">
      <c r="A1463" t="s">
        <v>413</v>
      </c>
    </row>
    <row r="1465" spans="1:1" x14ac:dyDescent="0.3">
      <c r="A1465">
        <v>367</v>
      </c>
    </row>
    <row r="1466" spans="1:1" x14ac:dyDescent="0.3">
      <c r="A1466" t="s">
        <v>1438</v>
      </c>
    </row>
    <row r="1467" spans="1:1" x14ac:dyDescent="0.3">
      <c r="A1467" t="s">
        <v>414</v>
      </c>
    </row>
    <row r="1469" spans="1:1" x14ac:dyDescent="0.3">
      <c r="A1469">
        <v>368</v>
      </c>
    </row>
    <row r="1470" spans="1:1" x14ac:dyDescent="0.3">
      <c r="A1470" t="s">
        <v>1439</v>
      </c>
    </row>
    <row r="1471" spans="1:1" x14ac:dyDescent="0.3">
      <c r="A1471" t="s">
        <v>415</v>
      </c>
    </row>
    <row r="1473" spans="1:1" x14ac:dyDescent="0.3">
      <c r="A1473">
        <v>369</v>
      </c>
    </row>
    <row r="1474" spans="1:1" x14ac:dyDescent="0.3">
      <c r="A1474" t="s">
        <v>1440</v>
      </c>
    </row>
    <row r="1475" spans="1:1" x14ac:dyDescent="0.3">
      <c r="A1475" t="s">
        <v>416</v>
      </c>
    </row>
    <row r="1477" spans="1:1" x14ac:dyDescent="0.3">
      <c r="A1477">
        <v>370</v>
      </c>
    </row>
    <row r="1478" spans="1:1" x14ac:dyDescent="0.3">
      <c r="A1478" t="s">
        <v>1441</v>
      </c>
    </row>
    <row r="1479" spans="1:1" x14ac:dyDescent="0.3">
      <c r="A1479" t="s">
        <v>356</v>
      </c>
    </row>
    <row r="1481" spans="1:1" x14ac:dyDescent="0.3">
      <c r="A1481">
        <v>371</v>
      </c>
    </row>
    <row r="1482" spans="1:1" x14ac:dyDescent="0.3">
      <c r="A1482" t="s">
        <v>1442</v>
      </c>
    </row>
    <row r="1483" spans="1:1" x14ac:dyDescent="0.3">
      <c r="A1483" t="s">
        <v>1304</v>
      </c>
    </row>
    <row r="1485" spans="1:1" x14ac:dyDescent="0.3">
      <c r="A1485">
        <v>372</v>
      </c>
    </row>
    <row r="1486" spans="1:1" x14ac:dyDescent="0.3">
      <c r="A1486" t="s">
        <v>1443</v>
      </c>
    </row>
    <row r="1487" spans="1:1" x14ac:dyDescent="0.3">
      <c r="A1487" t="s">
        <v>417</v>
      </c>
    </row>
    <row r="1489" spans="1:1" x14ac:dyDescent="0.3">
      <c r="A1489">
        <v>373</v>
      </c>
    </row>
    <row r="1490" spans="1:1" x14ac:dyDescent="0.3">
      <c r="A1490" t="s">
        <v>1444</v>
      </c>
    </row>
    <row r="1491" spans="1:1" x14ac:dyDescent="0.3">
      <c r="A1491" t="s">
        <v>418</v>
      </c>
    </row>
    <row r="1493" spans="1:1" x14ac:dyDescent="0.3">
      <c r="A1493">
        <v>374</v>
      </c>
    </row>
    <row r="1494" spans="1:1" x14ac:dyDescent="0.3">
      <c r="A1494" t="s">
        <v>1445</v>
      </c>
    </row>
    <row r="1495" spans="1:1" x14ac:dyDescent="0.3">
      <c r="A1495" t="s">
        <v>419</v>
      </c>
    </row>
    <row r="1497" spans="1:1" x14ac:dyDescent="0.3">
      <c r="A1497">
        <v>375</v>
      </c>
    </row>
    <row r="1498" spans="1:1" x14ac:dyDescent="0.3">
      <c r="A1498" t="s">
        <v>1446</v>
      </c>
    </row>
    <row r="1499" spans="1:1" x14ac:dyDescent="0.3">
      <c r="A1499" t="s">
        <v>420</v>
      </c>
    </row>
    <row r="1501" spans="1:1" x14ac:dyDescent="0.3">
      <c r="A1501">
        <v>376</v>
      </c>
    </row>
    <row r="1502" spans="1:1" x14ac:dyDescent="0.3">
      <c r="A1502" t="s">
        <v>1447</v>
      </c>
    </row>
    <row r="1503" spans="1:1" x14ac:dyDescent="0.3">
      <c r="A1503" t="s">
        <v>421</v>
      </c>
    </row>
    <row r="1505" spans="1:1" x14ac:dyDescent="0.3">
      <c r="A1505">
        <v>377</v>
      </c>
    </row>
    <row r="1506" spans="1:1" x14ac:dyDescent="0.3">
      <c r="A1506" t="s">
        <v>1448</v>
      </c>
    </row>
    <row r="1507" spans="1:1" x14ac:dyDescent="0.3">
      <c r="A1507" t="s">
        <v>422</v>
      </c>
    </row>
    <row r="1509" spans="1:1" x14ac:dyDescent="0.3">
      <c r="A1509">
        <v>378</v>
      </c>
    </row>
    <row r="1510" spans="1:1" x14ac:dyDescent="0.3">
      <c r="A1510" t="s">
        <v>1449</v>
      </c>
    </row>
    <row r="1511" spans="1:1" x14ac:dyDescent="0.3">
      <c r="A1511" t="s">
        <v>423</v>
      </c>
    </row>
    <row r="1513" spans="1:1" x14ac:dyDescent="0.3">
      <c r="A1513">
        <v>379</v>
      </c>
    </row>
    <row r="1514" spans="1:1" x14ac:dyDescent="0.3">
      <c r="A1514" t="s">
        <v>1450</v>
      </c>
    </row>
    <row r="1515" spans="1:1" x14ac:dyDescent="0.3">
      <c r="A1515" t="s">
        <v>1305</v>
      </c>
    </row>
    <row r="1517" spans="1:1" x14ac:dyDescent="0.3">
      <c r="A1517">
        <v>380</v>
      </c>
    </row>
    <row r="1518" spans="1:1" x14ac:dyDescent="0.3">
      <c r="A1518" t="s">
        <v>1451</v>
      </c>
    </row>
    <row r="1519" spans="1:1" x14ac:dyDescent="0.3">
      <c r="A1519" t="s">
        <v>1306</v>
      </c>
    </row>
    <row r="1521" spans="1:1" x14ac:dyDescent="0.3">
      <c r="A1521">
        <v>381</v>
      </c>
    </row>
    <row r="1522" spans="1:1" x14ac:dyDescent="0.3">
      <c r="A1522" t="s">
        <v>1452</v>
      </c>
    </row>
    <row r="1523" spans="1:1" x14ac:dyDescent="0.3">
      <c r="A1523" t="s">
        <v>424</v>
      </c>
    </row>
    <row r="1525" spans="1:1" x14ac:dyDescent="0.3">
      <c r="A1525">
        <v>382</v>
      </c>
    </row>
    <row r="1526" spans="1:1" x14ac:dyDescent="0.3">
      <c r="A1526" t="s">
        <v>1453</v>
      </c>
    </row>
    <row r="1527" spans="1:1" x14ac:dyDescent="0.3">
      <c r="A1527" t="s">
        <v>425</v>
      </c>
    </row>
    <row r="1529" spans="1:1" x14ac:dyDescent="0.3">
      <c r="A1529">
        <v>383</v>
      </c>
    </row>
    <row r="1530" spans="1:1" x14ac:dyDescent="0.3">
      <c r="A1530" t="s">
        <v>1454</v>
      </c>
    </row>
    <row r="1531" spans="1:1" x14ac:dyDescent="0.3">
      <c r="A1531" t="s">
        <v>426</v>
      </c>
    </row>
    <row r="1533" spans="1:1" x14ac:dyDescent="0.3">
      <c r="A1533">
        <v>384</v>
      </c>
    </row>
    <row r="1534" spans="1:1" x14ac:dyDescent="0.3">
      <c r="A1534" t="s">
        <v>1455</v>
      </c>
    </row>
    <row r="1535" spans="1:1" x14ac:dyDescent="0.3">
      <c r="A1535" t="s">
        <v>427</v>
      </c>
    </row>
    <row r="1537" spans="1:1" x14ac:dyDescent="0.3">
      <c r="A1537">
        <v>385</v>
      </c>
    </row>
    <row r="1538" spans="1:1" x14ac:dyDescent="0.3">
      <c r="A1538" t="s">
        <v>1456</v>
      </c>
    </row>
    <row r="1539" spans="1:1" x14ac:dyDescent="0.3">
      <c r="A1539" t="s">
        <v>428</v>
      </c>
    </row>
    <row r="1541" spans="1:1" x14ac:dyDescent="0.3">
      <c r="A1541">
        <v>386</v>
      </c>
    </row>
    <row r="1542" spans="1:1" x14ac:dyDescent="0.3">
      <c r="A1542" t="s">
        <v>1457</v>
      </c>
    </row>
    <row r="1543" spans="1:1" x14ac:dyDescent="0.3">
      <c r="A1543" t="s">
        <v>9</v>
      </c>
    </row>
    <row r="1545" spans="1:1" x14ac:dyDescent="0.3">
      <c r="A1545">
        <v>387</v>
      </c>
    </row>
    <row r="1546" spans="1:1" x14ac:dyDescent="0.3">
      <c r="A1546" t="s">
        <v>1458</v>
      </c>
    </row>
    <row r="1547" spans="1:1" x14ac:dyDescent="0.3">
      <c r="A1547" t="s">
        <v>429</v>
      </c>
    </row>
    <row r="1549" spans="1:1" x14ac:dyDescent="0.3">
      <c r="A1549">
        <v>388</v>
      </c>
    </row>
    <row r="1550" spans="1:1" x14ac:dyDescent="0.3">
      <c r="A1550" t="s">
        <v>1459</v>
      </c>
    </row>
    <row r="1551" spans="1:1" x14ac:dyDescent="0.3">
      <c r="A1551" t="s">
        <v>430</v>
      </c>
    </row>
    <row r="1553" spans="1:1" x14ac:dyDescent="0.3">
      <c r="A1553">
        <v>389</v>
      </c>
    </row>
    <row r="1554" spans="1:1" x14ac:dyDescent="0.3">
      <c r="A1554" t="s">
        <v>1460</v>
      </c>
    </row>
    <row r="1555" spans="1:1" x14ac:dyDescent="0.3">
      <c r="A1555" t="s">
        <v>431</v>
      </c>
    </row>
    <row r="1557" spans="1:1" x14ac:dyDescent="0.3">
      <c r="A1557">
        <v>390</v>
      </c>
    </row>
    <row r="1558" spans="1:1" x14ac:dyDescent="0.3">
      <c r="A1558" t="s">
        <v>1461</v>
      </c>
    </row>
    <row r="1559" spans="1:1" x14ac:dyDescent="0.3">
      <c r="A1559" t="s">
        <v>432</v>
      </c>
    </row>
    <row r="1561" spans="1:1" x14ac:dyDescent="0.3">
      <c r="A1561">
        <v>391</v>
      </c>
    </row>
    <row r="1562" spans="1:1" x14ac:dyDescent="0.3">
      <c r="A1562" t="s">
        <v>1462</v>
      </c>
    </row>
    <row r="1563" spans="1:1" x14ac:dyDescent="0.3">
      <c r="A1563" t="s">
        <v>433</v>
      </c>
    </row>
    <row r="1565" spans="1:1" x14ac:dyDescent="0.3">
      <c r="A1565">
        <v>392</v>
      </c>
    </row>
    <row r="1566" spans="1:1" x14ac:dyDescent="0.3">
      <c r="A1566" t="s">
        <v>1463</v>
      </c>
    </row>
    <row r="1567" spans="1:1" x14ac:dyDescent="0.3">
      <c r="A1567" t="s">
        <v>434</v>
      </c>
    </row>
    <row r="1569" spans="1:1" x14ac:dyDescent="0.3">
      <c r="A1569">
        <v>393</v>
      </c>
    </row>
    <row r="1570" spans="1:1" x14ac:dyDescent="0.3">
      <c r="A1570" t="s">
        <v>1464</v>
      </c>
    </row>
    <row r="1571" spans="1:1" x14ac:dyDescent="0.3">
      <c r="A1571" t="s">
        <v>435</v>
      </c>
    </row>
    <row r="1573" spans="1:1" x14ac:dyDescent="0.3">
      <c r="A1573">
        <v>394</v>
      </c>
    </row>
    <row r="1574" spans="1:1" x14ac:dyDescent="0.3">
      <c r="A1574" t="s">
        <v>1465</v>
      </c>
    </row>
    <row r="1575" spans="1:1" x14ac:dyDescent="0.3">
      <c r="A1575" t="s">
        <v>1307</v>
      </c>
    </row>
    <row r="1577" spans="1:1" x14ac:dyDescent="0.3">
      <c r="A1577">
        <v>395</v>
      </c>
    </row>
    <row r="1578" spans="1:1" x14ac:dyDescent="0.3">
      <c r="A1578" t="s">
        <v>1466</v>
      </c>
    </row>
    <row r="1579" spans="1:1" x14ac:dyDescent="0.3">
      <c r="A1579" t="s">
        <v>436</v>
      </c>
    </row>
    <row r="1581" spans="1:1" x14ac:dyDescent="0.3">
      <c r="A1581">
        <v>396</v>
      </c>
    </row>
    <row r="1582" spans="1:1" x14ac:dyDescent="0.3">
      <c r="A1582" t="s">
        <v>1467</v>
      </c>
    </row>
    <row r="1583" spans="1:1" x14ac:dyDescent="0.3">
      <c r="A1583" t="s">
        <v>437</v>
      </c>
    </row>
    <row r="1585" spans="1:1" x14ac:dyDescent="0.3">
      <c r="A1585">
        <v>397</v>
      </c>
    </row>
    <row r="1586" spans="1:1" x14ac:dyDescent="0.3">
      <c r="A1586" t="s">
        <v>1468</v>
      </c>
    </row>
    <row r="1587" spans="1:1" x14ac:dyDescent="0.3">
      <c r="A1587" t="s">
        <v>438</v>
      </c>
    </row>
    <row r="1589" spans="1:1" x14ac:dyDescent="0.3">
      <c r="A1589">
        <v>398</v>
      </c>
    </row>
    <row r="1590" spans="1:1" x14ac:dyDescent="0.3">
      <c r="A1590" t="s">
        <v>1469</v>
      </c>
    </row>
    <row r="1591" spans="1:1" x14ac:dyDescent="0.3">
      <c r="A1591" t="s">
        <v>1308</v>
      </c>
    </row>
    <row r="1593" spans="1:1" x14ac:dyDescent="0.3">
      <c r="A1593">
        <v>399</v>
      </c>
    </row>
    <row r="1594" spans="1:1" x14ac:dyDescent="0.3">
      <c r="A1594" t="s">
        <v>1470</v>
      </c>
    </row>
    <row r="1595" spans="1:1" x14ac:dyDescent="0.3">
      <c r="A1595" t="s">
        <v>1309</v>
      </c>
    </row>
    <row r="1597" spans="1:1" x14ac:dyDescent="0.3">
      <c r="A1597">
        <v>400</v>
      </c>
    </row>
    <row r="1598" spans="1:1" x14ac:dyDescent="0.3">
      <c r="A1598" t="s">
        <v>1471</v>
      </c>
    </row>
    <row r="1599" spans="1:1" x14ac:dyDescent="0.3">
      <c r="A1599" t="s">
        <v>439</v>
      </c>
    </row>
    <row r="1601" spans="1:1" x14ac:dyDescent="0.3">
      <c r="A1601">
        <v>401</v>
      </c>
    </row>
    <row r="1602" spans="1:1" x14ac:dyDescent="0.3">
      <c r="A1602" t="s">
        <v>1472</v>
      </c>
    </row>
    <row r="1603" spans="1:1" x14ac:dyDescent="0.3">
      <c r="A1603" t="s">
        <v>440</v>
      </c>
    </row>
    <row r="1605" spans="1:1" x14ac:dyDescent="0.3">
      <c r="A1605">
        <v>402</v>
      </c>
    </row>
    <row r="1606" spans="1:1" x14ac:dyDescent="0.3">
      <c r="A1606" t="s">
        <v>1473</v>
      </c>
    </row>
    <row r="1607" spans="1:1" x14ac:dyDescent="0.3">
      <c r="A1607" t="s">
        <v>441</v>
      </c>
    </row>
    <row r="1609" spans="1:1" x14ac:dyDescent="0.3">
      <c r="A1609">
        <v>403</v>
      </c>
    </row>
    <row r="1610" spans="1:1" x14ac:dyDescent="0.3">
      <c r="A1610" t="s">
        <v>1474</v>
      </c>
    </row>
    <row r="1611" spans="1:1" x14ac:dyDescent="0.3">
      <c r="A1611" t="s">
        <v>442</v>
      </c>
    </row>
    <row r="1613" spans="1:1" x14ac:dyDescent="0.3">
      <c r="A1613">
        <v>404</v>
      </c>
    </row>
    <row r="1614" spans="1:1" x14ac:dyDescent="0.3">
      <c r="A1614" t="s">
        <v>1475</v>
      </c>
    </row>
    <row r="1615" spans="1:1" x14ac:dyDescent="0.3">
      <c r="A1615" t="s">
        <v>443</v>
      </c>
    </row>
    <row r="1617" spans="1:1" x14ac:dyDescent="0.3">
      <c r="A1617">
        <v>405</v>
      </c>
    </row>
    <row r="1618" spans="1:1" x14ac:dyDescent="0.3">
      <c r="A1618" t="s">
        <v>1476</v>
      </c>
    </row>
    <row r="1619" spans="1:1" x14ac:dyDescent="0.3">
      <c r="A1619" t="s">
        <v>1310</v>
      </c>
    </row>
    <row r="1621" spans="1:1" x14ac:dyDescent="0.3">
      <c r="A1621">
        <v>406</v>
      </c>
    </row>
    <row r="1622" spans="1:1" x14ac:dyDescent="0.3">
      <c r="A1622" t="s">
        <v>1477</v>
      </c>
    </row>
    <row r="1623" spans="1:1" x14ac:dyDescent="0.3">
      <c r="A1623" t="s">
        <v>444</v>
      </c>
    </row>
    <row r="1625" spans="1:1" x14ac:dyDescent="0.3">
      <c r="A1625">
        <v>407</v>
      </c>
    </row>
    <row r="1626" spans="1:1" x14ac:dyDescent="0.3">
      <c r="A1626" t="s">
        <v>1478</v>
      </c>
    </row>
    <row r="1627" spans="1:1" x14ac:dyDescent="0.3">
      <c r="A1627" t="s">
        <v>326</v>
      </c>
    </row>
    <row r="1629" spans="1:1" x14ac:dyDescent="0.3">
      <c r="A1629">
        <v>408</v>
      </c>
    </row>
    <row r="1630" spans="1:1" x14ac:dyDescent="0.3">
      <c r="A1630" t="s">
        <v>1479</v>
      </c>
    </row>
    <row r="1631" spans="1:1" x14ac:dyDescent="0.3">
      <c r="A1631" t="s">
        <v>445</v>
      </c>
    </row>
    <row r="1633" spans="1:1" x14ac:dyDescent="0.3">
      <c r="A1633">
        <v>409</v>
      </c>
    </row>
    <row r="1634" spans="1:1" x14ac:dyDescent="0.3">
      <c r="A1634" t="s">
        <v>1480</v>
      </c>
    </row>
    <row r="1635" spans="1:1" x14ac:dyDescent="0.3">
      <c r="A1635" t="s">
        <v>446</v>
      </c>
    </row>
    <row r="1637" spans="1:1" x14ac:dyDescent="0.3">
      <c r="A1637">
        <v>410</v>
      </c>
    </row>
    <row r="1638" spans="1:1" x14ac:dyDescent="0.3">
      <c r="A1638" t="s">
        <v>1481</v>
      </c>
    </row>
    <row r="1639" spans="1:1" x14ac:dyDescent="0.3">
      <c r="A1639" t="s">
        <v>422</v>
      </c>
    </row>
    <row r="1641" spans="1:1" x14ac:dyDescent="0.3">
      <c r="A1641">
        <v>411</v>
      </c>
    </row>
    <row r="1642" spans="1:1" x14ac:dyDescent="0.3">
      <c r="A1642" t="s">
        <v>1482</v>
      </c>
    </row>
    <row r="1643" spans="1:1" x14ac:dyDescent="0.3">
      <c r="A1643" t="s">
        <v>447</v>
      </c>
    </row>
    <row r="1645" spans="1:1" x14ac:dyDescent="0.3">
      <c r="A1645">
        <v>412</v>
      </c>
    </row>
    <row r="1646" spans="1:1" x14ac:dyDescent="0.3">
      <c r="A1646" t="s">
        <v>1483</v>
      </c>
    </row>
    <row r="1647" spans="1:1" x14ac:dyDescent="0.3">
      <c r="A1647" t="s">
        <v>448</v>
      </c>
    </row>
    <row r="1649" spans="1:1" x14ac:dyDescent="0.3">
      <c r="A1649">
        <v>413</v>
      </c>
    </row>
    <row r="1650" spans="1:1" x14ac:dyDescent="0.3">
      <c r="A1650" t="s">
        <v>1484</v>
      </c>
    </row>
    <row r="1651" spans="1:1" x14ac:dyDescent="0.3">
      <c r="A1651" t="s">
        <v>449</v>
      </c>
    </row>
    <row r="1653" spans="1:1" x14ac:dyDescent="0.3">
      <c r="A1653">
        <v>414</v>
      </c>
    </row>
    <row r="1654" spans="1:1" x14ac:dyDescent="0.3">
      <c r="A1654" t="s">
        <v>1485</v>
      </c>
    </row>
    <row r="1655" spans="1:1" x14ac:dyDescent="0.3">
      <c r="A1655" t="s">
        <v>1311</v>
      </c>
    </row>
    <row r="1657" spans="1:1" x14ac:dyDescent="0.3">
      <c r="A1657">
        <v>415</v>
      </c>
    </row>
    <row r="1658" spans="1:1" x14ac:dyDescent="0.3">
      <c r="A1658" t="s">
        <v>1486</v>
      </c>
    </row>
    <row r="1659" spans="1:1" x14ac:dyDescent="0.3">
      <c r="A1659" t="s">
        <v>450</v>
      </c>
    </row>
    <row r="1661" spans="1:1" x14ac:dyDescent="0.3">
      <c r="A1661">
        <v>416</v>
      </c>
    </row>
    <row r="1662" spans="1:1" x14ac:dyDescent="0.3">
      <c r="A1662" t="s">
        <v>1487</v>
      </c>
    </row>
    <row r="1663" spans="1:1" x14ac:dyDescent="0.3">
      <c r="A1663" t="s">
        <v>356</v>
      </c>
    </row>
    <row r="1665" spans="1:1" x14ac:dyDescent="0.3">
      <c r="A1665">
        <v>417</v>
      </c>
    </row>
    <row r="1666" spans="1:1" x14ac:dyDescent="0.3">
      <c r="A1666" t="s">
        <v>1488</v>
      </c>
    </row>
    <row r="1667" spans="1:1" x14ac:dyDescent="0.3">
      <c r="A1667" t="s">
        <v>451</v>
      </c>
    </row>
    <row r="1669" spans="1:1" x14ac:dyDescent="0.3">
      <c r="A1669">
        <v>418</v>
      </c>
    </row>
    <row r="1670" spans="1:1" x14ac:dyDescent="0.3">
      <c r="A1670" t="s">
        <v>1489</v>
      </c>
    </row>
    <row r="1671" spans="1:1" x14ac:dyDescent="0.3">
      <c r="A1671" t="s">
        <v>452</v>
      </c>
    </row>
    <row r="1673" spans="1:1" x14ac:dyDescent="0.3">
      <c r="A1673">
        <v>419</v>
      </c>
    </row>
    <row r="1674" spans="1:1" x14ac:dyDescent="0.3">
      <c r="A1674" t="s">
        <v>1490</v>
      </c>
    </row>
    <row r="1675" spans="1:1" x14ac:dyDescent="0.3">
      <c r="A1675" t="s">
        <v>453</v>
      </c>
    </row>
    <row r="1677" spans="1:1" x14ac:dyDescent="0.3">
      <c r="A1677">
        <v>420</v>
      </c>
    </row>
    <row r="1678" spans="1:1" x14ac:dyDescent="0.3">
      <c r="A1678" t="s">
        <v>1491</v>
      </c>
    </row>
    <row r="1679" spans="1:1" x14ac:dyDescent="0.3">
      <c r="A1679" t="s">
        <v>454</v>
      </c>
    </row>
    <row r="1681" spans="1:1" x14ac:dyDescent="0.3">
      <c r="A1681">
        <v>421</v>
      </c>
    </row>
    <row r="1682" spans="1:1" x14ac:dyDescent="0.3">
      <c r="A1682" t="s">
        <v>1492</v>
      </c>
    </row>
    <row r="1683" spans="1:1" x14ac:dyDescent="0.3">
      <c r="A1683" t="s">
        <v>455</v>
      </c>
    </row>
    <row r="1685" spans="1:1" x14ac:dyDescent="0.3">
      <c r="A1685">
        <v>422</v>
      </c>
    </row>
    <row r="1686" spans="1:1" x14ac:dyDescent="0.3">
      <c r="A1686" t="s">
        <v>1493</v>
      </c>
    </row>
    <row r="1687" spans="1:1" x14ac:dyDescent="0.3">
      <c r="A1687" t="s">
        <v>456</v>
      </c>
    </row>
    <row r="1689" spans="1:1" x14ac:dyDescent="0.3">
      <c r="A1689">
        <v>423</v>
      </c>
    </row>
    <row r="1690" spans="1:1" x14ac:dyDescent="0.3">
      <c r="A1690" t="s">
        <v>1494</v>
      </c>
    </row>
    <row r="1691" spans="1:1" x14ac:dyDescent="0.3">
      <c r="A1691" t="s">
        <v>457</v>
      </c>
    </row>
    <row r="1693" spans="1:1" x14ac:dyDescent="0.3">
      <c r="A1693">
        <v>424</v>
      </c>
    </row>
    <row r="1694" spans="1:1" x14ac:dyDescent="0.3">
      <c r="A1694" t="s">
        <v>1495</v>
      </c>
    </row>
    <row r="1695" spans="1:1" x14ac:dyDescent="0.3">
      <c r="A1695" t="s">
        <v>458</v>
      </c>
    </row>
    <row r="1697" spans="1:1" x14ac:dyDescent="0.3">
      <c r="A1697">
        <v>425</v>
      </c>
    </row>
    <row r="1698" spans="1:1" x14ac:dyDescent="0.3">
      <c r="A1698" t="s">
        <v>1496</v>
      </c>
    </row>
    <row r="1699" spans="1:1" x14ac:dyDescent="0.3">
      <c r="A1699" t="s">
        <v>459</v>
      </c>
    </row>
    <row r="1701" spans="1:1" x14ac:dyDescent="0.3">
      <c r="A1701">
        <v>426</v>
      </c>
    </row>
    <row r="1702" spans="1:1" x14ac:dyDescent="0.3">
      <c r="A1702" t="s">
        <v>1497</v>
      </c>
    </row>
    <row r="1703" spans="1:1" x14ac:dyDescent="0.3">
      <c r="A1703" t="s">
        <v>1312</v>
      </c>
    </row>
    <row r="1705" spans="1:1" x14ac:dyDescent="0.3">
      <c r="A1705">
        <v>427</v>
      </c>
    </row>
    <row r="1706" spans="1:1" x14ac:dyDescent="0.3">
      <c r="A1706" t="s">
        <v>1498</v>
      </c>
    </row>
    <row r="1707" spans="1:1" x14ac:dyDescent="0.3">
      <c r="A1707" t="s">
        <v>460</v>
      </c>
    </row>
    <row r="1709" spans="1:1" x14ac:dyDescent="0.3">
      <c r="A1709">
        <v>428</v>
      </c>
    </row>
    <row r="1710" spans="1:1" x14ac:dyDescent="0.3">
      <c r="A1710" t="s">
        <v>1499</v>
      </c>
    </row>
    <row r="1711" spans="1:1" x14ac:dyDescent="0.3">
      <c r="A1711" t="s">
        <v>0</v>
      </c>
    </row>
    <row r="1713" spans="1:1" x14ac:dyDescent="0.3">
      <c r="A1713">
        <v>429</v>
      </c>
    </row>
    <row r="1714" spans="1:1" x14ac:dyDescent="0.3">
      <c r="A1714" t="s">
        <v>1500</v>
      </c>
    </row>
    <row r="1715" spans="1:1" x14ac:dyDescent="0.3">
      <c r="A1715" t="s">
        <v>1313</v>
      </c>
    </row>
    <row r="1717" spans="1:1" x14ac:dyDescent="0.3">
      <c r="A1717">
        <v>430</v>
      </c>
    </row>
    <row r="1718" spans="1:1" x14ac:dyDescent="0.3">
      <c r="A1718" t="s">
        <v>1501</v>
      </c>
    </row>
    <row r="1719" spans="1:1" x14ac:dyDescent="0.3">
      <c r="A1719" t="s">
        <v>461</v>
      </c>
    </row>
    <row r="1721" spans="1:1" x14ac:dyDescent="0.3">
      <c r="A1721">
        <v>431</v>
      </c>
    </row>
    <row r="1722" spans="1:1" x14ac:dyDescent="0.3">
      <c r="A1722" t="s">
        <v>1502</v>
      </c>
    </row>
    <row r="1723" spans="1:1" x14ac:dyDescent="0.3">
      <c r="A1723" t="s">
        <v>462</v>
      </c>
    </row>
    <row r="1725" spans="1:1" x14ac:dyDescent="0.3">
      <c r="A1725">
        <v>432</v>
      </c>
    </row>
    <row r="1726" spans="1:1" x14ac:dyDescent="0.3">
      <c r="A1726" t="s">
        <v>1503</v>
      </c>
    </row>
    <row r="1727" spans="1:1" x14ac:dyDescent="0.3">
      <c r="A1727" t="s">
        <v>8</v>
      </c>
    </row>
    <row r="1729" spans="1:1" x14ac:dyDescent="0.3">
      <c r="A1729">
        <v>433</v>
      </c>
    </row>
    <row r="1730" spans="1:1" x14ac:dyDescent="0.3">
      <c r="A1730" t="s">
        <v>1504</v>
      </c>
    </row>
    <row r="1731" spans="1:1" x14ac:dyDescent="0.3">
      <c r="A1731" t="s">
        <v>463</v>
      </c>
    </row>
    <row r="1733" spans="1:1" x14ac:dyDescent="0.3">
      <c r="A1733">
        <v>434</v>
      </c>
    </row>
    <row r="1734" spans="1:1" x14ac:dyDescent="0.3">
      <c r="A1734" t="s">
        <v>1505</v>
      </c>
    </row>
    <row r="1735" spans="1:1" x14ac:dyDescent="0.3">
      <c r="A1735" t="s">
        <v>464</v>
      </c>
    </row>
    <row r="1737" spans="1:1" x14ac:dyDescent="0.3">
      <c r="A1737">
        <v>435</v>
      </c>
    </row>
    <row r="1738" spans="1:1" x14ac:dyDescent="0.3">
      <c r="A1738" t="s">
        <v>1506</v>
      </c>
    </row>
    <row r="1739" spans="1:1" x14ac:dyDescent="0.3">
      <c r="A1739" t="s">
        <v>465</v>
      </c>
    </row>
    <row r="1741" spans="1:1" x14ac:dyDescent="0.3">
      <c r="A1741">
        <v>436</v>
      </c>
    </row>
    <row r="1742" spans="1:1" x14ac:dyDescent="0.3">
      <c r="A1742" t="s">
        <v>1507</v>
      </c>
    </row>
    <row r="1743" spans="1:1" x14ac:dyDescent="0.3">
      <c r="A1743" t="s">
        <v>466</v>
      </c>
    </row>
    <row r="1745" spans="1:1" x14ac:dyDescent="0.3">
      <c r="A1745">
        <v>437</v>
      </c>
    </row>
    <row r="1746" spans="1:1" x14ac:dyDescent="0.3">
      <c r="A1746" t="s">
        <v>1530</v>
      </c>
    </row>
    <row r="1747" spans="1:1" x14ac:dyDescent="0.3">
      <c r="A1747" t="s">
        <v>467</v>
      </c>
    </row>
    <row r="1749" spans="1:1" x14ac:dyDescent="0.3">
      <c r="A1749">
        <v>438</v>
      </c>
    </row>
    <row r="1750" spans="1:1" x14ac:dyDescent="0.3">
      <c r="A1750" t="s">
        <v>1531</v>
      </c>
    </row>
    <row r="1751" spans="1:1" x14ac:dyDescent="0.3">
      <c r="A1751" t="s">
        <v>468</v>
      </c>
    </row>
    <row r="1753" spans="1:1" x14ac:dyDescent="0.3">
      <c r="A1753">
        <v>439</v>
      </c>
    </row>
    <row r="1754" spans="1:1" x14ac:dyDescent="0.3">
      <c r="A1754" t="s">
        <v>1532</v>
      </c>
    </row>
    <row r="1755" spans="1:1" x14ac:dyDescent="0.3">
      <c r="A1755" t="s">
        <v>469</v>
      </c>
    </row>
    <row r="1757" spans="1:1" x14ac:dyDescent="0.3">
      <c r="A1757">
        <v>440</v>
      </c>
    </row>
    <row r="1758" spans="1:1" x14ac:dyDescent="0.3">
      <c r="A1758" t="s">
        <v>1533</v>
      </c>
    </row>
    <row r="1759" spans="1:1" x14ac:dyDescent="0.3">
      <c r="A1759" t="s">
        <v>1346</v>
      </c>
    </row>
    <row r="1761" spans="1:1" x14ac:dyDescent="0.3">
      <c r="A1761">
        <v>441</v>
      </c>
    </row>
    <row r="1762" spans="1:1" x14ac:dyDescent="0.3">
      <c r="A1762" t="s">
        <v>1534</v>
      </c>
    </row>
    <row r="1763" spans="1:1" x14ac:dyDescent="0.3">
      <c r="A1763" t="s">
        <v>9</v>
      </c>
    </row>
    <row r="1765" spans="1:1" x14ac:dyDescent="0.3">
      <c r="A1765">
        <v>442</v>
      </c>
    </row>
    <row r="1766" spans="1:1" x14ac:dyDescent="0.3">
      <c r="A1766" t="s">
        <v>1535</v>
      </c>
    </row>
    <row r="1767" spans="1:1" x14ac:dyDescent="0.3">
      <c r="A1767" t="s">
        <v>1343</v>
      </c>
    </row>
    <row r="1769" spans="1:1" x14ac:dyDescent="0.3">
      <c r="A1769">
        <v>443</v>
      </c>
    </row>
    <row r="1770" spans="1:1" x14ac:dyDescent="0.3">
      <c r="A1770" t="s">
        <v>1536</v>
      </c>
    </row>
    <row r="1771" spans="1:1" x14ac:dyDescent="0.3">
      <c r="A1771" t="s">
        <v>1344</v>
      </c>
    </row>
    <row r="1773" spans="1:1" x14ac:dyDescent="0.3">
      <c r="A1773">
        <v>444</v>
      </c>
    </row>
    <row r="1774" spans="1:1" x14ac:dyDescent="0.3">
      <c r="A1774" t="s">
        <v>1537</v>
      </c>
    </row>
    <row r="1775" spans="1:1" x14ac:dyDescent="0.3">
      <c r="A1775" t="s">
        <v>1345</v>
      </c>
    </row>
    <row r="1777" spans="1:1" x14ac:dyDescent="0.3">
      <c r="A1777">
        <v>445</v>
      </c>
    </row>
    <row r="1778" spans="1:1" x14ac:dyDescent="0.3">
      <c r="A1778" t="s">
        <v>1538</v>
      </c>
    </row>
    <row r="1779" spans="1:1" x14ac:dyDescent="0.3">
      <c r="A1779" t="s">
        <v>1325</v>
      </c>
    </row>
    <row r="1781" spans="1:1" x14ac:dyDescent="0.3">
      <c r="A1781">
        <v>446</v>
      </c>
    </row>
    <row r="1782" spans="1:1" x14ac:dyDescent="0.3">
      <c r="A1782" t="s">
        <v>1539</v>
      </c>
    </row>
    <row r="1783" spans="1:1" x14ac:dyDescent="0.3">
      <c r="A1783" t="s">
        <v>1540</v>
      </c>
    </row>
    <row r="1785" spans="1:1" x14ac:dyDescent="0.3">
      <c r="A1785">
        <v>447</v>
      </c>
    </row>
    <row r="1786" spans="1:1" x14ac:dyDescent="0.3">
      <c r="A1786" t="s">
        <v>1541</v>
      </c>
    </row>
    <row r="1787" spans="1:1" x14ac:dyDescent="0.3">
      <c r="A1787" t="s">
        <v>1508</v>
      </c>
    </row>
    <row r="1789" spans="1:1" x14ac:dyDescent="0.3">
      <c r="A1789">
        <v>448</v>
      </c>
    </row>
    <row r="1790" spans="1:1" x14ac:dyDescent="0.3">
      <c r="A1790" t="s">
        <v>1542</v>
      </c>
    </row>
    <row r="1791" spans="1:1" x14ac:dyDescent="0.3">
      <c r="A1791" t="s">
        <v>1543</v>
      </c>
    </row>
    <row r="1793" spans="1:1" x14ac:dyDescent="0.3">
      <c r="A1793">
        <v>449</v>
      </c>
    </row>
    <row r="1794" spans="1:1" x14ac:dyDescent="0.3">
      <c r="A1794" t="s">
        <v>1544</v>
      </c>
    </row>
    <row r="1795" spans="1:1" x14ac:dyDescent="0.3">
      <c r="A1795" t="s">
        <v>1314</v>
      </c>
    </row>
    <row r="1797" spans="1:1" x14ac:dyDescent="0.3">
      <c r="A1797">
        <v>450</v>
      </c>
    </row>
    <row r="1798" spans="1:1" x14ac:dyDescent="0.3">
      <c r="A1798" t="s">
        <v>1545</v>
      </c>
    </row>
    <row r="1799" spans="1:1" x14ac:dyDescent="0.3">
      <c r="A1799" t="s">
        <v>1315</v>
      </c>
    </row>
    <row r="1801" spans="1:1" x14ac:dyDescent="0.3">
      <c r="A1801">
        <v>451</v>
      </c>
    </row>
    <row r="1802" spans="1:1" x14ac:dyDescent="0.3">
      <c r="A1802" t="s">
        <v>1546</v>
      </c>
    </row>
    <row r="1803" spans="1:1" x14ac:dyDescent="0.3">
      <c r="A1803" t="s">
        <v>1509</v>
      </c>
    </row>
    <row r="1805" spans="1:1" x14ac:dyDescent="0.3">
      <c r="A1805">
        <v>452</v>
      </c>
    </row>
    <row r="1806" spans="1:1" x14ac:dyDescent="0.3">
      <c r="A1806" t="s">
        <v>1547</v>
      </c>
    </row>
    <row r="1807" spans="1:1" x14ac:dyDescent="0.3">
      <c r="A1807" t="s">
        <v>1326</v>
      </c>
    </row>
    <row r="1809" spans="1:1" x14ac:dyDescent="0.3">
      <c r="A1809">
        <v>453</v>
      </c>
    </row>
    <row r="1810" spans="1:1" x14ac:dyDescent="0.3">
      <c r="A1810" t="s">
        <v>1548</v>
      </c>
    </row>
    <row r="1811" spans="1:1" x14ac:dyDescent="0.3">
      <c r="A1811" t="s">
        <v>1327</v>
      </c>
    </row>
    <row r="1813" spans="1:1" x14ac:dyDescent="0.3">
      <c r="A1813">
        <v>454</v>
      </c>
    </row>
    <row r="1814" spans="1:1" x14ac:dyDescent="0.3">
      <c r="A1814" t="s">
        <v>1549</v>
      </c>
    </row>
    <row r="1815" spans="1:1" x14ac:dyDescent="0.3">
      <c r="A1815" t="s">
        <v>470</v>
      </c>
    </row>
    <row r="1817" spans="1:1" x14ac:dyDescent="0.3">
      <c r="A1817">
        <v>455</v>
      </c>
    </row>
    <row r="1818" spans="1:1" x14ac:dyDescent="0.3">
      <c r="A1818" t="s">
        <v>1550</v>
      </c>
    </row>
    <row r="1819" spans="1:1" x14ac:dyDescent="0.3">
      <c r="A1819" t="s">
        <v>471</v>
      </c>
    </row>
    <row r="1821" spans="1:1" x14ac:dyDescent="0.3">
      <c r="A1821">
        <v>456</v>
      </c>
    </row>
    <row r="1822" spans="1:1" x14ac:dyDescent="0.3">
      <c r="A1822" t="s">
        <v>1551</v>
      </c>
    </row>
    <row r="1823" spans="1:1" x14ac:dyDescent="0.3">
      <c r="A1823" t="s">
        <v>472</v>
      </c>
    </row>
    <row r="1825" spans="1:1" x14ac:dyDescent="0.3">
      <c r="A1825">
        <v>457</v>
      </c>
    </row>
    <row r="1826" spans="1:1" x14ac:dyDescent="0.3">
      <c r="A1826" t="s">
        <v>1552</v>
      </c>
    </row>
    <row r="1827" spans="1:1" x14ac:dyDescent="0.3">
      <c r="A1827" t="s">
        <v>473</v>
      </c>
    </row>
    <row r="1829" spans="1:1" x14ac:dyDescent="0.3">
      <c r="A1829">
        <v>458</v>
      </c>
    </row>
    <row r="1830" spans="1:1" x14ac:dyDescent="0.3">
      <c r="A1830" t="s">
        <v>1553</v>
      </c>
    </row>
    <row r="1831" spans="1:1" x14ac:dyDescent="0.3">
      <c r="A1831" t="s">
        <v>474</v>
      </c>
    </row>
    <row r="1833" spans="1:1" x14ac:dyDescent="0.3">
      <c r="A1833">
        <v>459</v>
      </c>
    </row>
    <row r="1834" spans="1:1" x14ac:dyDescent="0.3">
      <c r="A1834" t="s">
        <v>1554</v>
      </c>
    </row>
    <row r="1835" spans="1:1" x14ac:dyDescent="0.3">
      <c r="A1835" t="s">
        <v>475</v>
      </c>
    </row>
    <row r="1837" spans="1:1" x14ac:dyDescent="0.3">
      <c r="A1837">
        <v>460</v>
      </c>
    </row>
    <row r="1838" spans="1:1" x14ac:dyDescent="0.3">
      <c r="A1838" t="s">
        <v>1555</v>
      </c>
    </row>
    <row r="1839" spans="1:1" x14ac:dyDescent="0.3">
      <c r="A1839" t="s">
        <v>1328</v>
      </c>
    </row>
    <row r="1841" spans="1:1" x14ac:dyDescent="0.3">
      <c r="A1841">
        <v>461</v>
      </c>
    </row>
    <row r="1842" spans="1:1" x14ac:dyDescent="0.3">
      <c r="A1842" t="s">
        <v>1556</v>
      </c>
    </row>
    <row r="1843" spans="1:1" x14ac:dyDescent="0.3">
      <c r="A1843" t="s">
        <v>1329</v>
      </c>
    </row>
    <row r="1845" spans="1:1" x14ac:dyDescent="0.3">
      <c r="A1845">
        <v>462</v>
      </c>
    </row>
    <row r="1846" spans="1:1" x14ac:dyDescent="0.3">
      <c r="A1846" t="s">
        <v>1557</v>
      </c>
    </row>
    <row r="1847" spans="1:1" x14ac:dyDescent="0.3">
      <c r="A1847" t="s">
        <v>1316</v>
      </c>
    </row>
    <row r="1849" spans="1:1" x14ac:dyDescent="0.3">
      <c r="A1849">
        <v>463</v>
      </c>
    </row>
    <row r="1850" spans="1:1" x14ac:dyDescent="0.3">
      <c r="A1850" t="s">
        <v>1558</v>
      </c>
    </row>
    <row r="1851" spans="1:1" x14ac:dyDescent="0.3">
      <c r="A1851" t="s">
        <v>1317</v>
      </c>
    </row>
    <row r="1853" spans="1:1" x14ac:dyDescent="0.3">
      <c r="A1853">
        <v>464</v>
      </c>
    </row>
    <row r="1854" spans="1:1" x14ac:dyDescent="0.3">
      <c r="A1854" t="s">
        <v>1559</v>
      </c>
    </row>
    <row r="1855" spans="1:1" x14ac:dyDescent="0.3">
      <c r="A1855" t="s">
        <v>1560</v>
      </c>
    </row>
    <row r="1857" spans="1:1" x14ac:dyDescent="0.3">
      <c r="A1857">
        <v>465</v>
      </c>
    </row>
    <row r="1858" spans="1:1" x14ac:dyDescent="0.3">
      <c r="A1858" t="s">
        <v>1561</v>
      </c>
    </row>
    <row r="1859" spans="1:1" x14ac:dyDescent="0.3">
      <c r="A1859" t="s">
        <v>1510</v>
      </c>
    </row>
    <row r="1861" spans="1:1" x14ac:dyDescent="0.3">
      <c r="A1861">
        <v>466</v>
      </c>
    </row>
    <row r="1862" spans="1:1" x14ac:dyDescent="0.3">
      <c r="A1862" t="s">
        <v>1562</v>
      </c>
    </row>
    <row r="1863" spans="1:1" x14ac:dyDescent="0.3">
      <c r="A1863" t="s">
        <v>1330</v>
      </c>
    </row>
    <row r="1865" spans="1:1" x14ac:dyDescent="0.3">
      <c r="A1865">
        <v>467</v>
      </c>
    </row>
    <row r="1866" spans="1:1" x14ac:dyDescent="0.3">
      <c r="A1866" t="s">
        <v>1563</v>
      </c>
    </row>
    <row r="1867" spans="1:1" x14ac:dyDescent="0.3">
      <c r="A1867" t="s">
        <v>1318</v>
      </c>
    </row>
    <row r="1869" spans="1:1" x14ac:dyDescent="0.3">
      <c r="A1869">
        <v>468</v>
      </c>
    </row>
    <row r="1870" spans="1:1" x14ac:dyDescent="0.3">
      <c r="A1870" t="s">
        <v>1564</v>
      </c>
    </row>
    <row r="1871" spans="1:1" x14ac:dyDescent="0.3">
      <c r="A1871" t="s">
        <v>1565</v>
      </c>
    </row>
    <row r="1873" spans="1:1" x14ac:dyDescent="0.3">
      <c r="A1873">
        <v>469</v>
      </c>
    </row>
    <row r="1874" spans="1:1" x14ac:dyDescent="0.3">
      <c r="A1874" t="s">
        <v>1566</v>
      </c>
    </row>
    <row r="1875" spans="1:1" x14ac:dyDescent="0.3">
      <c r="A1875" t="s">
        <v>1567</v>
      </c>
    </row>
    <row r="1877" spans="1:1" x14ac:dyDescent="0.3">
      <c r="A1877">
        <v>470</v>
      </c>
    </row>
    <row r="1878" spans="1:1" x14ac:dyDescent="0.3">
      <c r="A1878" t="s">
        <v>1568</v>
      </c>
    </row>
    <row r="1879" spans="1:1" x14ac:dyDescent="0.3">
      <c r="A1879" t="s">
        <v>1319</v>
      </c>
    </row>
    <row r="1881" spans="1:1" x14ac:dyDescent="0.3">
      <c r="A1881">
        <v>471</v>
      </c>
    </row>
    <row r="1882" spans="1:1" x14ac:dyDescent="0.3">
      <c r="A1882" t="s">
        <v>1569</v>
      </c>
    </row>
    <row r="1883" spans="1:1" x14ac:dyDescent="0.3">
      <c r="A1883" t="s">
        <v>476</v>
      </c>
    </row>
    <row r="1885" spans="1:1" x14ac:dyDescent="0.3">
      <c r="A1885">
        <v>472</v>
      </c>
    </row>
    <row r="1886" spans="1:1" x14ac:dyDescent="0.3">
      <c r="A1886" t="s">
        <v>1570</v>
      </c>
    </row>
    <row r="1887" spans="1:1" x14ac:dyDescent="0.3">
      <c r="A1887" t="s">
        <v>477</v>
      </c>
    </row>
    <row r="1889" spans="1:1" x14ac:dyDescent="0.3">
      <c r="A1889">
        <v>473</v>
      </c>
    </row>
    <row r="1890" spans="1:1" x14ac:dyDescent="0.3">
      <c r="A1890" t="s">
        <v>1571</v>
      </c>
    </row>
    <row r="1891" spans="1:1" x14ac:dyDescent="0.3">
      <c r="A1891" t="s">
        <v>478</v>
      </c>
    </row>
    <row r="1893" spans="1:1" x14ac:dyDescent="0.3">
      <c r="A1893">
        <v>474</v>
      </c>
    </row>
    <row r="1894" spans="1:1" x14ac:dyDescent="0.3">
      <c r="A1894" t="s">
        <v>1572</v>
      </c>
    </row>
    <row r="1895" spans="1:1" x14ac:dyDescent="0.3">
      <c r="A1895" t="s">
        <v>479</v>
      </c>
    </row>
    <row r="1897" spans="1:1" x14ac:dyDescent="0.3">
      <c r="A1897">
        <v>475</v>
      </c>
    </row>
    <row r="1898" spans="1:1" x14ac:dyDescent="0.3">
      <c r="A1898" t="s">
        <v>1573</v>
      </c>
    </row>
    <row r="1899" spans="1:1" x14ac:dyDescent="0.3">
      <c r="A1899" t="s">
        <v>1574</v>
      </c>
    </row>
    <row r="1901" spans="1:1" x14ac:dyDescent="0.3">
      <c r="A1901">
        <v>476</v>
      </c>
    </row>
    <row r="1902" spans="1:1" x14ac:dyDescent="0.3">
      <c r="A1902" t="s">
        <v>1575</v>
      </c>
    </row>
    <row r="1903" spans="1:1" x14ac:dyDescent="0.3">
      <c r="A1903" t="s">
        <v>1511</v>
      </c>
    </row>
    <row r="1905" spans="1:1" x14ac:dyDescent="0.3">
      <c r="A1905">
        <v>477</v>
      </c>
    </row>
    <row r="1906" spans="1:1" x14ac:dyDescent="0.3">
      <c r="A1906" t="s">
        <v>1576</v>
      </c>
    </row>
    <row r="1907" spans="1:1" x14ac:dyDescent="0.3">
      <c r="A1907" t="s">
        <v>1331</v>
      </c>
    </row>
    <row r="1909" spans="1:1" x14ac:dyDescent="0.3">
      <c r="A1909">
        <v>478</v>
      </c>
    </row>
    <row r="1910" spans="1:1" x14ac:dyDescent="0.3">
      <c r="A1910" t="s">
        <v>1577</v>
      </c>
    </row>
    <row r="1911" spans="1:1" x14ac:dyDescent="0.3">
      <c r="A1911" t="s">
        <v>1332</v>
      </c>
    </row>
    <row r="1913" spans="1:1" x14ac:dyDescent="0.3">
      <c r="A1913">
        <v>479</v>
      </c>
    </row>
    <row r="1914" spans="1:1" x14ac:dyDescent="0.3">
      <c r="A1914" t="s">
        <v>1578</v>
      </c>
    </row>
    <row r="1915" spans="1:1" x14ac:dyDescent="0.3">
      <c r="A1915" t="s">
        <v>480</v>
      </c>
    </row>
    <row r="1917" spans="1:1" x14ac:dyDescent="0.3">
      <c r="A1917">
        <v>480</v>
      </c>
    </row>
    <row r="1918" spans="1:1" x14ac:dyDescent="0.3">
      <c r="A1918" t="s">
        <v>1579</v>
      </c>
    </row>
    <row r="1919" spans="1:1" x14ac:dyDescent="0.3">
      <c r="A1919" t="s">
        <v>1333</v>
      </c>
    </row>
    <row r="1921" spans="1:1" x14ac:dyDescent="0.3">
      <c r="A1921">
        <v>481</v>
      </c>
    </row>
    <row r="1922" spans="1:1" x14ac:dyDescent="0.3">
      <c r="A1922" t="s">
        <v>1580</v>
      </c>
    </row>
    <row r="1923" spans="1:1" x14ac:dyDescent="0.3">
      <c r="A1923" t="s">
        <v>481</v>
      </c>
    </row>
    <row r="1925" spans="1:1" x14ac:dyDescent="0.3">
      <c r="A1925">
        <v>482</v>
      </c>
    </row>
    <row r="1926" spans="1:1" x14ac:dyDescent="0.3">
      <c r="A1926" t="s">
        <v>1581</v>
      </c>
    </row>
    <row r="1927" spans="1:1" x14ac:dyDescent="0.3">
      <c r="A1927" t="s">
        <v>482</v>
      </c>
    </row>
    <row r="1929" spans="1:1" x14ac:dyDescent="0.3">
      <c r="A1929">
        <v>483</v>
      </c>
    </row>
    <row r="1930" spans="1:1" x14ac:dyDescent="0.3">
      <c r="A1930" t="s">
        <v>1582</v>
      </c>
    </row>
    <row r="1931" spans="1:1" x14ac:dyDescent="0.3">
      <c r="A1931" t="s">
        <v>1583</v>
      </c>
    </row>
    <row r="1933" spans="1:1" x14ac:dyDescent="0.3">
      <c r="A1933">
        <v>484</v>
      </c>
    </row>
    <row r="1934" spans="1:1" x14ac:dyDescent="0.3">
      <c r="A1934" t="s">
        <v>1584</v>
      </c>
    </row>
    <row r="1935" spans="1:1" x14ac:dyDescent="0.3">
      <c r="A1935" t="s">
        <v>483</v>
      </c>
    </row>
    <row r="1937" spans="1:1" x14ac:dyDescent="0.3">
      <c r="A1937">
        <v>485</v>
      </c>
    </row>
    <row r="1938" spans="1:1" x14ac:dyDescent="0.3">
      <c r="A1938" t="s">
        <v>1585</v>
      </c>
    </row>
    <row r="1939" spans="1:1" x14ac:dyDescent="0.3">
      <c r="A1939" t="s">
        <v>1347</v>
      </c>
    </row>
    <row r="1941" spans="1:1" x14ac:dyDescent="0.3">
      <c r="A1941">
        <v>486</v>
      </c>
    </row>
    <row r="1942" spans="1:1" x14ac:dyDescent="0.3">
      <c r="A1942" t="s">
        <v>1586</v>
      </c>
    </row>
    <row r="1943" spans="1:1" x14ac:dyDescent="0.3">
      <c r="A1943" t="s">
        <v>1587</v>
      </c>
    </row>
    <row r="1945" spans="1:1" x14ac:dyDescent="0.3">
      <c r="A1945">
        <v>487</v>
      </c>
    </row>
    <row r="1946" spans="1:1" x14ac:dyDescent="0.3">
      <c r="A1946" t="s">
        <v>1588</v>
      </c>
    </row>
    <row r="1947" spans="1:1" x14ac:dyDescent="0.3">
      <c r="A1947" t="s">
        <v>484</v>
      </c>
    </row>
    <row r="1949" spans="1:1" x14ac:dyDescent="0.3">
      <c r="A1949">
        <v>488</v>
      </c>
    </row>
    <row r="1950" spans="1:1" x14ac:dyDescent="0.3">
      <c r="A1950" t="s">
        <v>1589</v>
      </c>
    </row>
    <row r="1951" spans="1:1" x14ac:dyDescent="0.3">
      <c r="A1951" t="s">
        <v>1512</v>
      </c>
    </row>
    <row r="1953" spans="1:1" x14ac:dyDescent="0.3">
      <c r="A1953">
        <v>489</v>
      </c>
    </row>
    <row r="1954" spans="1:1" x14ac:dyDescent="0.3">
      <c r="A1954" t="s">
        <v>1590</v>
      </c>
    </row>
    <row r="1955" spans="1:1" x14ac:dyDescent="0.3">
      <c r="A1955" t="s">
        <v>1513</v>
      </c>
    </row>
    <row r="1957" spans="1:1" x14ac:dyDescent="0.3">
      <c r="A1957">
        <v>490</v>
      </c>
    </row>
    <row r="1958" spans="1:1" x14ac:dyDescent="0.3">
      <c r="A1958" t="s">
        <v>1591</v>
      </c>
    </row>
    <row r="1959" spans="1:1" x14ac:dyDescent="0.3">
      <c r="A1959" t="s">
        <v>1514</v>
      </c>
    </row>
    <row r="1961" spans="1:1" x14ac:dyDescent="0.3">
      <c r="A1961">
        <v>491</v>
      </c>
    </row>
    <row r="1962" spans="1:1" x14ac:dyDescent="0.3">
      <c r="A1962" t="s">
        <v>1592</v>
      </c>
    </row>
    <row r="1963" spans="1:1" x14ac:dyDescent="0.3">
      <c r="A1963" t="s">
        <v>1593</v>
      </c>
    </row>
    <row r="1965" spans="1:1" x14ac:dyDescent="0.3">
      <c r="A1965">
        <v>492</v>
      </c>
    </row>
    <row r="1966" spans="1:1" x14ac:dyDescent="0.3">
      <c r="A1966" t="s">
        <v>1594</v>
      </c>
    </row>
    <row r="1967" spans="1:1" x14ac:dyDescent="0.3">
      <c r="A1967" t="s">
        <v>485</v>
      </c>
    </row>
    <row r="1969" spans="1:1" x14ac:dyDescent="0.3">
      <c r="A1969">
        <v>493</v>
      </c>
    </row>
    <row r="1970" spans="1:1" x14ac:dyDescent="0.3">
      <c r="A1970" t="s">
        <v>1595</v>
      </c>
    </row>
    <row r="1971" spans="1:1" x14ac:dyDescent="0.3">
      <c r="A1971" t="s">
        <v>1596</v>
      </c>
    </row>
    <row r="1973" spans="1:1" x14ac:dyDescent="0.3">
      <c r="A1973">
        <v>494</v>
      </c>
    </row>
    <row r="1974" spans="1:1" x14ac:dyDescent="0.3">
      <c r="A1974" t="s">
        <v>1597</v>
      </c>
    </row>
    <row r="1975" spans="1:1" x14ac:dyDescent="0.3">
      <c r="A1975" t="s">
        <v>1598</v>
      </c>
    </row>
    <row r="1977" spans="1:1" x14ac:dyDescent="0.3">
      <c r="A1977">
        <v>495</v>
      </c>
    </row>
    <row r="1978" spans="1:1" x14ac:dyDescent="0.3">
      <c r="A1978" t="s">
        <v>1599</v>
      </c>
    </row>
    <row r="1979" spans="1:1" x14ac:dyDescent="0.3">
      <c r="A1979" t="s">
        <v>1334</v>
      </c>
    </row>
    <row r="1981" spans="1:1" x14ac:dyDescent="0.3">
      <c r="A1981">
        <v>496</v>
      </c>
    </row>
    <row r="1982" spans="1:1" x14ac:dyDescent="0.3">
      <c r="A1982" t="s">
        <v>1600</v>
      </c>
    </row>
    <row r="1983" spans="1:1" x14ac:dyDescent="0.3">
      <c r="A1983" t="s">
        <v>1320</v>
      </c>
    </row>
    <row r="1985" spans="1:1" x14ac:dyDescent="0.3">
      <c r="A1985">
        <v>497</v>
      </c>
    </row>
    <row r="1986" spans="1:1" x14ac:dyDescent="0.3">
      <c r="A1986" t="s">
        <v>1601</v>
      </c>
    </row>
    <row r="1987" spans="1:1" x14ac:dyDescent="0.3">
      <c r="A1987" t="s">
        <v>1602</v>
      </c>
    </row>
    <row r="1989" spans="1:1" x14ac:dyDescent="0.3">
      <c r="A1989">
        <v>498</v>
      </c>
    </row>
    <row r="1990" spans="1:1" x14ac:dyDescent="0.3">
      <c r="A1990" t="s">
        <v>1603</v>
      </c>
    </row>
    <row r="1991" spans="1:1" x14ac:dyDescent="0.3">
      <c r="A1991" t="s">
        <v>486</v>
      </c>
    </row>
    <row r="1993" spans="1:1" x14ac:dyDescent="0.3">
      <c r="A1993">
        <v>499</v>
      </c>
    </row>
    <row r="1994" spans="1:1" x14ac:dyDescent="0.3">
      <c r="A1994" t="s">
        <v>1604</v>
      </c>
    </row>
    <row r="1995" spans="1:1" x14ac:dyDescent="0.3">
      <c r="A1995" t="s">
        <v>1605</v>
      </c>
    </row>
    <row r="1997" spans="1:1" x14ac:dyDescent="0.3">
      <c r="A1997">
        <v>500</v>
      </c>
    </row>
    <row r="1998" spans="1:1" x14ac:dyDescent="0.3">
      <c r="A1998" t="s">
        <v>1606</v>
      </c>
    </row>
    <row r="1999" spans="1:1" x14ac:dyDescent="0.3">
      <c r="A1999" t="s">
        <v>487</v>
      </c>
    </row>
    <row r="2001" spans="1:1" x14ac:dyDescent="0.3">
      <c r="A2001">
        <v>501</v>
      </c>
    </row>
    <row r="2002" spans="1:1" x14ac:dyDescent="0.3">
      <c r="A2002" t="s">
        <v>1607</v>
      </c>
    </row>
    <row r="2003" spans="1:1" x14ac:dyDescent="0.3">
      <c r="A2003" t="s">
        <v>245</v>
      </c>
    </row>
    <row r="2005" spans="1:1" x14ac:dyDescent="0.3">
      <c r="A2005">
        <v>502</v>
      </c>
    </row>
    <row r="2006" spans="1:1" x14ac:dyDescent="0.3">
      <c r="A2006" t="s">
        <v>1608</v>
      </c>
    </row>
    <row r="2007" spans="1:1" x14ac:dyDescent="0.3">
      <c r="A2007" t="s">
        <v>1515</v>
      </c>
    </row>
    <row r="2009" spans="1:1" x14ac:dyDescent="0.3">
      <c r="A2009">
        <v>503</v>
      </c>
    </row>
    <row r="2010" spans="1:1" x14ac:dyDescent="0.3">
      <c r="A2010" t="s">
        <v>1609</v>
      </c>
    </row>
    <row r="2011" spans="1:1" x14ac:dyDescent="0.3">
      <c r="A2011" t="s">
        <v>1516</v>
      </c>
    </row>
    <row r="2013" spans="1:1" x14ac:dyDescent="0.3">
      <c r="A2013">
        <v>504</v>
      </c>
    </row>
    <row r="2014" spans="1:1" x14ac:dyDescent="0.3">
      <c r="A2014" t="s">
        <v>1610</v>
      </c>
    </row>
    <row r="2015" spans="1:1" x14ac:dyDescent="0.3">
      <c r="A2015" t="s">
        <v>1335</v>
      </c>
    </row>
    <row r="2017" spans="1:1" x14ac:dyDescent="0.3">
      <c r="A2017">
        <v>505</v>
      </c>
    </row>
    <row r="2018" spans="1:1" x14ac:dyDescent="0.3">
      <c r="A2018" t="s">
        <v>1611</v>
      </c>
    </row>
    <row r="2019" spans="1:1" x14ac:dyDescent="0.3">
      <c r="A2019" t="s">
        <v>488</v>
      </c>
    </row>
    <row r="2021" spans="1:1" x14ac:dyDescent="0.3">
      <c r="A2021">
        <v>506</v>
      </c>
    </row>
    <row r="2022" spans="1:1" x14ac:dyDescent="0.3">
      <c r="A2022" t="s">
        <v>1612</v>
      </c>
    </row>
    <row r="2023" spans="1:1" x14ac:dyDescent="0.3">
      <c r="A2023" t="s">
        <v>1336</v>
      </c>
    </row>
    <row r="2025" spans="1:1" x14ac:dyDescent="0.3">
      <c r="A2025">
        <v>507</v>
      </c>
    </row>
    <row r="2026" spans="1:1" x14ac:dyDescent="0.3">
      <c r="A2026" t="s">
        <v>1613</v>
      </c>
    </row>
    <row r="2027" spans="1:1" x14ac:dyDescent="0.3">
      <c r="A2027" t="s">
        <v>489</v>
      </c>
    </row>
    <row r="2029" spans="1:1" x14ac:dyDescent="0.3">
      <c r="A2029">
        <v>508</v>
      </c>
    </row>
    <row r="2030" spans="1:1" x14ac:dyDescent="0.3">
      <c r="A2030" t="s">
        <v>1614</v>
      </c>
    </row>
    <row r="2031" spans="1:1" x14ac:dyDescent="0.3">
      <c r="A2031" t="s">
        <v>490</v>
      </c>
    </row>
    <row r="2033" spans="1:1" x14ac:dyDescent="0.3">
      <c r="A2033">
        <v>509</v>
      </c>
    </row>
    <row r="2034" spans="1:1" x14ac:dyDescent="0.3">
      <c r="A2034" t="s">
        <v>1615</v>
      </c>
    </row>
    <row r="2035" spans="1:1" x14ac:dyDescent="0.3">
      <c r="A2035" t="s">
        <v>491</v>
      </c>
    </row>
    <row r="2037" spans="1:1" x14ac:dyDescent="0.3">
      <c r="A2037">
        <v>510</v>
      </c>
    </row>
    <row r="2038" spans="1:1" x14ac:dyDescent="0.3">
      <c r="A2038" t="s">
        <v>1616</v>
      </c>
    </row>
    <row r="2039" spans="1:1" x14ac:dyDescent="0.3">
      <c r="A2039" t="s">
        <v>492</v>
      </c>
    </row>
    <row r="2041" spans="1:1" x14ac:dyDescent="0.3">
      <c r="A2041">
        <v>511</v>
      </c>
    </row>
    <row r="2042" spans="1:1" x14ac:dyDescent="0.3">
      <c r="A2042" t="s">
        <v>1617</v>
      </c>
    </row>
    <row r="2043" spans="1:1" x14ac:dyDescent="0.3">
      <c r="A2043" t="s">
        <v>1517</v>
      </c>
    </row>
    <row r="2045" spans="1:1" x14ac:dyDescent="0.3">
      <c r="A2045">
        <v>512</v>
      </c>
    </row>
    <row r="2046" spans="1:1" x14ac:dyDescent="0.3">
      <c r="A2046" t="s">
        <v>1618</v>
      </c>
    </row>
    <row r="2047" spans="1:1" x14ac:dyDescent="0.3">
      <c r="A2047" t="s">
        <v>493</v>
      </c>
    </row>
    <row r="2049" spans="1:1" x14ac:dyDescent="0.3">
      <c r="A2049">
        <v>513</v>
      </c>
    </row>
    <row r="2050" spans="1:1" x14ac:dyDescent="0.3">
      <c r="A2050" t="s">
        <v>1619</v>
      </c>
    </row>
    <row r="2051" spans="1:1" x14ac:dyDescent="0.3">
      <c r="A2051" t="s">
        <v>1620</v>
      </c>
    </row>
    <row r="2053" spans="1:1" x14ac:dyDescent="0.3">
      <c r="A2053">
        <v>514</v>
      </c>
    </row>
    <row r="2054" spans="1:1" x14ac:dyDescent="0.3">
      <c r="A2054" t="s">
        <v>1621</v>
      </c>
    </row>
    <row r="2055" spans="1:1" x14ac:dyDescent="0.3">
      <c r="A2055" t="s">
        <v>1622</v>
      </c>
    </row>
    <row r="2057" spans="1:1" x14ac:dyDescent="0.3">
      <c r="A2057">
        <v>515</v>
      </c>
    </row>
    <row r="2058" spans="1:1" x14ac:dyDescent="0.3">
      <c r="A2058" t="s">
        <v>1623</v>
      </c>
    </row>
    <row r="2059" spans="1:1" x14ac:dyDescent="0.3">
      <c r="A2059" t="s">
        <v>494</v>
      </c>
    </row>
    <row r="2061" spans="1:1" x14ac:dyDescent="0.3">
      <c r="A2061">
        <v>516</v>
      </c>
    </row>
    <row r="2062" spans="1:1" x14ac:dyDescent="0.3">
      <c r="A2062" t="s">
        <v>1624</v>
      </c>
    </row>
    <row r="2063" spans="1:1" x14ac:dyDescent="0.3">
      <c r="A2063" t="s">
        <v>1625</v>
      </c>
    </row>
    <row r="2065" spans="1:1" x14ac:dyDescent="0.3">
      <c r="A2065">
        <v>517</v>
      </c>
    </row>
    <row r="2066" spans="1:1" x14ac:dyDescent="0.3">
      <c r="A2066" t="s">
        <v>1626</v>
      </c>
    </row>
    <row r="2067" spans="1:1" x14ac:dyDescent="0.3">
      <c r="A2067" t="s">
        <v>1627</v>
      </c>
    </row>
    <row r="2069" spans="1:1" x14ac:dyDescent="0.3">
      <c r="A2069">
        <v>518</v>
      </c>
    </row>
    <row r="2070" spans="1:1" x14ac:dyDescent="0.3">
      <c r="A2070" t="s">
        <v>1628</v>
      </c>
    </row>
    <row r="2071" spans="1:1" x14ac:dyDescent="0.3">
      <c r="A2071" t="s">
        <v>495</v>
      </c>
    </row>
    <row r="2073" spans="1:1" x14ac:dyDescent="0.3">
      <c r="A2073">
        <v>519</v>
      </c>
    </row>
    <row r="2074" spans="1:1" x14ac:dyDescent="0.3">
      <c r="A2074" t="s">
        <v>1629</v>
      </c>
    </row>
    <row r="2075" spans="1:1" x14ac:dyDescent="0.3">
      <c r="A2075" t="s">
        <v>1630</v>
      </c>
    </row>
    <row r="2077" spans="1:1" x14ac:dyDescent="0.3">
      <c r="A2077">
        <v>520</v>
      </c>
    </row>
    <row r="2078" spans="1:1" x14ac:dyDescent="0.3">
      <c r="A2078" t="s">
        <v>1631</v>
      </c>
    </row>
    <row r="2079" spans="1:1" x14ac:dyDescent="0.3">
      <c r="A2079" t="s">
        <v>1632</v>
      </c>
    </row>
    <row r="2081" spans="1:1" x14ac:dyDescent="0.3">
      <c r="A2081">
        <v>521</v>
      </c>
    </row>
    <row r="2082" spans="1:1" x14ac:dyDescent="0.3">
      <c r="A2082" t="s">
        <v>1633</v>
      </c>
    </row>
    <row r="2083" spans="1:1" x14ac:dyDescent="0.3">
      <c r="A2083" t="s">
        <v>1634</v>
      </c>
    </row>
    <row r="2085" spans="1:1" x14ac:dyDescent="0.3">
      <c r="A2085">
        <v>522</v>
      </c>
    </row>
    <row r="2086" spans="1:1" x14ac:dyDescent="0.3">
      <c r="A2086" t="s">
        <v>1635</v>
      </c>
    </row>
    <row r="2087" spans="1:1" x14ac:dyDescent="0.3">
      <c r="A2087" t="s">
        <v>9</v>
      </c>
    </row>
    <row r="2089" spans="1:1" x14ac:dyDescent="0.3">
      <c r="A2089">
        <v>523</v>
      </c>
    </row>
    <row r="2090" spans="1:1" x14ac:dyDescent="0.3">
      <c r="A2090" t="s">
        <v>1636</v>
      </c>
    </row>
    <row r="2091" spans="1:1" x14ac:dyDescent="0.3">
      <c r="A2091" t="s">
        <v>1637</v>
      </c>
    </row>
    <row r="2093" spans="1:1" x14ac:dyDescent="0.3">
      <c r="A2093">
        <v>524</v>
      </c>
    </row>
    <row r="2094" spans="1:1" x14ac:dyDescent="0.3">
      <c r="A2094" t="s">
        <v>1638</v>
      </c>
    </row>
    <row r="2095" spans="1:1" x14ac:dyDescent="0.3">
      <c r="A2095" t="s">
        <v>1337</v>
      </c>
    </row>
    <row r="2097" spans="1:1" x14ac:dyDescent="0.3">
      <c r="A2097">
        <v>525</v>
      </c>
    </row>
    <row r="2098" spans="1:1" x14ac:dyDescent="0.3">
      <c r="A2098" t="s">
        <v>1639</v>
      </c>
    </row>
    <row r="2099" spans="1:1" x14ac:dyDescent="0.3">
      <c r="A2099" t="s">
        <v>496</v>
      </c>
    </row>
    <row r="2101" spans="1:1" x14ac:dyDescent="0.3">
      <c r="A2101">
        <v>526</v>
      </c>
    </row>
    <row r="2102" spans="1:1" x14ac:dyDescent="0.3">
      <c r="A2102" t="s">
        <v>1640</v>
      </c>
    </row>
    <row r="2103" spans="1:1" x14ac:dyDescent="0.3">
      <c r="A2103" t="s">
        <v>1518</v>
      </c>
    </row>
    <row r="2105" spans="1:1" x14ac:dyDescent="0.3">
      <c r="A2105">
        <v>527</v>
      </c>
    </row>
    <row r="2106" spans="1:1" x14ac:dyDescent="0.3">
      <c r="A2106" t="s">
        <v>1641</v>
      </c>
    </row>
    <row r="2107" spans="1:1" x14ac:dyDescent="0.3">
      <c r="A2107" t="s">
        <v>497</v>
      </c>
    </row>
    <row r="2109" spans="1:1" x14ac:dyDescent="0.3">
      <c r="A2109">
        <v>528</v>
      </c>
    </row>
    <row r="2110" spans="1:1" x14ac:dyDescent="0.3">
      <c r="A2110" t="s">
        <v>1642</v>
      </c>
    </row>
    <row r="2111" spans="1:1" x14ac:dyDescent="0.3">
      <c r="A2111" t="s">
        <v>498</v>
      </c>
    </row>
    <row r="2113" spans="1:1" x14ac:dyDescent="0.3">
      <c r="A2113">
        <v>529</v>
      </c>
    </row>
    <row r="2114" spans="1:1" x14ac:dyDescent="0.3">
      <c r="A2114" t="s">
        <v>1643</v>
      </c>
    </row>
    <row r="2115" spans="1:1" x14ac:dyDescent="0.3">
      <c r="A2115" t="s">
        <v>1519</v>
      </c>
    </row>
    <row r="2117" spans="1:1" x14ac:dyDescent="0.3">
      <c r="A2117">
        <v>530</v>
      </c>
    </row>
    <row r="2118" spans="1:1" x14ac:dyDescent="0.3">
      <c r="A2118" t="s">
        <v>1644</v>
      </c>
    </row>
    <row r="2119" spans="1:1" x14ac:dyDescent="0.3">
      <c r="A2119" t="s">
        <v>1520</v>
      </c>
    </row>
    <row r="2121" spans="1:1" x14ac:dyDescent="0.3">
      <c r="A2121">
        <v>531</v>
      </c>
    </row>
    <row r="2122" spans="1:1" x14ac:dyDescent="0.3">
      <c r="A2122" t="s">
        <v>1645</v>
      </c>
    </row>
    <row r="2123" spans="1:1" x14ac:dyDescent="0.3">
      <c r="A2123" t="s">
        <v>1646</v>
      </c>
    </row>
    <row r="2125" spans="1:1" x14ac:dyDescent="0.3">
      <c r="A2125">
        <v>532</v>
      </c>
    </row>
    <row r="2126" spans="1:1" x14ac:dyDescent="0.3">
      <c r="A2126" t="s">
        <v>1647</v>
      </c>
    </row>
    <row r="2127" spans="1:1" x14ac:dyDescent="0.3">
      <c r="A2127" t="s">
        <v>1338</v>
      </c>
    </row>
    <row r="2129" spans="1:1" x14ac:dyDescent="0.3">
      <c r="A2129">
        <v>533</v>
      </c>
    </row>
    <row r="2130" spans="1:1" x14ac:dyDescent="0.3">
      <c r="A2130" t="s">
        <v>1648</v>
      </c>
    </row>
    <row r="2131" spans="1:1" x14ac:dyDescent="0.3">
      <c r="A2131" t="s">
        <v>499</v>
      </c>
    </row>
    <row r="2133" spans="1:1" x14ac:dyDescent="0.3">
      <c r="A2133">
        <v>534</v>
      </c>
    </row>
    <row r="2134" spans="1:1" x14ac:dyDescent="0.3">
      <c r="A2134" t="s">
        <v>1649</v>
      </c>
    </row>
    <row r="2135" spans="1:1" x14ac:dyDescent="0.3">
      <c r="A2135" t="s">
        <v>500</v>
      </c>
    </row>
    <row r="2137" spans="1:1" x14ac:dyDescent="0.3">
      <c r="A2137">
        <v>535</v>
      </c>
    </row>
    <row r="2138" spans="1:1" x14ac:dyDescent="0.3">
      <c r="A2138" t="s">
        <v>1650</v>
      </c>
    </row>
    <row r="2139" spans="1:1" x14ac:dyDescent="0.3">
      <c r="A2139" t="s">
        <v>501</v>
      </c>
    </row>
    <row r="2141" spans="1:1" x14ac:dyDescent="0.3">
      <c r="A2141">
        <v>536</v>
      </c>
    </row>
    <row r="2142" spans="1:1" x14ac:dyDescent="0.3">
      <c r="A2142" t="s">
        <v>1651</v>
      </c>
    </row>
    <row r="2143" spans="1:1" x14ac:dyDescent="0.3">
      <c r="A2143" t="s">
        <v>1321</v>
      </c>
    </row>
    <row r="2145" spans="1:1" x14ac:dyDescent="0.3">
      <c r="A2145">
        <v>537</v>
      </c>
    </row>
    <row r="2146" spans="1:1" x14ac:dyDescent="0.3">
      <c r="A2146" t="s">
        <v>1652</v>
      </c>
    </row>
    <row r="2147" spans="1:1" x14ac:dyDescent="0.3">
      <c r="A2147" t="s">
        <v>1322</v>
      </c>
    </row>
    <row r="2149" spans="1:1" x14ac:dyDescent="0.3">
      <c r="A2149">
        <v>538</v>
      </c>
    </row>
    <row r="2150" spans="1:1" x14ac:dyDescent="0.3">
      <c r="A2150" t="s">
        <v>1653</v>
      </c>
    </row>
    <row r="2151" spans="1:1" x14ac:dyDescent="0.3">
      <c r="A2151" t="s">
        <v>502</v>
      </c>
    </row>
    <row r="2153" spans="1:1" x14ac:dyDescent="0.3">
      <c r="A2153">
        <v>539</v>
      </c>
    </row>
    <row r="2154" spans="1:1" x14ac:dyDescent="0.3">
      <c r="A2154" t="s">
        <v>1654</v>
      </c>
    </row>
    <row r="2155" spans="1:1" x14ac:dyDescent="0.3">
      <c r="A2155" t="s">
        <v>1323</v>
      </c>
    </row>
    <row r="2157" spans="1:1" x14ac:dyDescent="0.3">
      <c r="A2157">
        <v>540</v>
      </c>
    </row>
    <row r="2158" spans="1:1" x14ac:dyDescent="0.3">
      <c r="A2158" t="s">
        <v>1655</v>
      </c>
    </row>
    <row r="2159" spans="1:1" x14ac:dyDescent="0.3">
      <c r="A2159" t="s">
        <v>1324</v>
      </c>
    </row>
    <row r="2161" spans="1:1" x14ac:dyDescent="0.3">
      <c r="A2161">
        <v>541</v>
      </c>
    </row>
    <row r="2162" spans="1:1" x14ac:dyDescent="0.3">
      <c r="A2162" t="s">
        <v>1656</v>
      </c>
    </row>
    <row r="2163" spans="1:1" x14ac:dyDescent="0.3">
      <c r="A2163" t="s">
        <v>1657</v>
      </c>
    </row>
    <row r="2165" spans="1:1" x14ac:dyDescent="0.3">
      <c r="A2165">
        <v>542</v>
      </c>
    </row>
    <row r="2166" spans="1:1" x14ac:dyDescent="0.3">
      <c r="A2166" t="s">
        <v>1658</v>
      </c>
    </row>
    <row r="2167" spans="1:1" x14ac:dyDescent="0.3">
      <c r="A2167" t="s">
        <v>1521</v>
      </c>
    </row>
    <row r="2169" spans="1:1" x14ac:dyDescent="0.3">
      <c r="A2169">
        <v>543</v>
      </c>
    </row>
    <row r="2170" spans="1:1" x14ac:dyDescent="0.3">
      <c r="A2170" t="s">
        <v>1659</v>
      </c>
    </row>
    <row r="2171" spans="1:1" x14ac:dyDescent="0.3">
      <c r="A2171" t="s">
        <v>1339</v>
      </c>
    </row>
    <row r="2173" spans="1:1" x14ac:dyDescent="0.3">
      <c r="A2173">
        <v>544</v>
      </c>
    </row>
    <row r="2174" spans="1:1" x14ac:dyDescent="0.3">
      <c r="A2174" t="s">
        <v>1660</v>
      </c>
    </row>
    <row r="2175" spans="1:1" x14ac:dyDescent="0.3">
      <c r="A2175" t="s">
        <v>1340</v>
      </c>
    </row>
    <row r="2177" spans="1:1" x14ac:dyDescent="0.3">
      <c r="A2177">
        <v>545</v>
      </c>
    </row>
    <row r="2178" spans="1:1" x14ac:dyDescent="0.3">
      <c r="A2178" t="s">
        <v>1661</v>
      </c>
    </row>
    <row r="2179" spans="1:1" x14ac:dyDescent="0.3">
      <c r="A2179" t="s">
        <v>503</v>
      </c>
    </row>
    <row r="2181" spans="1:1" x14ac:dyDescent="0.3">
      <c r="A2181">
        <v>546</v>
      </c>
    </row>
    <row r="2182" spans="1:1" x14ac:dyDescent="0.3">
      <c r="A2182" t="s">
        <v>1662</v>
      </c>
    </row>
    <row r="2183" spans="1:1" x14ac:dyDescent="0.3">
      <c r="A2183" t="s">
        <v>504</v>
      </c>
    </row>
    <row r="2185" spans="1:1" x14ac:dyDescent="0.3">
      <c r="A2185">
        <v>547</v>
      </c>
    </row>
    <row r="2186" spans="1:1" x14ac:dyDescent="0.3">
      <c r="A2186" t="s">
        <v>1663</v>
      </c>
    </row>
    <row r="2187" spans="1:1" x14ac:dyDescent="0.3">
      <c r="A2187" t="s">
        <v>505</v>
      </c>
    </row>
    <row r="2189" spans="1:1" x14ac:dyDescent="0.3">
      <c r="A2189">
        <v>548</v>
      </c>
    </row>
    <row r="2190" spans="1:1" x14ac:dyDescent="0.3">
      <c r="A2190" t="s">
        <v>1664</v>
      </c>
    </row>
    <row r="2191" spans="1:1" x14ac:dyDescent="0.3">
      <c r="A2191" t="s">
        <v>1</v>
      </c>
    </row>
    <row r="2193" spans="1:1" x14ac:dyDescent="0.3">
      <c r="A2193">
        <v>549</v>
      </c>
    </row>
    <row r="2194" spans="1:1" x14ac:dyDescent="0.3">
      <c r="A2194" t="s">
        <v>1665</v>
      </c>
    </row>
    <row r="2195" spans="1:1" x14ac:dyDescent="0.3">
      <c r="A2195" t="s">
        <v>506</v>
      </c>
    </row>
    <row r="2197" spans="1:1" x14ac:dyDescent="0.3">
      <c r="A2197">
        <v>550</v>
      </c>
    </row>
    <row r="2198" spans="1:1" x14ac:dyDescent="0.3">
      <c r="A2198" t="s">
        <v>1666</v>
      </c>
    </row>
    <row r="2199" spans="1:1" x14ac:dyDescent="0.3">
      <c r="A2199" t="s">
        <v>1667</v>
      </c>
    </row>
    <row r="2201" spans="1:1" x14ac:dyDescent="0.3">
      <c r="A2201">
        <v>551</v>
      </c>
    </row>
    <row r="2202" spans="1:1" x14ac:dyDescent="0.3">
      <c r="A2202" t="s">
        <v>1668</v>
      </c>
    </row>
    <row r="2203" spans="1:1" x14ac:dyDescent="0.3">
      <c r="A2203" t="s">
        <v>507</v>
      </c>
    </row>
    <row r="2205" spans="1:1" x14ac:dyDescent="0.3">
      <c r="A2205">
        <v>552</v>
      </c>
    </row>
    <row r="2206" spans="1:1" x14ac:dyDescent="0.3">
      <c r="A2206" t="s">
        <v>1669</v>
      </c>
    </row>
    <row r="2207" spans="1:1" x14ac:dyDescent="0.3">
      <c r="A2207" t="s">
        <v>1670</v>
      </c>
    </row>
    <row r="2209" spans="1:1" x14ac:dyDescent="0.3">
      <c r="A2209">
        <v>553</v>
      </c>
    </row>
    <row r="2210" spans="1:1" x14ac:dyDescent="0.3">
      <c r="A2210" t="s">
        <v>1671</v>
      </c>
    </row>
    <row r="2211" spans="1:1" x14ac:dyDescent="0.3">
      <c r="A2211" t="s">
        <v>1341</v>
      </c>
    </row>
    <row r="2213" spans="1:1" x14ac:dyDescent="0.3">
      <c r="A2213">
        <v>554</v>
      </c>
    </row>
    <row r="2214" spans="1:1" x14ac:dyDescent="0.3">
      <c r="A2214" t="s">
        <v>1672</v>
      </c>
    </row>
    <row r="2215" spans="1:1" x14ac:dyDescent="0.3">
      <c r="A2215" t="s">
        <v>1342</v>
      </c>
    </row>
    <row r="2217" spans="1:1" x14ac:dyDescent="0.3">
      <c r="A2217">
        <v>555</v>
      </c>
    </row>
    <row r="2218" spans="1:1" x14ac:dyDescent="0.3">
      <c r="A2218" t="s">
        <v>1673</v>
      </c>
    </row>
    <row r="2219" spans="1:1" x14ac:dyDescent="0.3">
      <c r="A2219" t="s">
        <v>508</v>
      </c>
    </row>
    <row r="2221" spans="1:1" x14ac:dyDescent="0.3">
      <c r="A2221">
        <v>556</v>
      </c>
    </row>
    <row r="2222" spans="1:1" x14ac:dyDescent="0.3">
      <c r="A2222" t="s">
        <v>1674</v>
      </c>
    </row>
    <row r="2223" spans="1:1" x14ac:dyDescent="0.3">
      <c r="A2223" t="s">
        <v>509</v>
      </c>
    </row>
    <row r="2225" spans="1:1" x14ac:dyDescent="0.3">
      <c r="A2225">
        <v>557</v>
      </c>
    </row>
    <row r="2226" spans="1:1" x14ac:dyDescent="0.3">
      <c r="A2226" t="s">
        <v>1675</v>
      </c>
    </row>
    <row r="2227" spans="1:1" x14ac:dyDescent="0.3">
      <c r="A2227" t="s">
        <v>510</v>
      </c>
    </row>
    <row r="2229" spans="1:1" x14ac:dyDescent="0.3">
      <c r="A2229">
        <v>558</v>
      </c>
    </row>
    <row r="2230" spans="1:1" x14ac:dyDescent="0.3">
      <c r="A2230" t="s">
        <v>1676</v>
      </c>
    </row>
    <row r="2231" spans="1:1" x14ac:dyDescent="0.3">
      <c r="A2231" t="s">
        <v>1522</v>
      </c>
    </row>
    <row r="2233" spans="1:1" x14ac:dyDescent="0.3">
      <c r="A2233">
        <v>559</v>
      </c>
    </row>
    <row r="2234" spans="1:1" x14ac:dyDescent="0.3">
      <c r="A2234" t="s">
        <v>1677</v>
      </c>
    </row>
    <row r="2235" spans="1:1" x14ac:dyDescent="0.3">
      <c r="A2235" t="s">
        <v>511</v>
      </c>
    </row>
    <row r="2237" spans="1:1" x14ac:dyDescent="0.3">
      <c r="A2237">
        <v>560</v>
      </c>
    </row>
    <row r="2238" spans="1:1" x14ac:dyDescent="0.3">
      <c r="A2238" t="s">
        <v>1678</v>
      </c>
    </row>
    <row r="2239" spans="1:1" x14ac:dyDescent="0.3">
      <c r="A2239" t="s">
        <v>1523</v>
      </c>
    </row>
    <row r="2241" spans="1:1" x14ac:dyDescent="0.3">
      <c r="A2241">
        <v>561</v>
      </c>
    </row>
    <row r="2242" spans="1:1" x14ac:dyDescent="0.3">
      <c r="A2242" t="s">
        <v>1679</v>
      </c>
    </row>
    <row r="2243" spans="1:1" x14ac:dyDescent="0.3">
      <c r="A2243" t="s">
        <v>1524</v>
      </c>
    </row>
    <row r="2245" spans="1:1" x14ac:dyDescent="0.3">
      <c r="A2245">
        <v>562</v>
      </c>
    </row>
    <row r="2246" spans="1:1" x14ac:dyDescent="0.3">
      <c r="A2246" t="s">
        <v>1680</v>
      </c>
    </row>
    <row r="2247" spans="1:1" x14ac:dyDescent="0.3">
      <c r="A2247" t="s">
        <v>1525</v>
      </c>
    </row>
    <row r="2249" spans="1:1" x14ac:dyDescent="0.3">
      <c r="A2249">
        <v>563</v>
      </c>
    </row>
    <row r="2250" spans="1:1" x14ac:dyDescent="0.3">
      <c r="A2250" t="s">
        <v>1681</v>
      </c>
    </row>
    <row r="2251" spans="1:1" x14ac:dyDescent="0.3">
      <c r="A2251" t="s">
        <v>1682</v>
      </c>
    </row>
    <row r="2253" spans="1:1" x14ac:dyDescent="0.3">
      <c r="A2253">
        <v>564</v>
      </c>
    </row>
    <row r="2254" spans="1:1" x14ac:dyDescent="0.3">
      <c r="A2254" t="s">
        <v>1683</v>
      </c>
    </row>
    <row r="2255" spans="1:1" x14ac:dyDescent="0.3">
      <c r="A2255" t="s">
        <v>1684</v>
      </c>
    </row>
    <row r="2257" spans="1:1" x14ac:dyDescent="0.3">
      <c r="A2257">
        <v>565</v>
      </c>
    </row>
    <row r="2258" spans="1:1" x14ac:dyDescent="0.3">
      <c r="A2258" t="s">
        <v>1685</v>
      </c>
    </row>
    <row r="2259" spans="1:1" x14ac:dyDescent="0.3">
      <c r="A2259" t="s">
        <v>1686</v>
      </c>
    </row>
    <row r="2261" spans="1:1" x14ac:dyDescent="0.3">
      <c r="A2261">
        <v>566</v>
      </c>
    </row>
    <row r="2262" spans="1:1" x14ac:dyDescent="0.3">
      <c r="A2262" t="s">
        <v>1687</v>
      </c>
    </row>
    <row r="2263" spans="1:1" x14ac:dyDescent="0.3">
      <c r="A2263" t="s">
        <v>1688</v>
      </c>
    </row>
    <row r="2265" spans="1:1" x14ac:dyDescent="0.3">
      <c r="A2265">
        <v>567</v>
      </c>
    </row>
    <row r="2266" spans="1:1" x14ac:dyDescent="0.3">
      <c r="A2266" t="s">
        <v>1689</v>
      </c>
    </row>
    <row r="2267" spans="1:1" x14ac:dyDescent="0.3">
      <c r="A2267" t="s">
        <v>1690</v>
      </c>
    </row>
    <row r="2269" spans="1:1" x14ac:dyDescent="0.3">
      <c r="A2269">
        <v>568</v>
      </c>
    </row>
    <row r="2270" spans="1:1" x14ac:dyDescent="0.3">
      <c r="A2270" t="s">
        <v>1691</v>
      </c>
    </row>
    <row r="2271" spans="1:1" x14ac:dyDescent="0.3">
      <c r="A2271" t="s">
        <v>512</v>
      </c>
    </row>
    <row r="2273" spans="1:1" x14ac:dyDescent="0.3">
      <c r="A2273">
        <v>569</v>
      </c>
    </row>
    <row r="2274" spans="1:1" x14ac:dyDescent="0.3">
      <c r="A2274" t="s">
        <v>1692</v>
      </c>
    </row>
    <row r="2275" spans="1:1" x14ac:dyDescent="0.3">
      <c r="A2275" t="s">
        <v>1526</v>
      </c>
    </row>
    <row r="2277" spans="1:1" x14ac:dyDescent="0.3">
      <c r="A2277">
        <v>570</v>
      </c>
    </row>
    <row r="2278" spans="1:1" x14ac:dyDescent="0.3">
      <c r="A2278" t="s">
        <v>1693</v>
      </c>
    </row>
    <row r="2279" spans="1:1" x14ac:dyDescent="0.3">
      <c r="A2279" t="s">
        <v>1527</v>
      </c>
    </row>
    <row r="2281" spans="1:1" x14ac:dyDescent="0.3">
      <c r="A2281">
        <v>571</v>
      </c>
    </row>
    <row r="2282" spans="1:1" x14ac:dyDescent="0.3">
      <c r="A2282" t="s">
        <v>1694</v>
      </c>
    </row>
    <row r="2283" spans="1:1" x14ac:dyDescent="0.3">
      <c r="A2283" t="s">
        <v>1528</v>
      </c>
    </row>
    <row r="2285" spans="1:1" x14ac:dyDescent="0.3">
      <c r="A2285">
        <v>572</v>
      </c>
    </row>
    <row r="2286" spans="1:1" x14ac:dyDescent="0.3">
      <c r="A2286" t="s">
        <v>1695</v>
      </c>
    </row>
    <row r="2287" spans="1:1" x14ac:dyDescent="0.3">
      <c r="A2287" t="s">
        <v>1696</v>
      </c>
    </row>
    <row r="2289" spans="1:1" x14ac:dyDescent="0.3">
      <c r="A2289">
        <v>573</v>
      </c>
    </row>
    <row r="2290" spans="1:1" x14ac:dyDescent="0.3">
      <c r="A2290" t="s">
        <v>1697</v>
      </c>
    </row>
    <row r="2291" spans="1:1" x14ac:dyDescent="0.3">
      <c r="A2291" t="s">
        <v>1698</v>
      </c>
    </row>
    <row r="2293" spans="1:1" x14ac:dyDescent="0.3">
      <c r="A2293">
        <v>574</v>
      </c>
    </row>
    <row r="2294" spans="1:1" x14ac:dyDescent="0.3">
      <c r="A2294" t="s">
        <v>1699</v>
      </c>
    </row>
    <row r="2295" spans="1:1" x14ac:dyDescent="0.3">
      <c r="A2295" t="s">
        <v>1700</v>
      </c>
    </row>
    <row r="2297" spans="1:1" x14ac:dyDescent="0.3">
      <c r="A2297">
        <v>575</v>
      </c>
    </row>
    <row r="2298" spans="1:1" x14ac:dyDescent="0.3">
      <c r="A2298" t="s">
        <v>1701</v>
      </c>
    </row>
    <row r="2299" spans="1:1" x14ac:dyDescent="0.3">
      <c r="A2299" t="s">
        <v>1529</v>
      </c>
    </row>
    <row r="2301" spans="1:1" x14ac:dyDescent="0.3">
      <c r="A2301">
        <v>576</v>
      </c>
    </row>
    <row r="2302" spans="1:1" x14ac:dyDescent="0.3">
      <c r="A2302" t="s">
        <v>1702</v>
      </c>
    </row>
    <row r="2303" spans="1:1" x14ac:dyDescent="0.3">
      <c r="A2303" t="s">
        <v>513</v>
      </c>
    </row>
    <row r="2305" spans="1:1" x14ac:dyDescent="0.3">
      <c r="A2305">
        <v>577</v>
      </c>
    </row>
    <row r="2306" spans="1:1" x14ac:dyDescent="0.3">
      <c r="A2306" t="s">
        <v>1703</v>
      </c>
    </row>
    <row r="2307" spans="1:1" x14ac:dyDescent="0.3">
      <c r="A2307" t="s">
        <v>514</v>
      </c>
    </row>
    <row r="2309" spans="1:1" x14ac:dyDescent="0.3">
      <c r="A2309">
        <v>578</v>
      </c>
    </row>
    <row r="2310" spans="1:1" x14ac:dyDescent="0.3">
      <c r="A2310" t="s">
        <v>1704</v>
      </c>
    </row>
    <row r="2311" spans="1:1" x14ac:dyDescent="0.3">
      <c r="A2311" t="s">
        <v>515</v>
      </c>
    </row>
    <row r="2313" spans="1:1" x14ac:dyDescent="0.3">
      <c r="A2313">
        <v>579</v>
      </c>
    </row>
    <row r="2314" spans="1:1" x14ac:dyDescent="0.3">
      <c r="A2314" t="s">
        <v>1705</v>
      </c>
    </row>
    <row r="2315" spans="1:1" x14ac:dyDescent="0.3">
      <c r="A2315" t="s">
        <v>1706</v>
      </c>
    </row>
    <row r="2317" spans="1:1" x14ac:dyDescent="0.3">
      <c r="A2317">
        <v>580</v>
      </c>
    </row>
    <row r="2318" spans="1:1" x14ac:dyDescent="0.3">
      <c r="A2318" t="s">
        <v>1707</v>
      </c>
    </row>
    <row r="2319" spans="1:1" x14ac:dyDescent="0.3">
      <c r="A2319" t="s">
        <v>1708</v>
      </c>
    </row>
    <row r="2321" spans="1:1" x14ac:dyDescent="0.3">
      <c r="A2321">
        <v>581</v>
      </c>
    </row>
    <row r="2322" spans="1:1" x14ac:dyDescent="0.3">
      <c r="A2322" t="s">
        <v>1709</v>
      </c>
    </row>
    <row r="2323" spans="1:1" x14ac:dyDescent="0.3">
      <c r="A2323" t="s">
        <v>516</v>
      </c>
    </row>
    <row r="2325" spans="1:1" x14ac:dyDescent="0.3">
      <c r="A2325">
        <v>582</v>
      </c>
    </row>
    <row r="2326" spans="1:1" x14ac:dyDescent="0.3">
      <c r="A2326" t="s">
        <v>1710</v>
      </c>
    </row>
    <row r="2327" spans="1:1" x14ac:dyDescent="0.3">
      <c r="A2327" t="s">
        <v>517</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E582"/>
  <sheetViews>
    <sheetView topLeftCell="A557" workbookViewId="0">
      <selection activeCell="A583" sqref="A583:H590"/>
    </sheetView>
  </sheetViews>
  <sheetFormatPr defaultRowHeight="14" x14ac:dyDescent="0.3"/>
  <cols>
    <col min="1" max="1" width="4.5" bestFit="1" customWidth="1"/>
    <col min="2" max="2" width="27.75" bestFit="1" customWidth="1"/>
    <col min="3" max="3" width="63" bestFit="1" customWidth="1"/>
    <col min="4" max="4" width="12.08203125" customWidth="1"/>
    <col min="5" max="5" width="11.75" bestFit="1" customWidth="1"/>
  </cols>
  <sheetData>
    <row r="1" spans="1:5" x14ac:dyDescent="0.3">
      <c r="A1">
        <f ca="1">OFFSET(srt_raw!$A$1,(ROW()-1)*4+COLUMN()-1,0)</f>
        <v>1</v>
      </c>
      <c r="B1" t="str">
        <f ca="1">OFFSET(srt_raw!$A$1,(ROW()-1)*4+COLUMN()-1,0)</f>
        <v>00:00:00,160 --&gt; 00:00:02,560</v>
      </c>
      <c r="C1" t="str">
        <f ca="1">OFFSET(srt_raw!$A$1,(ROW()-1)*4+COLUMN()-1,0)</f>
        <v>在上集视频的首行叠加法中，</v>
      </c>
      <c r="D1" t="str">
        <f ca="1">LEFT(B1,12)</f>
        <v>00:00:00,160</v>
      </c>
      <c r="E1" t="str">
        <f ca="1">RIGHT(B1,12)</f>
        <v>00:00:02,560</v>
      </c>
    </row>
    <row r="2" spans="1:5" x14ac:dyDescent="0.3">
      <c r="A2">
        <f ca="1">OFFSET(srt_raw!$A$1,(ROW()-1)*4+COLUMN()-1,0)</f>
        <v>2</v>
      </c>
      <c r="B2" t="str">
        <f ca="1">OFFSET(srt_raw!$A$1,(ROW()-1)*4+COLUMN()-1,0)</f>
        <v>00:00:02,560 --&gt; 00:00:06,200</v>
      </c>
      <c r="C2" t="str">
        <f ca="1">OFFSET(srt_raw!$A$1,(ROW()-1)*4+COLUMN()-1,0)</f>
        <v>有小伙伴对按钮和灯的递推仍有疑问。</v>
      </c>
      <c r="D2" t="str">
        <f t="shared" ref="D2:D65" ca="1" si="0">LEFT(B2,12)</f>
        <v>00:00:02,560</v>
      </c>
      <c r="E2" t="str">
        <f t="shared" ref="E2:E65" ca="1" si="1">RIGHT(B2,12)</f>
        <v>00:00:06,200</v>
      </c>
    </row>
    <row r="3" spans="1:5" x14ac:dyDescent="0.3">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row>
    <row r="4" spans="1:5" x14ac:dyDescent="0.3">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row>
    <row r="5" spans="1:5" x14ac:dyDescent="0.3">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row>
    <row r="6" spans="1:5" x14ac:dyDescent="0.3">
      <c r="A6">
        <f ca="1">OFFSET(srt_raw!$A$1,(ROW()-1)*4+COLUMN()-1,0)</f>
        <v>6</v>
      </c>
      <c r="B6" t="str">
        <f ca="1">OFFSET(srt_raw!$A$1,(ROW()-1)*4+COLUMN()-1,0)</f>
        <v>00:00:15,200 --&gt; 00:00:18,280</v>
      </c>
      <c r="C6" t="str">
        <f ca="1">OFFSET(srt_raw!$A$1,(ROW()-1)*4+COLUMN()-1,0)</f>
        <v>非代表翻转。</v>
      </c>
      <c r="D6" t="str">
        <f t="shared" ca="1" si="0"/>
        <v>00:00:15,200</v>
      </c>
      <c r="E6" t="str">
        <f t="shared" ca="1" si="1"/>
        <v>00:00:18,280</v>
      </c>
    </row>
    <row r="7" spans="1:5" x14ac:dyDescent="0.3">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row>
    <row r="8" spans="1:5" x14ac:dyDescent="0.3">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row>
    <row r="9" spans="1:5" x14ac:dyDescent="0.3">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row>
    <row r="10" spans="1:5" x14ac:dyDescent="0.3">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row>
    <row r="11" spans="1:5" x14ac:dyDescent="0.3">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row>
    <row r="12" spans="1:5" x14ac:dyDescent="0.3">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row>
    <row r="13" spans="1:5" x14ac:dyDescent="0.3">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row>
    <row r="14" spans="1:5" x14ac:dyDescent="0.3">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row>
    <row r="15" spans="1:5" x14ac:dyDescent="0.3">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row>
    <row r="16" spans="1:5" x14ac:dyDescent="0.3">
      <c r="A16">
        <f ca="1">OFFSET(srt_raw!$A$1,(ROW()-1)*4+COLUMN()-1,0)</f>
        <v>16</v>
      </c>
      <c r="B16" t="str">
        <f ca="1">OFFSET(srt_raw!$A$1,(ROW()-1)*4+COLUMN()-1,0)</f>
        <v>00:00:47,440 --&gt; 00:00:48,160</v>
      </c>
      <c r="C16" t="str">
        <f ca="1">OFFSET(srt_raw!$A$1,(ROW()-1)*4+COLUMN()-1,0)</f>
        <v>在这里，</v>
      </c>
      <c r="D16" t="str">
        <f t="shared" ca="1" si="0"/>
        <v>00:00:47,440</v>
      </c>
      <c r="E16" t="str">
        <f t="shared" ca="1" si="1"/>
        <v>00:00:48,160</v>
      </c>
    </row>
    <row r="17" spans="1:5" x14ac:dyDescent="0.3">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row>
    <row r="18" spans="1:5" x14ac:dyDescent="0.3">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row>
    <row r="19" spans="1:5" x14ac:dyDescent="0.3">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row>
    <row r="20" spans="1:5" x14ac:dyDescent="0.3">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row>
    <row r="21" spans="1:5" x14ac:dyDescent="0.3">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row>
    <row r="22" spans="1:5" x14ac:dyDescent="0.3">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row>
    <row r="23" spans="1:5" x14ac:dyDescent="0.3">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row>
    <row r="24" spans="1:5" x14ac:dyDescent="0.3">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row>
    <row r="25" spans="1:5" x14ac:dyDescent="0.3">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row>
    <row r="26" spans="1:5" x14ac:dyDescent="0.3">
      <c r="A26">
        <f ca="1">OFFSET(srt_raw!$A$1,(ROW()-1)*4+COLUMN()-1,0)</f>
        <v>26</v>
      </c>
      <c r="B26" t="str">
        <f ca="1">OFFSET(srt_raw!$A$1,(ROW()-1)*4+COLUMN()-1,0)</f>
        <v>00:01:12,800 --&gt; 00:01:13,920</v>
      </c>
      <c r="C26" t="str">
        <f ca="1">OFFSET(srt_raw!$A$1,(ROW()-1)*4+COLUMN()-1,0)</f>
        <v>在叠加法中，</v>
      </c>
      <c r="D26" t="str">
        <f t="shared" ca="1" si="0"/>
        <v>00:01:12,800</v>
      </c>
      <c r="E26" t="str">
        <f t="shared" ca="1" si="1"/>
        <v>00:01:13,920</v>
      </c>
    </row>
    <row r="27" spans="1:5" x14ac:dyDescent="0.3">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row>
    <row r="28" spans="1:5" x14ac:dyDescent="0.3">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row>
    <row r="29" spans="1:5" x14ac:dyDescent="0.3">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row>
    <row r="30" spans="1:5" x14ac:dyDescent="0.3">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row>
    <row r="31" spans="1:5" x14ac:dyDescent="0.3">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row>
    <row r="32" spans="1:5" x14ac:dyDescent="0.3">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row>
    <row r="33" spans="1:5" x14ac:dyDescent="0.3">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row>
    <row r="34" spans="1:5" x14ac:dyDescent="0.3">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row>
    <row r="35" spans="1:5" x14ac:dyDescent="0.3">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row>
    <row r="36" spans="1:5" x14ac:dyDescent="0.3">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row>
    <row r="37" spans="1:5" x14ac:dyDescent="0.3">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row>
    <row r="38" spans="1:5" x14ac:dyDescent="0.3">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row>
    <row r="39" spans="1:5" x14ac:dyDescent="0.3">
      <c r="A39">
        <f ca="1">OFFSET(srt_raw!$A$1,(ROW()-1)*4+COLUMN()-1,0)</f>
        <v>39</v>
      </c>
      <c r="B39" t="str">
        <f ca="1">OFFSET(srt_raw!$A$1,(ROW()-1)*4+COLUMN()-1,0)</f>
        <v>00:01:55,120 --&gt; 00:01:56,920</v>
      </c>
      <c r="C39" t="str">
        <f ca="1">OFFSET(srt_raw!$A$1,(ROW()-1)*4+COLUMN()-1,0)</f>
        <v>L1等于B1加B2，</v>
      </c>
      <c r="D39" t="str">
        <f t="shared" ca="1" si="0"/>
        <v>00:01:55,120</v>
      </c>
      <c r="E39" t="str">
        <f t="shared" ca="1" si="1"/>
        <v>00:01:56,920</v>
      </c>
    </row>
    <row r="40" spans="1:5" x14ac:dyDescent="0.3">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row>
    <row r="41" spans="1:5" x14ac:dyDescent="0.3">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row>
    <row r="42" spans="1:5" x14ac:dyDescent="0.3">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row>
    <row r="43" spans="1:5" x14ac:dyDescent="0.3">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row>
    <row r="44" spans="1:5" x14ac:dyDescent="0.3">
      <c r="A44">
        <f ca="1">OFFSET(srt_raw!$A$1,(ROW()-1)*4+COLUMN()-1,0)</f>
        <v>44</v>
      </c>
      <c r="B44" t="str">
        <f ca="1">OFFSET(srt_raw!$A$1,(ROW()-1)*4+COLUMN()-1,0)</f>
        <v>00:02:18,480 --&gt; 00:02:21,600</v>
      </c>
      <c r="C44" t="str">
        <f ca="1">OFFSET(srt_raw!$A$1,(ROW()-1)*4+COLUMN()-1,0)</f>
        <v>只不过B6是L1的翻转，</v>
      </c>
      <c r="D44" t="str">
        <f t="shared" ca="1" si="0"/>
        <v>00:02:18,480</v>
      </c>
      <c r="E44" t="str">
        <f t="shared" ca="1" si="1"/>
        <v>00:02:21,600</v>
      </c>
    </row>
    <row r="45" spans="1:5" x14ac:dyDescent="0.3">
      <c r="A45">
        <f ca="1">OFFSET(srt_raw!$A$1,(ROW()-1)*4+COLUMN()-1,0)</f>
        <v>45</v>
      </c>
      <c r="B45" t="str">
        <f ca="1">OFFSET(srt_raw!$A$1,(ROW()-1)*4+COLUMN()-1,0)</f>
        <v>00:02:21,600 --&gt; 00:02:22,800</v>
      </c>
      <c r="C45" t="str">
        <f ca="1">OFFSET(srt_raw!$A$1,(ROW()-1)*4+COLUMN()-1,0)</f>
        <v>而旁边的向量。</v>
      </c>
      <c r="D45" t="str">
        <f t="shared" ca="1" si="0"/>
        <v>00:02:21,600</v>
      </c>
      <c r="E45" t="str">
        <f t="shared" ca="1" si="1"/>
        <v>00:02:22,800</v>
      </c>
    </row>
    <row r="46" spans="1:5" x14ac:dyDescent="0.3">
      <c r="A46">
        <f ca="1">OFFSET(srt_raw!$A$1,(ROW()-1)*4+COLUMN()-1,0)</f>
        <v>46</v>
      </c>
      <c r="B46" t="str">
        <f ca="1">OFFSET(srt_raw!$A$1,(ROW()-1)*4+COLUMN()-1,0)</f>
        <v>00:02:23,120 --&gt; 00:02:27,640</v>
      </c>
      <c r="C46" t="str">
        <f ca="1">OFFSET(srt_raw!$A$1,(ROW()-1)*4+COLUMN()-1,0)</f>
        <v>代表的就是按钮或灯有没有翻转，</v>
      </c>
      <c r="D46" t="str">
        <f t="shared" ca="1" si="0"/>
        <v>00:02:23,120</v>
      </c>
      <c r="E46" t="str">
        <f t="shared" ca="1" si="1"/>
        <v>00:02:27,640</v>
      </c>
    </row>
    <row r="47" spans="1:5" x14ac:dyDescent="0.3">
      <c r="A47">
        <f ca="1">OFFSET(srt_raw!$A$1,(ROW()-1)*4+COLUMN()-1,0)</f>
        <v>47</v>
      </c>
      <c r="B47" t="str">
        <f ca="1">OFFSET(srt_raw!$A$1,(ROW()-1)*4+COLUMN()-1,0)</f>
        <v>00:02:27,640 --&gt; 00:02:30,960</v>
      </c>
      <c r="C47" t="str">
        <f ca="1">OFFSET(srt_raw!$A$1,(ROW()-1)*4+COLUMN()-1,0)</f>
        <v>例如当第一个向量的第一个灯L1亮起时，</v>
      </c>
      <c r="D47" t="str">
        <f t="shared" ca="1" si="0"/>
        <v>00:02:27,640</v>
      </c>
      <c r="E47" t="str">
        <f t="shared" ca="1" si="1"/>
        <v>00:02:30,960</v>
      </c>
    </row>
    <row r="48" spans="1:5" x14ac:dyDescent="0.3">
      <c r="A48">
        <f ca="1">OFFSET(srt_raw!$A$1,(ROW()-1)*4+COLUMN()-1,0)</f>
        <v>48</v>
      </c>
      <c r="B48" t="str">
        <f ca="1">OFFSET(srt_raw!$A$1,(ROW()-1)*4+COLUMN()-1,0)</f>
        <v>00:02:31,040 --&gt; 00:02:34,200</v>
      </c>
      <c r="C48" t="str">
        <f ca="1">OFFSET(srt_raw!$A$1,(ROW()-1)*4+COLUMN()-1,0)</f>
        <v>表示L1除了由刚才说的按钮叠加外，</v>
      </c>
      <c r="D48" t="str">
        <f t="shared" ca="1" si="0"/>
        <v>00:02:31,040</v>
      </c>
      <c r="E48" t="str">
        <f t="shared" ca="1" si="1"/>
        <v>00:02:34,200</v>
      </c>
    </row>
    <row r="49" spans="1:5" x14ac:dyDescent="0.3">
      <c r="A49">
        <f ca="1">OFFSET(srt_raw!$A$1,(ROW()-1)*4+COLUMN()-1,0)</f>
        <v>49</v>
      </c>
      <c r="B49" t="str">
        <f ca="1">OFFSET(srt_raw!$A$1,(ROW()-1)*4+COLUMN()-1,0)</f>
        <v>00:02:34,200 --&gt; 00:02:36,440</v>
      </c>
      <c r="C49" t="str">
        <f ca="1">OFFSET(srt_raw!$A$1,(ROW()-1)*4+COLUMN()-1,0)</f>
        <v>还需要翻转才是正确的状态。</v>
      </c>
      <c r="D49" t="str">
        <f t="shared" ca="1" si="0"/>
        <v>00:02:34,200</v>
      </c>
      <c r="E49" t="str">
        <f t="shared" ca="1" si="1"/>
        <v>00:02:36,440</v>
      </c>
    </row>
    <row r="50" spans="1:5" x14ac:dyDescent="0.3">
      <c r="A50">
        <f ca="1">OFFSET(srt_raw!$A$1,(ROW()-1)*4+COLUMN()-1,0)</f>
        <v>50</v>
      </c>
      <c r="B50" t="str">
        <f ca="1">OFFSET(srt_raw!$A$1,(ROW()-1)*4+COLUMN()-1,0)</f>
        <v>00:02:37,920 --&gt; 00:02:38,840</v>
      </c>
      <c r="C50" t="str">
        <f ca="1">OFFSET(srt_raw!$A$1,(ROW()-1)*4+COLUMN()-1,0)</f>
        <v>同理，</v>
      </c>
      <c r="D50" t="str">
        <f t="shared" ca="1" si="0"/>
        <v>00:02:37,920</v>
      </c>
      <c r="E50" t="str">
        <f t="shared" ca="1" si="1"/>
        <v>00:02:38,840</v>
      </c>
    </row>
    <row r="51" spans="1:5" x14ac:dyDescent="0.3">
      <c r="A51">
        <f ca="1">OFFSET(srt_raw!$A$1,(ROW()-1)*4+COLUMN()-1,0)</f>
        <v>51</v>
      </c>
      <c r="B51" t="str">
        <f ca="1">OFFSET(srt_raw!$A$1,(ROW()-1)*4+COLUMN()-1,0)</f>
        <v>00:02:38,840 --&gt; 00:02:42,320</v>
      </c>
      <c r="C51" t="str">
        <f ca="1">OFFSET(srt_raw!$A$1,(ROW()-1)*4+COLUMN()-1,0)</f>
        <v>B7等于非L2等于非B1加B2加B3，</v>
      </c>
      <c r="D51" t="str">
        <f t="shared" ca="1" si="0"/>
        <v>00:02:38,840</v>
      </c>
      <c r="E51" t="str">
        <f t="shared" ca="1" si="1"/>
        <v>00:02:42,320</v>
      </c>
    </row>
    <row r="52" spans="1:5" x14ac:dyDescent="0.3">
      <c r="A52">
        <f ca="1">OFFSET(srt_raw!$A$1,(ROW()-1)*4+COLUMN()-1,0)</f>
        <v>52</v>
      </c>
      <c r="B52" t="str">
        <f ca="1">OFFSET(srt_raw!$A$1,(ROW()-1)*4+COLUMN()-1,0)</f>
        <v>00:02:42,480 --&gt; 00:02:46,640</v>
      </c>
      <c r="C52" t="str">
        <f ca="1">OFFSET(srt_raw!$A$1,(ROW()-1)*4+COLUMN()-1,0)</f>
        <v>即第七个按钮B7是第二个灯L2的翻转。</v>
      </c>
      <c r="D52" t="str">
        <f t="shared" ca="1" si="0"/>
        <v>00:02:42,480</v>
      </c>
      <c r="E52" t="str">
        <f t="shared" ca="1" si="1"/>
        <v>00:02:46,640</v>
      </c>
    </row>
    <row r="53" spans="1:5" x14ac:dyDescent="0.3">
      <c r="A53">
        <f ca="1">OFFSET(srt_raw!$A$1,(ROW()-1)*4+COLUMN()-1,0)</f>
        <v>53</v>
      </c>
      <c r="B53" t="str">
        <f ca="1">OFFSET(srt_raw!$A$1,(ROW()-1)*4+COLUMN()-1,0)</f>
        <v>00:02:46,640 --&gt; 00:02:47,200</v>
      </c>
      <c r="C53" t="str">
        <f ca="1">OFFSET(srt_raw!$A$1,(ROW()-1)*4+COLUMN()-1,0)</f>
        <v>同样，</v>
      </c>
      <c r="D53" t="str">
        <f t="shared" ca="1" si="0"/>
        <v>00:02:46,640</v>
      </c>
      <c r="E53" t="str">
        <f t="shared" ca="1" si="1"/>
        <v>00:02:47,200</v>
      </c>
    </row>
    <row r="54" spans="1:5" x14ac:dyDescent="0.3">
      <c r="A54">
        <f ca="1">OFFSET(srt_raw!$A$1,(ROW()-1)*4+COLUMN()-1,0)</f>
        <v>54</v>
      </c>
      <c r="B54" t="str">
        <f ca="1">OFFSET(srt_raw!$A$1,(ROW()-1)*4+COLUMN()-1,0)</f>
        <v>00:02:47,200 --&gt; 00:02:51,800</v>
      </c>
      <c r="C54" t="str">
        <f ca="1">OFFSET(srt_raw!$A$1,(ROW()-1)*4+COLUMN()-1,0)</f>
        <v>第二行的按钮B7和第一行灯L2的叠加状态是相同的。</v>
      </c>
      <c r="D54" t="str">
        <f t="shared" ca="1" si="0"/>
        <v>00:02:47,200</v>
      </c>
      <c r="E54" t="str">
        <f t="shared" ca="1" si="1"/>
        <v>00:02:51,800</v>
      </c>
    </row>
    <row r="55" spans="1:5" x14ac:dyDescent="0.3">
      <c r="A55">
        <f ca="1">OFFSET(srt_raw!$A$1,(ROW()-1)*4+COLUMN()-1,0)</f>
        <v>55</v>
      </c>
      <c r="B55" t="str">
        <f ca="1">OFFSET(srt_raw!$A$1,(ROW()-1)*4+COLUMN()-1,0)</f>
        <v>00:02:53,200 --&gt; 00:02:56,440</v>
      </c>
      <c r="C55" t="str">
        <f ca="1">OFFSET(srt_raw!$A$1,(ROW()-1)*4+COLUMN()-1,0)</f>
        <v>这里我们将第一个按钮B1的状态补全，</v>
      </c>
      <c r="D55" t="str">
        <f t="shared" ca="1" si="0"/>
        <v>00:02:53,200</v>
      </c>
      <c r="E55" t="str">
        <f t="shared" ca="1" si="1"/>
        <v>00:02:56,440</v>
      </c>
    </row>
    <row r="56" spans="1:5" x14ac:dyDescent="0.3">
      <c r="A56">
        <f ca="1">OFFSET(srt_raw!$A$1,(ROW()-1)*4+COLUMN()-1,0)</f>
        <v>56</v>
      </c>
      <c r="B56" t="str">
        <f ca="1">OFFSET(srt_raw!$A$1,(ROW()-1)*4+COLUMN()-1,0)</f>
        <v>00:02:56,440 --&gt; 00:02:58,560</v>
      </c>
      <c r="C56" t="str">
        <f ca="1">OFFSET(srt_raw!$A$1,(ROW()-1)*4+COLUMN()-1,0)</f>
        <v>将B1用第一行的按钮叠加时，</v>
      </c>
      <c r="D56" t="str">
        <f t="shared" ca="1" si="0"/>
        <v>00:02:56,440</v>
      </c>
      <c r="E56" t="str">
        <f t="shared" ca="1" si="1"/>
        <v>00:02:58,560</v>
      </c>
    </row>
    <row r="57" spans="1:5" x14ac:dyDescent="0.3">
      <c r="A57">
        <f ca="1">OFFSET(srt_raw!$A$1,(ROW()-1)*4+COLUMN()-1,0)</f>
        <v>57</v>
      </c>
      <c r="B57" t="str">
        <f ca="1">OFFSET(srt_raw!$A$1,(ROW()-1)*4+COLUMN()-1,0)</f>
        <v>00:02:58,640 --&gt; 00:03:01,880</v>
      </c>
      <c r="C57" t="str">
        <f ca="1">OFFSET(srt_raw!$A$1,(ROW()-1)*4+COLUMN()-1,0)</f>
        <v>有B1等于B1。</v>
      </c>
      <c r="D57" t="str">
        <f t="shared" ca="1" si="0"/>
        <v>00:02:58,640</v>
      </c>
      <c r="E57" t="str">
        <f t="shared" ca="1" si="1"/>
        <v>00:03:01,880</v>
      </c>
    </row>
    <row r="58" spans="1:5" x14ac:dyDescent="0.3">
      <c r="A58">
        <f ca="1">OFFSET(srt_raw!$A$1,(ROW()-1)*4+COLUMN()-1,0)</f>
        <v>58</v>
      </c>
      <c r="B58" t="str">
        <f ca="1">OFFSET(srt_raw!$A$1,(ROW()-1)*4+COLUMN()-1,0)</f>
        <v>00:03:01,880 --&gt; 00:03:08,240</v>
      </c>
      <c r="C58" t="str">
        <f ca="1">OFFSET(srt_raw!$A$1,(ROW()-1)*4+COLUMN()-1,0)</f>
        <v>接下来我们来看第六个灯L6等于B1加B6加B7等于B1加B1</v>
      </c>
      <c r="D58" t="str">
        <f t="shared" ca="1" si="0"/>
        <v>00:03:01,880</v>
      </c>
      <c r="E58" t="str">
        <f t="shared" ca="1" si="1"/>
        <v>00:03:08,240</v>
      </c>
    </row>
    <row r="59" spans="1:5" x14ac:dyDescent="0.3">
      <c r="A59">
        <f ca="1">OFFSET(srt_raw!$A$1,(ROW()-1)*4+COLUMN()-1,0)</f>
        <v>59</v>
      </c>
      <c r="B59" t="str">
        <f ca="1">OFFSET(srt_raw!$A$1,(ROW()-1)*4+COLUMN()-1,0)</f>
        <v>00:03:08,240 --&gt; 00:03:12,560</v>
      </c>
      <c r="C59" t="str">
        <f ca="1">OFFSET(srt_raw!$A$1,(ROW()-1)*4+COLUMN()-1,0)</f>
        <v>加B2加B1加B2加B3等于B1加B3，</v>
      </c>
      <c r="D59" t="str">
        <f t="shared" ca="1" si="0"/>
        <v>00:03:08,240</v>
      </c>
      <c r="E59" t="str">
        <f t="shared" ca="1" si="1"/>
        <v>00:03:12,560</v>
      </c>
    </row>
    <row r="60" spans="1:5" x14ac:dyDescent="0.3">
      <c r="A60">
        <f ca="1">OFFSET(srt_raw!$A$1,(ROW()-1)*4+COLUMN()-1,0)</f>
        <v>60</v>
      </c>
      <c r="B60" t="str">
        <f ca="1">OFFSET(srt_raw!$A$1,(ROW()-1)*4+COLUMN()-1,0)</f>
        <v>00:03:14,080 --&gt; 00:03:14,640</v>
      </c>
      <c r="C60" t="str">
        <f ca="1">OFFSET(srt_raw!$A$1,(ROW()-1)*4+COLUMN()-1,0)</f>
        <v>又比如。</v>
      </c>
      <c r="D60" t="str">
        <f t="shared" ca="1" si="0"/>
        <v>00:03:14,080</v>
      </c>
      <c r="E60" t="str">
        <f t="shared" ca="1" si="1"/>
        <v>00:03:14,640</v>
      </c>
    </row>
    <row r="61" spans="1:5" x14ac:dyDescent="0.3">
      <c r="A61">
        <f ca="1">OFFSET(srt_raw!$A$1,(ROW()-1)*4+COLUMN()-1,0)</f>
        <v>61</v>
      </c>
      <c r="B61" t="str">
        <f ca="1">OFFSET(srt_raw!$A$1,(ROW()-1)*4+COLUMN()-1,0)</f>
        <v>00:03:14,880 --&gt; 00:03:21,280</v>
      </c>
      <c r="C61" t="str">
        <f ca="1">OFFSET(srt_raw!$A$1,(ROW()-1)*4+COLUMN()-1,0)</f>
        <v>L7等于B2加B6加B7加B8等于B2加非B1加B2加非B1</v>
      </c>
      <c r="D61" t="str">
        <f t="shared" ca="1" si="0"/>
        <v>00:03:14,880</v>
      </c>
      <c r="E61" t="str">
        <f t="shared" ca="1" si="1"/>
        <v>00:03:21,280</v>
      </c>
    </row>
    <row r="62" spans="1:5" x14ac:dyDescent="0.3">
      <c r="A62">
        <f ca="1">OFFSET(srt_raw!$A$1,(ROW()-1)*4+COLUMN()-1,0)</f>
        <v>62</v>
      </c>
      <c r="B62" t="str">
        <f ca="1">OFFSET(srt_raw!$A$1,(ROW()-1)*4+COLUMN()-1,0)</f>
        <v>00:03:21,280 --&gt; 00:03:25,840</v>
      </c>
      <c r="C62" t="str">
        <f ca="1">OFFSET(srt_raw!$A$1,(ROW()-1)*4+COLUMN()-1,0)</f>
        <v>加B2加B3加非B2加B3加B4等于非B4。</v>
      </c>
      <c r="D62" t="str">
        <f t="shared" ca="1" si="0"/>
        <v>00:03:21,280</v>
      </c>
      <c r="E62" t="str">
        <f t="shared" ca="1" si="1"/>
        <v>00:03:25,840</v>
      </c>
    </row>
    <row r="63" spans="1:5" x14ac:dyDescent="0.3">
      <c r="A63">
        <f ca="1">OFFSET(srt_raw!$A$1,(ROW()-1)*4+COLUMN()-1,0)</f>
        <v>63</v>
      </c>
      <c r="B63" t="str">
        <f ca="1">OFFSET(srt_raw!$A$1,(ROW()-1)*4+COLUMN()-1,0)</f>
        <v>00:03:27,360 --&gt; 00:03:28,480</v>
      </c>
      <c r="C63" t="str">
        <f ca="1">OFFSET(srt_raw!$A$1,(ROW()-1)*4+COLUMN()-1,0)</f>
        <v>这样不断递推，</v>
      </c>
      <c r="D63" t="str">
        <f t="shared" ca="1" si="0"/>
        <v>00:03:27,360</v>
      </c>
      <c r="E63" t="str">
        <f t="shared" ca="1" si="1"/>
        <v>00:03:28,480</v>
      </c>
    </row>
    <row r="64" spans="1:5" x14ac:dyDescent="0.3">
      <c r="A64">
        <f ca="1">OFFSET(srt_raw!$A$1,(ROW()-1)*4+COLUMN()-1,0)</f>
        <v>64</v>
      </c>
      <c r="B64" t="str">
        <f ca="1">OFFSET(srt_raw!$A$1,(ROW()-1)*4+COLUMN()-1,0)</f>
        <v>00:03:28,480 --&gt; 00:03:32,000</v>
      </c>
      <c r="C64" t="str">
        <f ca="1">OFFSET(srt_raw!$A$1,(ROW()-1)*4+COLUMN()-1,0)</f>
        <v>我们可以将任意L表示为B1到B5的叠加，</v>
      </c>
      <c r="D64" t="str">
        <f t="shared" ca="1" si="0"/>
        <v>00:03:28,480</v>
      </c>
      <c r="E64" t="str">
        <f t="shared" ca="1" si="1"/>
        <v>00:03:32,000</v>
      </c>
    </row>
    <row r="65" spans="1:5" x14ac:dyDescent="0.3">
      <c r="A65">
        <f ca="1">OFFSET(srt_raw!$A$1,(ROW()-1)*4+COLUMN()-1,0)</f>
        <v>65</v>
      </c>
      <c r="B65" t="str">
        <f ca="1">OFFSET(srt_raw!$A$1,(ROW()-1)*4+COLUMN()-1,0)</f>
        <v>00:03:32,480 --&gt; 00:03:36,360</v>
      </c>
      <c r="C65" t="str">
        <f ca="1">OFFSET(srt_raw!$A$1,(ROW()-1)*4+COLUMN()-1,0)</f>
        <v>加上翻转后得到完整的矩阵。</v>
      </c>
      <c r="D65" t="str">
        <f t="shared" ca="1" si="0"/>
        <v>00:03:32,480</v>
      </c>
      <c r="E65" t="str">
        <f t="shared" ca="1" si="1"/>
        <v>00:03:36,360</v>
      </c>
    </row>
    <row r="66" spans="1:5" x14ac:dyDescent="0.3">
      <c r="A66">
        <f ca="1">OFFSET(srt_raw!$A$1,(ROW()-1)*4+COLUMN()-1,0)</f>
        <v>66</v>
      </c>
      <c r="B66" t="str">
        <f ca="1">OFFSET(srt_raw!$A$1,(ROW()-1)*4+COLUMN()-1,0)</f>
        <v>00:03:36,360 --&gt; 00:03:40,680</v>
      </c>
      <c r="C66" t="str">
        <f ca="1">OFFSET(srt_raw!$A$1,(ROW()-1)*4+COLUMN()-1,0)</f>
        <v>现在如果我们把序号1到25用坐标X和Y表示，</v>
      </c>
      <c r="D66" t="str">
        <f t="shared" ref="D66:D129" ca="1" si="2">LEFT(B66,12)</f>
        <v>00:03:36,360</v>
      </c>
      <c r="E66" t="str">
        <f t="shared" ref="E66:E129" ca="1" si="3">RIGHT(B66,12)</f>
        <v>00:03:40,680</v>
      </c>
    </row>
    <row r="67" spans="1:5" x14ac:dyDescent="0.3">
      <c r="A67">
        <f ca="1">OFFSET(srt_raw!$A$1,(ROW()-1)*4+COLUMN()-1,0)</f>
        <v>67</v>
      </c>
      <c r="B67" t="str">
        <f ca="1">OFFSET(srt_raw!$A$1,(ROW()-1)*4+COLUMN()-1,0)</f>
        <v>00:03:40,880 --&gt; 00:03:43,360</v>
      </c>
      <c r="C67" t="str">
        <f ca="1">OFFSET(srt_raw!$A$1,(ROW()-1)*4+COLUMN()-1,0)</f>
        <v>则按钮和灯可写为以上公式。</v>
      </c>
      <c r="D67" t="str">
        <f t="shared" ca="1" si="2"/>
        <v>00:03:40,880</v>
      </c>
      <c r="E67" t="str">
        <f t="shared" ca="1" si="3"/>
        <v>00:03:43,360</v>
      </c>
    </row>
    <row r="68" spans="1:5" x14ac:dyDescent="0.3">
      <c r="A68">
        <f ca="1">OFFSET(srt_raw!$A$1,(ROW()-1)*4+COLUMN()-1,0)</f>
        <v>68</v>
      </c>
      <c r="B68" t="str">
        <f ca="1">OFFSET(srt_raw!$A$1,(ROW()-1)*4+COLUMN()-1,0)</f>
        <v>00:03:43,920 --&gt; 00:03:49,360</v>
      </c>
      <c r="C68" t="str">
        <f ca="1">OFFSET(srt_raw!$A$1,(ROW()-1)*4+COLUMN()-1,0)</f>
        <v>让我们以L72等于L222为例，</v>
      </c>
      <c r="D68" t="str">
        <f t="shared" ca="1" si="2"/>
        <v>00:03:43,920</v>
      </c>
      <c r="E68" t="str">
        <f t="shared" ca="1" si="3"/>
        <v>00:03:49,360</v>
      </c>
    </row>
    <row r="69" spans="1:5" x14ac:dyDescent="0.3">
      <c r="A69">
        <f ca="1">OFFSET(srt_raw!$A$1,(ROW()-1)*4+COLUMN()-1,0)</f>
        <v>69</v>
      </c>
      <c r="B69" t="str">
        <f ca="1">OFFSET(srt_raw!$A$1,(ROW()-1)*4+COLUMN()-1,0)</f>
        <v>00:03:49,360 --&gt; 00:03:52,200</v>
      </c>
      <c r="C69" t="str">
        <f ca="1">OFFSET(srt_raw!$A$1,(ROW()-1)*4+COLUMN()-1,0)</f>
        <v>这里我们的矩阵同时满足另一个性质，</v>
      </c>
      <c r="D69" t="str">
        <f t="shared" ca="1" si="2"/>
        <v>00:03:49,360</v>
      </c>
      <c r="E69" t="str">
        <f t="shared" ca="1" si="3"/>
        <v>00:03:52,200</v>
      </c>
    </row>
    <row r="70" spans="1:5" x14ac:dyDescent="0.3">
      <c r="A70">
        <f ca="1">OFFSET(srt_raw!$A$1,(ROW()-1)*4+COLUMN()-1,0)</f>
        <v>70</v>
      </c>
      <c r="B70" t="str">
        <f ca="1">OFFSET(srt_raw!$A$1,(ROW()-1)*4+COLUMN()-1,0)</f>
        <v>00:03:52,400 --&gt; 00:03:56,440</v>
      </c>
      <c r="C70" t="str">
        <f ca="1">OFFSET(srt_raw!$A$1,(ROW()-1)*4+COLUMN()-1,0)</f>
        <v>让我们称之为十字偶校验约束，</v>
      </c>
      <c r="D70" t="str">
        <f t="shared" ca="1" si="2"/>
        <v>00:03:52,400</v>
      </c>
      <c r="E70" t="str">
        <f t="shared" ca="1" si="3"/>
        <v>00:03:56,440</v>
      </c>
    </row>
    <row r="71" spans="1:5" x14ac:dyDescent="0.3">
      <c r="A71">
        <f ca="1">OFFSET(srt_raw!$A$1,(ROW()-1)*4+COLUMN()-1,0)</f>
        <v>71</v>
      </c>
      <c r="B71" t="str">
        <f ca="1">OFFSET(srt_raw!$A$1,(ROW()-1)*4+COLUMN()-1,0)</f>
        <v>00:03:56,440 --&gt; 00:04:01,680</v>
      </c>
      <c r="C71" t="str">
        <f ca="1">OFFSET(srt_raw!$A$1,(ROW()-1)*4+COLUMN()-1,0)</f>
        <v>某个元素的左右两个矩阵的对应位置的元素和元素所在矩阵左右两个</v>
      </c>
      <c r="D71" t="str">
        <f t="shared" ca="1" si="2"/>
        <v>00:03:56,440</v>
      </c>
      <c r="E71" t="str">
        <f t="shared" ca="1" si="3"/>
        <v>00:04:01,680</v>
      </c>
    </row>
    <row r="72" spans="1:5" x14ac:dyDescent="0.3">
      <c r="A72">
        <f ca="1">OFFSET(srt_raw!$A$1,(ROW()-1)*4+COLUMN()-1,0)</f>
        <v>72</v>
      </c>
      <c r="B72" t="str">
        <f ca="1">OFFSET(srt_raw!$A$1,(ROW()-1)*4+COLUMN()-1,0)</f>
        <v>00:04:01,680 --&gt; 00:04:04,600</v>
      </c>
      <c r="C72" t="str">
        <f ca="1">OFFSET(srt_raw!$A$1,(ROW()-1)*4+COLUMN()-1,0)</f>
        <v>元素的叠加后为零，</v>
      </c>
      <c r="D72" t="str">
        <f t="shared" ca="1" si="2"/>
        <v>00:04:01,680</v>
      </c>
      <c r="E72" t="str">
        <f t="shared" ca="1" si="3"/>
        <v>00:04:04,600</v>
      </c>
    </row>
    <row r="73" spans="1:5" x14ac:dyDescent="0.3">
      <c r="A73">
        <f ca="1">OFFSET(srt_raw!$A$1,(ROW()-1)*4+COLUMN()-1,0)</f>
        <v>73</v>
      </c>
      <c r="B73" t="str">
        <f ca="1">OFFSET(srt_raw!$A$1,(ROW()-1)*4+COLUMN()-1,0)</f>
        <v>00:04:04,600 --&gt; 00:04:11,800</v>
      </c>
      <c r="C73" t="str">
        <f ca="1">OFFSET(srt_raw!$A$1,(ROW()-1)*4+COLUMN()-1,0)</f>
        <v>这也就是上集视频中优化生成矩阵章节中的性质之后会给出证明，</v>
      </c>
      <c r="D73" t="str">
        <f t="shared" ca="1" si="2"/>
        <v>00:04:04,600</v>
      </c>
      <c r="E73" t="str">
        <f t="shared" ca="1" si="3"/>
        <v>00:04:11,800</v>
      </c>
    </row>
    <row r="74" spans="1:5" x14ac:dyDescent="0.3">
      <c r="A74">
        <f ca="1">OFFSET(srt_raw!$A$1,(ROW()-1)*4+COLUMN()-1,0)</f>
        <v>74</v>
      </c>
      <c r="B74" t="str">
        <f ca="1">OFFSET(srt_raw!$A$1,(ROW()-1)*4+COLUMN()-1,0)</f>
        <v>00:04:11,800 --&gt; 00:04:12,840</v>
      </c>
      <c r="C74" t="str">
        <f ca="1">OFFSET(srt_raw!$A$1,(ROW()-1)*4+COLUMN()-1,0)</f>
        <v>通过这个性质。</v>
      </c>
      <c r="D74" t="str">
        <f t="shared" ca="1" si="2"/>
        <v>00:04:11,800</v>
      </c>
      <c r="E74" t="str">
        <f t="shared" ca="1" si="3"/>
        <v>00:04:12,840</v>
      </c>
    </row>
    <row r="75" spans="1:5" x14ac:dyDescent="0.3">
      <c r="A75">
        <f ca="1">OFFSET(srt_raw!$A$1,(ROW()-1)*4+COLUMN()-1,0)</f>
        <v>75</v>
      </c>
      <c r="B75" t="str">
        <f ca="1">OFFSET(srt_raw!$A$1,(ROW()-1)*4+COLUMN()-1,0)</f>
        <v>00:04:13,040 --&gt; 00:04:17,160</v>
      </c>
      <c r="C75" t="str">
        <f ca="1">OFFSET(srt_raw!$A$1,(ROW()-1)*4+COLUMN()-1,0)</f>
        <v>递推公式可化为只根据当前矩阵的元素来叠加，</v>
      </c>
      <c r="D75" t="str">
        <f t="shared" ca="1" si="2"/>
        <v>00:04:13,040</v>
      </c>
      <c r="E75" t="str">
        <f t="shared" ca="1" si="3"/>
        <v>00:04:17,160</v>
      </c>
    </row>
    <row r="76" spans="1:5" x14ac:dyDescent="0.3">
      <c r="A76">
        <f ca="1">OFFSET(srt_raw!$A$1,(ROW()-1)*4+COLUMN()-1,0)</f>
        <v>76</v>
      </c>
      <c r="B76" t="str">
        <f ca="1">OFFSET(srt_raw!$A$1,(ROW()-1)*4+COLUMN()-1,0)</f>
        <v>00:04:17,160 --&gt; 00:04:20,480</v>
      </c>
      <c r="C76" t="str">
        <f ca="1">OFFSET(srt_raw!$A$1,(ROW()-1)*4+COLUMN()-1,0)</f>
        <v>无需依赖于左右矩阵，</v>
      </c>
      <c r="D76" t="str">
        <f t="shared" ca="1" si="2"/>
        <v>00:04:17,160</v>
      </c>
      <c r="E76" t="str">
        <f t="shared" ca="1" si="3"/>
        <v>00:04:20,480</v>
      </c>
    </row>
    <row r="77" spans="1:5" x14ac:dyDescent="0.3">
      <c r="A77">
        <f ca="1">OFFSET(srt_raw!$A$1,(ROW()-1)*4+COLUMN()-1,0)</f>
        <v>77</v>
      </c>
      <c r="B77" t="str">
        <f ca="1">OFFSET(srt_raw!$A$1,(ROW()-1)*4+COLUMN()-1,0)</f>
        <v>00:04:20,480 --&gt; 00:04:23,120</v>
      </c>
      <c r="C77" t="str">
        <f ca="1">OFFSET(srt_raw!$A$1,(ROW()-1)*4+COLUMN()-1,0)</f>
        <v>因此我们可以在公式中去除外，</v>
      </c>
      <c r="D77" t="str">
        <f t="shared" ca="1" si="2"/>
        <v>00:04:20,480</v>
      </c>
      <c r="E77" t="str">
        <f t="shared" ca="1" si="3"/>
        <v>00:04:23,120</v>
      </c>
    </row>
    <row r="78" spans="1:5" x14ac:dyDescent="0.3">
      <c r="A78">
        <f ca="1">OFFSET(srt_raw!$A$1,(ROW()-1)*4+COLUMN()-1,0)</f>
        <v>78</v>
      </c>
      <c r="B78" t="str">
        <f ca="1">OFFSET(srt_raw!$A$1,(ROW()-1)*4+COLUMN()-1,0)</f>
        <v>00:04:23,680 --&gt; 00:04:29,800</v>
      </c>
      <c r="C78" t="str">
        <f ca="1">OFFSET(srt_raw!$A$1,(ROW()-1)*4+COLUMN()-1,0)</f>
        <v>于是灯可以表示为当前矩阵的上左中右的按钮的叠加，</v>
      </c>
      <c r="D78" t="str">
        <f t="shared" ca="1" si="2"/>
        <v>00:04:23,680</v>
      </c>
      <c r="E78" t="str">
        <f t="shared" ca="1" si="3"/>
        <v>00:04:29,800</v>
      </c>
    </row>
    <row r="79" spans="1:5" x14ac:dyDescent="0.3">
      <c r="A79">
        <f ca="1">OFFSET(srt_raw!$A$1,(ROW()-1)*4+COLUMN()-1,0)</f>
        <v>79</v>
      </c>
      <c r="B79" t="str">
        <f ca="1">OFFSET(srt_raw!$A$1,(ROW()-1)*4+COLUMN()-1,0)</f>
        <v>00:04:29,800 --&gt; 00:04:33,680</v>
      </c>
      <c r="C79" t="str">
        <f ca="1">OFFSET(srt_raw!$A$1,(ROW()-1)*4+COLUMN()-1,0)</f>
        <v>又因为后一行的按钮是前一行灯的翻转，</v>
      </c>
      <c r="D79" t="str">
        <f t="shared" ca="1" si="2"/>
        <v>00:04:29,800</v>
      </c>
      <c r="E79" t="str">
        <f t="shared" ca="1" si="3"/>
        <v>00:04:33,680</v>
      </c>
    </row>
    <row r="80" spans="1:5" x14ac:dyDescent="0.3">
      <c r="A80">
        <f ca="1">OFFSET(srt_raw!$A$1,(ROW()-1)*4+COLUMN()-1,0)</f>
        <v>80</v>
      </c>
      <c r="B80" t="str">
        <f ca="1">OFFSET(srt_raw!$A$1,(ROW()-1)*4+COLUMN()-1,0)</f>
        <v>00:04:33,680 --&gt; 00:04:38,920</v>
      </c>
      <c r="C80" t="str">
        <f ca="1">OFFSET(srt_raw!$A$1,(ROW()-1)*4+COLUMN()-1,0)</f>
        <v>而后一行的灯是上左中右的灯的翻转的叠加，</v>
      </c>
      <c r="D80" t="str">
        <f t="shared" ca="1" si="2"/>
        <v>00:04:33,680</v>
      </c>
      <c r="E80" t="str">
        <f t="shared" ca="1" si="3"/>
        <v>00:04:38,920</v>
      </c>
    </row>
    <row r="81" spans="1:5" x14ac:dyDescent="0.3">
      <c r="A81">
        <f ca="1">OFFSET(srt_raw!$A$1,(ROW()-1)*4+COLUMN()-1,0)</f>
        <v>81</v>
      </c>
      <c r="B81" t="str">
        <f ca="1">OFFSET(srt_raw!$A$1,(ROW()-1)*4+COLUMN()-1,0)</f>
        <v>00:04:38,920 --&gt; 00:04:40,840</v>
      </c>
      <c r="C81" t="str">
        <f ca="1">OFFSET(srt_raw!$A$1,(ROW()-1)*4+COLUMN()-1,0)</f>
        <v>如果把翻转飞提取出来，</v>
      </c>
      <c r="D81" t="str">
        <f t="shared" ca="1" si="2"/>
        <v>00:04:38,920</v>
      </c>
      <c r="E81" t="str">
        <f t="shared" ca="1" si="3"/>
        <v>00:04:40,840</v>
      </c>
    </row>
    <row r="82" spans="1:5" x14ac:dyDescent="0.3">
      <c r="A82">
        <f ca="1">OFFSET(srt_raw!$A$1,(ROW()-1)*4+COLUMN()-1,0)</f>
        <v>82</v>
      </c>
      <c r="B82" t="str">
        <f ca="1">OFFSET(srt_raw!$A$1,(ROW()-1)*4+COLUMN()-1,0)</f>
        <v>00:04:40,840 --&gt; 00:04:42,720</v>
      </c>
      <c r="C82" t="str">
        <f ca="1">OFFSET(srt_raw!$A$1,(ROW()-1)*4+COLUMN()-1,0)</f>
        <v>便有了一开始的推导公式。</v>
      </c>
      <c r="D82" t="str">
        <f t="shared" ca="1" si="2"/>
        <v>00:04:40,840</v>
      </c>
      <c r="E82" t="str">
        <f t="shared" ca="1" si="3"/>
        <v>00:04:42,720</v>
      </c>
    </row>
    <row r="83" spans="1:5" x14ac:dyDescent="0.3">
      <c r="A83">
        <f ca="1">OFFSET(srt_raw!$A$1,(ROW()-1)*4+COLUMN()-1,0)</f>
        <v>83</v>
      </c>
      <c r="B83" t="str">
        <f ca="1">OFFSET(srt_raw!$A$1,(ROW()-1)*4+COLUMN()-1,0)</f>
        <v>00:04:44,240 --&gt; 00:04:49,840</v>
      </c>
      <c r="C83" t="str">
        <f ca="1">OFFSET(srt_raw!$A$1,(ROW()-1)*4+COLUMN()-1,0)</f>
        <v>也就是按钮是前一行的左中右的按钮和上上行的按钮的叠加，</v>
      </c>
      <c r="D83" t="str">
        <f t="shared" ca="1" si="2"/>
        <v>00:04:44,240</v>
      </c>
      <c r="E83" t="str">
        <f t="shared" ca="1" si="3"/>
        <v>00:04:49,840</v>
      </c>
    </row>
    <row r="84" spans="1:5" x14ac:dyDescent="0.3">
      <c r="A84">
        <f ca="1">OFFSET(srt_raw!$A$1,(ROW()-1)*4+COLUMN()-1,0)</f>
        <v>84</v>
      </c>
      <c r="B84" t="str">
        <f ca="1">OFFSET(srt_raw!$A$1,(ROW()-1)*4+COLUMN()-1,0)</f>
        <v>00:04:49,840 --&gt; 00:04:54,400</v>
      </c>
      <c r="C84" t="str">
        <f ca="1">OFFSET(srt_raw!$A$1,(ROW()-1)*4+COLUMN()-1,0)</f>
        <v>以及灯是前一行的左中右的按钮和上上行的灯的叠加，</v>
      </c>
      <c r="D84" t="str">
        <f t="shared" ca="1" si="2"/>
        <v>00:04:49,840</v>
      </c>
      <c r="E84" t="str">
        <f t="shared" ca="1" si="3"/>
        <v>00:04:54,400</v>
      </c>
    </row>
    <row r="85" spans="1:5" x14ac:dyDescent="0.3">
      <c r="A85">
        <f ca="1">OFFSET(srt_raw!$A$1,(ROW()-1)*4+COLUMN()-1,0)</f>
        <v>85</v>
      </c>
      <c r="B85" t="str">
        <f ca="1">OFFSET(srt_raw!$A$1,(ROW()-1)*4+COLUMN()-1,0)</f>
        <v>00:04:55,840 --&gt; 00:04:59,920</v>
      </c>
      <c r="C85" t="str">
        <f ca="1">OFFSET(srt_raw!$A$1,(ROW()-1)*4+COLUMN()-1,0)</f>
        <v>可以注意到按钮和灯的递推公式具有相同的形式，</v>
      </c>
      <c r="D85" t="str">
        <f t="shared" ca="1" si="2"/>
        <v>00:04:55,840</v>
      </c>
      <c r="E85" t="str">
        <f t="shared" ca="1" si="3"/>
        <v>00:04:59,920</v>
      </c>
    </row>
    <row r="86" spans="1:5" x14ac:dyDescent="0.3">
      <c r="A86">
        <f ca="1">OFFSET(srt_raw!$A$1,(ROW()-1)*4+COLUMN()-1,0)</f>
        <v>86</v>
      </c>
      <c r="B86" t="str">
        <f ca="1">OFFSET(srt_raw!$A$1,(ROW()-1)*4+COLUMN()-1,0)</f>
        <v>00:04:59,920 --&gt; 00:05:02,760</v>
      </c>
      <c r="C86" t="str">
        <f ca="1">OFFSET(srt_raw!$A$1,(ROW()-1)*4+COLUMN()-1,0)</f>
        <v>这是因为前一行灯就是后一行按钮，</v>
      </c>
      <c r="D86" t="str">
        <f t="shared" ca="1" si="2"/>
        <v>00:04:59,920</v>
      </c>
      <c r="E86" t="str">
        <f t="shared" ca="1" si="3"/>
        <v>00:05:02,760</v>
      </c>
    </row>
    <row r="87" spans="1:5" x14ac:dyDescent="0.3">
      <c r="A87">
        <f ca="1">OFFSET(srt_raw!$A$1,(ROW()-1)*4+COLUMN()-1,0)</f>
        <v>87</v>
      </c>
      <c r="B87" t="str">
        <f ca="1">OFFSET(srt_raw!$A$1,(ROW()-1)*4+COLUMN()-1,0)</f>
        <v>00:05:04,240 --&gt; 00:05:06,040</v>
      </c>
      <c r="C87" t="str">
        <f ca="1">OFFSET(srt_raw!$A$1,(ROW()-1)*4+COLUMN()-1,0)</f>
        <v>因为最终需要推倒的是灯，</v>
      </c>
      <c r="D87" t="str">
        <f t="shared" ca="1" si="2"/>
        <v>00:05:04,240</v>
      </c>
      <c r="E87" t="str">
        <f t="shared" ca="1" si="3"/>
        <v>00:05:06,040</v>
      </c>
    </row>
    <row r="88" spans="1:5" x14ac:dyDescent="0.3">
      <c r="A88">
        <f ca="1">OFFSET(srt_raw!$A$1,(ROW()-1)*4+COLUMN()-1,0)</f>
        <v>88</v>
      </c>
      <c r="B88" t="str">
        <f ca="1">OFFSET(srt_raw!$A$1,(ROW()-1)*4+COLUMN()-1,0)</f>
        <v>00:05:06,160 --&gt; 00:05:09,280</v>
      </c>
      <c r="C88" t="str">
        <f ca="1">OFFSET(srt_raw!$A$1,(ROW()-1)*4+COLUMN()-1,0)</f>
        <v>因此灯是从按钮的第一行推到五行，</v>
      </c>
      <c r="D88" t="str">
        <f t="shared" ca="1" si="2"/>
        <v>00:05:06,160</v>
      </c>
      <c r="E88" t="str">
        <f t="shared" ca="1" si="3"/>
        <v>00:05:09,280</v>
      </c>
    </row>
    <row r="89" spans="1:5" x14ac:dyDescent="0.3">
      <c r="A89">
        <f ca="1">OFFSET(srt_raw!$A$1,(ROW()-1)*4+COLUMN()-1,0)</f>
        <v>89</v>
      </c>
      <c r="B89" t="str">
        <f ca="1">OFFSET(srt_raw!$A$1,(ROW()-1)*4+COLUMN()-1,0)</f>
        <v>00:05:09,840 --&gt; 00:05:11,600</v>
      </c>
      <c r="C89" t="str">
        <f ca="1">OFFSET(srt_raw!$A$1,(ROW()-1)*4+COLUMN()-1,0)</f>
        <v>因为最后一次推倒的是灯。</v>
      </c>
      <c r="D89" t="str">
        <f t="shared" ca="1" si="2"/>
        <v>00:05:09,840</v>
      </c>
      <c r="E89" t="str">
        <f t="shared" ca="1" si="3"/>
        <v>00:05:11,600</v>
      </c>
    </row>
    <row r="90" spans="1:5" x14ac:dyDescent="0.3">
      <c r="A90">
        <f ca="1">OFFSET(srt_raw!$A$1,(ROW()-1)*4+COLUMN()-1,0)</f>
        <v>90</v>
      </c>
      <c r="B90" t="str">
        <f ca="1">OFFSET(srt_raw!$A$1,(ROW()-1)*4+COLUMN()-1,0)</f>
        <v>00:05:11,760 --&gt; 00:05:13,600</v>
      </c>
      <c r="C90" t="str">
        <f ca="1">OFFSET(srt_raw!$A$1,(ROW()-1)*4+COLUMN()-1,0)</f>
        <v>因此按钮也是5行，</v>
      </c>
      <c r="D90" t="str">
        <f t="shared" ca="1" si="2"/>
        <v>00:05:11,760</v>
      </c>
      <c r="E90" t="str">
        <f t="shared" ca="1" si="3"/>
        <v>00:05:13,600</v>
      </c>
    </row>
    <row r="91" spans="1:5" x14ac:dyDescent="0.3">
      <c r="A91">
        <f ca="1">OFFSET(srt_raw!$A$1,(ROW()-1)*4+COLUMN()-1,0)</f>
        <v>91</v>
      </c>
      <c r="B91" t="str">
        <f ca="1">OFFSET(srt_raw!$A$1,(ROW()-1)*4+COLUMN()-1,0)</f>
        <v>00:05:15,200 --&gt; 00:05:17,840</v>
      </c>
      <c r="C91" t="str">
        <f ca="1">OFFSET(srt_raw!$A$1,(ROW()-1)*4+COLUMN()-1,0)</f>
        <v>对于翻转的情况则可以单独列出来，</v>
      </c>
      <c r="D91" t="str">
        <f t="shared" ca="1" si="2"/>
        <v>00:05:15,200</v>
      </c>
      <c r="E91" t="str">
        <f t="shared" ca="1" si="3"/>
        <v>00:05:17,840</v>
      </c>
    </row>
    <row r="92" spans="1:5" x14ac:dyDescent="0.3">
      <c r="A92">
        <f ca="1">OFFSET(srt_raw!$A$1,(ROW()-1)*4+COLUMN()-1,0)</f>
        <v>92</v>
      </c>
      <c r="B92" t="str">
        <f ca="1">OFFSET(srt_raw!$A$1,(ROW()-1)*4+COLUMN()-1,0)</f>
        <v>00:05:17,840 --&gt; 00:05:19,360</v>
      </c>
      <c r="C92" t="str">
        <f ca="1">OFFSET(srt_raw!$A$1,(ROW()-1)*4+COLUMN()-1,0)</f>
        <v>以类似的方法推导，</v>
      </c>
      <c r="D92" t="str">
        <f t="shared" ca="1" si="2"/>
        <v>00:05:17,840</v>
      </c>
      <c r="E92" t="str">
        <f t="shared" ca="1" si="3"/>
        <v>00:05:19,360</v>
      </c>
    </row>
    <row r="93" spans="1:5" x14ac:dyDescent="0.3">
      <c r="A93">
        <f ca="1">OFFSET(srt_raw!$A$1,(ROW()-1)*4+COLUMN()-1,0)</f>
        <v>93</v>
      </c>
      <c r="B93" t="str">
        <f ca="1">OFFSET(srt_raw!$A$1,(ROW()-1)*4+COLUMN()-1,0)</f>
        <v>00:05:19,360 --&gt; 00:05:20,560</v>
      </c>
      <c r="C93" t="str">
        <f ca="1">OFFSET(srt_raw!$A$1,(ROW()-1)*4+COLUMN()-1,0)</f>
        <v>写成公式Y，</v>
      </c>
      <c r="D93" t="str">
        <f t="shared" ca="1" si="2"/>
        <v>00:05:19,360</v>
      </c>
      <c r="E93" t="str">
        <f t="shared" ca="1" si="3"/>
        <v>00:05:20,560</v>
      </c>
    </row>
    <row r="94" spans="1:5" x14ac:dyDescent="0.3">
      <c r="A94">
        <f ca="1">OFFSET(srt_raw!$A$1,(ROW()-1)*4+COLUMN()-1,0)</f>
        <v>94</v>
      </c>
      <c r="B94" t="str">
        <f ca="1">OFFSET(srt_raw!$A$1,(ROW()-1)*4+COLUMN()-1,0)</f>
        <v>00:05:22,080 --&gt; 00:05:28,560</v>
      </c>
      <c r="C94" t="str">
        <f ca="1">OFFSET(srt_raw!$A$1,(ROW()-1)*4+COLUMN()-1,0)</f>
        <v>即后一行的翻转是前一行左中右和上上行叠加后的翻转，</v>
      </c>
      <c r="D94" t="str">
        <f t="shared" ca="1" si="2"/>
        <v>00:05:22,080</v>
      </c>
      <c r="E94" t="str">
        <f t="shared" ca="1" si="3"/>
        <v>00:05:28,560</v>
      </c>
    </row>
    <row r="95" spans="1:5" x14ac:dyDescent="0.3">
      <c r="A95">
        <f ca="1">OFFSET(srt_raw!$A$1,(ROW()-1)*4+COLUMN()-1,0)</f>
        <v>95</v>
      </c>
      <c r="B95" t="str">
        <f ca="1">OFFSET(srt_raw!$A$1,(ROW()-1)*4+COLUMN()-1,0)</f>
        <v>00:05:28,560 --&gt; 00:05:33,680</v>
      </c>
      <c r="C95" t="str">
        <f ca="1">OFFSET(srt_raw!$A$1,(ROW()-1)*4+COLUMN()-1,0)</f>
        <v>可以注意到这里的公式Y和公式B的推导公式是类似的，</v>
      </c>
      <c r="D95" t="str">
        <f t="shared" ca="1" si="2"/>
        <v>00:05:28,560</v>
      </c>
      <c r="E95" t="str">
        <f t="shared" ca="1" si="3"/>
        <v>00:05:33,680</v>
      </c>
    </row>
    <row r="96" spans="1:5" x14ac:dyDescent="0.3">
      <c r="A96">
        <f ca="1">OFFSET(srt_raw!$A$1,(ROW()-1)*4+COLUMN()-1,0)</f>
        <v>96</v>
      </c>
      <c r="B96" t="str">
        <f ca="1">OFFSET(srt_raw!$A$1,(ROW()-1)*4+COLUMN()-1,0)</f>
        <v>00:05:33,680 --&gt; 00:05:36,560</v>
      </c>
      <c r="C96" t="str">
        <f ca="1">OFFSET(srt_raw!$A$1,(ROW()-1)*4+COLUMN()-1,0)</f>
        <v>只不过Y是从零向量开始推导的，</v>
      </c>
      <c r="D96" t="str">
        <f t="shared" ca="1" si="2"/>
        <v>00:05:33,680</v>
      </c>
      <c r="E96" t="str">
        <f t="shared" ca="1" si="3"/>
        <v>00:05:36,560</v>
      </c>
    </row>
    <row r="97" spans="1:5" x14ac:dyDescent="0.3">
      <c r="A97">
        <f ca="1">OFFSET(srt_raw!$A$1,(ROW()-1)*4+COLUMN()-1,0)</f>
        <v>97</v>
      </c>
      <c r="B97" t="str">
        <f ca="1">OFFSET(srt_raw!$A$1,(ROW()-1)*4+COLUMN()-1,0)</f>
        <v>00:05:36,560 --&gt; 00:05:38,720</v>
      </c>
      <c r="C97" t="str">
        <f ca="1">OFFSET(srt_raw!$A$1,(ROW()-1)*4+COLUMN()-1,0)</f>
        <v>并且不能省略翻转符号非。</v>
      </c>
      <c r="D97" t="str">
        <f t="shared" ca="1" si="2"/>
        <v>00:05:36,560</v>
      </c>
      <c r="E97" t="str">
        <f t="shared" ca="1" si="3"/>
        <v>00:05:38,720</v>
      </c>
    </row>
    <row r="98" spans="1:5" x14ac:dyDescent="0.3">
      <c r="A98">
        <f ca="1">OFFSET(srt_raw!$A$1,(ROW()-1)*4+COLUMN()-1,0)</f>
        <v>98</v>
      </c>
      <c r="B98" t="str">
        <f ca="1">OFFSET(srt_raw!$A$1,(ROW()-1)*4+COLUMN()-1,0)</f>
        <v>00:05:40,480 --&gt; 00:05:41,840</v>
      </c>
      <c r="C98" t="str">
        <f ca="1">OFFSET(srt_raw!$A$1,(ROW()-1)*4+COLUMN()-1,0)</f>
        <v>一使用零向量，</v>
      </c>
      <c r="D98" t="str">
        <f t="shared" ca="1" si="2"/>
        <v>00:05:40,480</v>
      </c>
      <c r="E98" t="str">
        <f t="shared" ca="1" si="3"/>
        <v>00:05:41,840</v>
      </c>
    </row>
    <row r="99" spans="1:5" x14ac:dyDescent="0.3">
      <c r="A99">
        <f ca="1">OFFSET(srt_raw!$A$1,(ROW()-1)*4+COLUMN()-1,0)</f>
        <v>99</v>
      </c>
      <c r="B99" t="str">
        <f ca="1">OFFSET(srt_raw!$A$1,(ROW()-1)*4+COLUMN()-1,0)</f>
        <v>00:05:42,400 --&gt; 00:05:45,720</v>
      </c>
      <c r="C99" t="str">
        <f ca="1">OFFSET(srt_raw!$A$1,(ROW()-1)*4+COLUMN()-1,0)</f>
        <v>第一次翻转发生在从一到二行的推导过程中，</v>
      </c>
      <c r="D99" t="str">
        <f t="shared" ca="1" si="2"/>
        <v>00:05:42,400</v>
      </c>
      <c r="E99" t="str">
        <f t="shared" ca="1" si="3"/>
        <v>00:05:45,720</v>
      </c>
    </row>
    <row r="100" spans="1:5" x14ac:dyDescent="0.3">
      <c r="A100">
        <f ca="1">OFFSET(srt_raw!$A$1,(ROW()-1)*4+COLUMN()-1,0)</f>
        <v>100</v>
      </c>
      <c r="B100" t="str">
        <f ca="1">OFFSET(srt_raw!$A$1,(ROW()-1)*4+COLUMN()-1,0)</f>
        <v>00:05:45,720 --&gt; 00:05:47,920</v>
      </c>
      <c r="C100" t="str">
        <f ca="1">OFFSET(srt_raw!$A$1,(ROW()-1)*4+COLUMN()-1,0)</f>
        <v>在此之前没有发生过翻转，</v>
      </c>
      <c r="D100" t="str">
        <f t="shared" ca="1" si="2"/>
        <v>00:05:45,720</v>
      </c>
      <c r="E100" t="str">
        <f t="shared" ca="1" si="3"/>
        <v>00:05:47,920</v>
      </c>
    </row>
    <row r="101" spans="1:5" x14ac:dyDescent="0.3">
      <c r="A101">
        <f ca="1">OFFSET(srt_raw!$A$1,(ROW()-1)*4+COLUMN()-1,0)</f>
        <v>101</v>
      </c>
      <c r="B101" t="str">
        <f ca="1">OFFSET(srt_raw!$A$1,(ROW()-1)*4+COLUMN()-1,0)</f>
        <v>00:05:48,080 --&gt; 00:05:52,240</v>
      </c>
      <c r="C101" t="str">
        <f ca="1">OFFSET(srt_raw!$A$1,(ROW()-1)*4+COLUMN()-1,0)</f>
        <v>因此Y的第一行是全零，</v>
      </c>
      <c r="D101" t="str">
        <f t="shared" ca="1" si="2"/>
        <v>00:05:48,080</v>
      </c>
      <c r="E101" t="str">
        <f t="shared" ca="1" si="3"/>
        <v>00:05:52,240</v>
      </c>
    </row>
    <row r="102" spans="1:5" x14ac:dyDescent="0.3">
      <c r="A102">
        <f ca="1">OFFSET(srt_raw!$A$1,(ROW()-1)*4+COLUMN()-1,0)</f>
        <v>102</v>
      </c>
      <c r="B102" t="str">
        <f ca="1">OFFSET(srt_raw!$A$1,(ROW()-1)*4+COLUMN()-1,0)</f>
        <v>00:05:52,240 --&gt; 00:05:55,040</v>
      </c>
      <c r="C102" t="str">
        <f ca="1">OFFSET(srt_raw!$A$1,(ROW()-1)*4+COLUMN()-1,0)</f>
        <v>二翻转符号非必须存在，</v>
      </c>
      <c r="D102" t="str">
        <f t="shared" ca="1" si="2"/>
        <v>00:05:52,240</v>
      </c>
      <c r="E102" t="str">
        <f t="shared" ca="1" si="3"/>
        <v>00:05:55,040</v>
      </c>
    </row>
    <row r="103" spans="1:5" x14ac:dyDescent="0.3">
      <c r="A103">
        <f ca="1">OFFSET(srt_raw!$A$1,(ROW()-1)*4+COLUMN()-1,0)</f>
        <v>103</v>
      </c>
      <c r="B103" t="str">
        <f ca="1">OFFSET(srt_raw!$A$1,(ROW()-1)*4+COLUMN()-1,0)</f>
        <v>00:05:55,040 --&gt; 00:05:56,720</v>
      </c>
      <c r="C103" t="str">
        <f ca="1">OFFSET(srt_raw!$A$1,(ROW()-1)*4+COLUMN()-1,0)</f>
        <v>每次推导都需要翻转，</v>
      </c>
      <c r="D103" t="str">
        <f t="shared" ca="1" si="2"/>
        <v>00:05:55,040</v>
      </c>
      <c r="E103" t="str">
        <f t="shared" ca="1" si="3"/>
        <v>00:05:56,720</v>
      </c>
    </row>
    <row r="104" spans="1:5" x14ac:dyDescent="0.3">
      <c r="A104">
        <f ca="1">OFFSET(srt_raw!$A$1,(ROW()-1)*4+COLUMN()-1,0)</f>
        <v>104</v>
      </c>
      <c r="B104" t="str">
        <f ca="1">OFFSET(srt_raw!$A$1,(ROW()-1)*4+COLUMN()-1,0)</f>
        <v>00:05:56,720 --&gt; 00:05:58,560</v>
      </c>
      <c r="C104" t="str">
        <f ca="1">OFFSET(srt_raw!$A$1,(ROW()-1)*4+COLUMN()-1,0)</f>
        <v>因此不可省略，</v>
      </c>
      <c r="D104" t="str">
        <f t="shared" ca="1" si="2"/>
        <v>00:05:56,720</v>
      </c>
      <c r="E104" t="str">
        <f t="shared" ca="1" si="3"/>
        <v>00:05:58,560</v>
      </c>
    </row>
    <row r="105" spans="1:5" x14ac:dyDescent="0.3">
      <c r="A105">
        <f ca="1">OFFSET(srt_raw!$A$1,(ROW()-1)*4+COLUMN()-1,0)</f>
        <v>105</v>
      </c>
      <c r="B105" t="str">
        <f ca="1">OFFSET(srt_raw!$A$1,(ROW()-1)*4+COLUMN()-1,0)</f>
        <v>00:05:58,560 --&gt; 00:06:00,840</v>
      </c>
      <c r="C105" t="str">
        <f ca="1">OFFSET(srt_raw!$A$1,(ROW()-1)*4+COLUMN()-1,0)</f>
        <v>而前者将这个翻转取出来了，</v>
      </c>
      <c r="D105" t="str">
        <f t="shared" ca="1" si="2"/>
        <v>00:05:58,560</v>
      </c>
      <c r="E105" t="str">
        <f t="shared" ca="1" si="3"/>
        <v>00:06:00,840</v>
      </c>
    </row>
    <row r="106" spans="1:5" x14ac:dyDescent="0.3">
      <c r="A106">
        <f ca="1">OFFSET(srt_raw!$A$1,(ROW()-1)*4+COLUMN()-1,0)</f>
        <v>106</v>
      </c>
      <c r="B106" t="str">
        <f ca="1">OFFSET(srt_raw!$A$1,(ROW()-1)*4+COLUMN()-1,0)</f>
        <v>00:06:00,840 --&gt; 00:06:02,680</v>
      </c>
      <c r="C106" t="str">
        <f ca="1">OFFSET(srt_raw!$A$1,(ROW()-1)*4+COLUMN()-1,0)</f>
        <v>因此不用翻转符号飞，</v>
      </c>
      <c r="D106" t="str">
        <f t="shared" ca="1" si="2"/>
        <v>00:06:00,840</v>
      </c>
      <c r="E106" t="str">
        <f t="shared" ca="1" si="3"/>
        <v>00:06:02,680</v>
      </c>
    </row>
    <row r="107" spans="1:5" x14ac:dyDescent="0.3">
      <c r="A107">
        <f ca="1">OFFSET(srt_raw!$A$1,(ROW()-1)*4+COLUMN()-1,0)</f>
        <v>107</v>
      </c>
      <c r="B107" t="str">
        <f ca="1">OFFSET(srt_raw!$A$1,(ROW()-1)*4+COLUMN()-1,0)</f>
        <v>00:06:04,480 --&gt; 00:06:06,720</v>
      </c>
      <c r="C107" t="str">
        <f ca="1">OFFSET(srt_raw!$A$1,(ROW()-1)*4+COLUMN()-1,0)</f>
        <v>三不使用X而使用Y。</v>
      </c>
      <c r="D107" t="str">
        <f t="shared" ca="1" si="2"/>
        <v>00:06:04,480</v>
      </c>
      <c r="E107" t="str">
        <f t="shared" ca="1" si="3"/>
        <v>00:06:06,720</v>
      </c>
    </row>
    <row r="108" spans="1:5" x14ac:dyDescent="0.3">
      <c r="A108">
        <f ca="1">OFFSET(srt_raw!$A$1,(ROW()-1)*4+COLUMN()-1,0)</f>
        <v>108</v>
      </c>
      <c r="B108" t="str">
        <f ca="1">OFFSET(srt_raw!$A$1,(ROW()-1)*4+COLUMN()-1,0)</f>
        <v>00:06:07,440 --&gt; 00:06:10,920</v>
      </c>
      <c r="C108" t="str">
        <f ca="1">OFFSET(srt_raw!$A$1,(ROW()-1)*4+COLUMN()-1,0)</f>
        <v>翻转是前面所有按钮的翻转叠加后提取出来的，</v>
      </c>
      <c r="D108" t="str">
        <f t="shared" ca="1" si="2"/>
        <v>00:06:07,440</v>
      </c>
      <c r="E108" t="str">
        <f t="shared" ca="1" si="3"/>
        <v>00:06:10,920</v>
      </c>
    </row>
    <row r="109" spans="1:5" x14ac:dyDescent="0.3">
      <c r="A109">
        <f ca="1">OFFSET(srt_raw!$A$1,(ROW()-1)*4+COLUMN()-1,0)</f>
        <v>109</v>
      </c>
      <c r="B109" t="str">
        <f ca="1">OFFSET(srt_raw!$A$1,(ROW()-1)*4+COLUMN()-1,0)</f>
        <v>00:06:10,920 --&gt; 00:06:12,680</v>
      </c>
      <c r="C109" t="str">
        <f ca="1">OFFSET(srt_raw!$A$1,(ROW()-1)*4+COLUMN()-1,0)</f>
        <v>代表的是灯的翻转，</v>
      </c>
      <c r="D109" t="str">
        <f t="shared" ca="1" si="2"/>
        <v>00:06:10,920</v>
      </c>
      <c r="E109" t="str">
        <f t="shared" ca="1" si="3"/>
        <v>00:06:12,680</v>
      </c>
    </row>
    <row r="110" spans="1:5" x14ac:dyDescent="0.3">
      <c r="A110">
        <f ca="1">OFFSET(srt_raw!$A$1,(ROW()-1)*4+COLUMN()-1,0)</f>
        <v>110</v>
      </c>
      <c r="B110" t="str">
        <f ca="1">OFFSET(srt_raw!$A$1,(ROW()-1)*4+COLUMN()-1,0)</f>
        <v>00:06:12,880 --&gt; 00:06:16,040</v>
      </c>
      <c r="C110" t="str">
        <f ca="1">OFFSET(srt_raw!$A$1,(ROW()-1)*4+COLUMN()-1,0)</f>
        <v>而不是某个按钮的翻转。</v>
      </c>
      <c r="D110" t="str">
        <f t="shared" ca="1" si="2"/>
        <v>00:06:12,880</v>
      </c>
      <c r="E110" t="str">
        <f t="shared" ca="1" si="3"/>
        <v>00:06:16,040</v>
      </c>
    </row>
    <row r="111" spans="1:5" x14ac:dyDescent="0.3">
      <c r="A111">
        <f ca="1">OFFSET(srt_raw!$A$1,(ROW()-1)*4+COLUMN()-1,0)</f>
        <v>111</v>
      </c>
      <c r="B111" t="str">
        <f ca="1">OFFSET(srt_raw!$A$1,(ROW()-1)*4+COLUMN()-1,0)</f>
        <v>00:06:16,040 --&gt; 00:06:16,760</v>
      </c>
      <c r="C111" t="str">
        <f ca="1">OFFSET(srt_raw!$A$1,(ROW()-1)*4+COLUMN()-1,0)</f>
        <v>事实上，</v>
      </c>
      <c r="D111" t="str">
        <f t="shared" ca="1" si="2"/>
        <v>00:06:16,040</v>
      </c>
      <c r="E111" t="str">
        <f t="shared" ca="1" si="3"/>
        <v>00:06:16,760</v>
      </c>
    </row>
    <row r="112" spans="1:5" x14ac:dyDescent="0.3">
      <c r="A112">
        <f ca="1">OFFSET(srt_raw!$A$1,(ROW()-1)*4+COLUMN()-1,0)</f>
        <v>112</v>
      </c>
      <c r="B112" t="str">
        <f ca="1">OFFSET(srt_raw!$A$1,(ROW()-1)*4+COLUMN()-1,0)</f>
        <v>00:06:16,760 --&gt; 00:06:20,200</v>
      </c>
      <c r="C112" t="str">
        <f ca="1">OFFSET(srt_raw!$A$1,(ROW()-1)*4+COLUMN()-1,0)</f>
        <v>按钮矩阵也可以用另一种更直观的方法推得。</v>
      </c>
      <c r="D112" t="str">
        <f t="shared" ca="1" si="2"/>
        <v>00:06:16,760</v>
      </c>
      <c r="E112" t="str">
        <f t="shared" ca="1" si="3"/>
        <v>00:06:20,200</v>
      </c>
    </row>
    <row r="113" spans="1:5" x14ac:dyDescent="0.3">
      <c r="A113">
        <f ca="1">OFFSET(srt_raw!$A$1,(ROW()-1)*4+COLUMN()-1,0)</f>
        <v>113</v>
      </c>
      <c r="B113" t="str">
        <f ca="1">OFFSET(srt_raw!$A$1,(ROW()-1)*4+COLUMN()-1,0)</f>
        <v>00:06:21,840 --&gt; 00:06:22,440</v>
      </c>
      <c r="C113" t="str">
        <f ca="1">OFFSET(srt_raw!$A$1,(ROW()-1)*4+COLUMN()-1,0)</f>
        <v>首先，</v>
      </c>
      <c r="D113" t="str">
        <f t="shared" ca="1" si="2"/>
        <v>00:06:21,840</v>
      </c>
      <c r="E113" t="str">
        <f t="shared" ca="1" si="3"/>
        <v>00:06:22,440</v>
      </c>
    </row>
    <row r="114" spans="1:5" x14ac:dyDescent="0.3">
      <c r="A114">
        <f ca="1">OFFSET(srt_raw!$A$1,(ROW()-1)*4+COLUMN()-1,0)</f>
        <v>114</v>
      </c>
      <c r="B114" t="str">
        <f ca="1">OFFSET(srt_raw!$A$1,(ROW()-1)*4+COLUMN()-1,0)</f>
        <v>00:06:22,440 --&gt; 00:06:23,800</v>
      </c>
      <c r="C114" t="str">
        <f ca="1">OFFSET(srt_raw!$A$1,(ROW()-1)*4+COLUMN()-1,0)</f>
        <v>在第一个矩阵中，</v>
      </c>
      <c r="D114" t="str">
        <f t="shared" ca="1" si="2"/>
        <v>00:06:22,440</v>
      </c>
      <c r="E114" t="str">
        <f t="shared" ca="1" si="3"/>
        <v>00:06:23,800</v>
      </c>
    </row>
    <row r="115" spans="1:5" x14ac:dyDescent="0.3">
      <c r="A115">
        <f ca="1">OFFSET(srt_raw!$A$1,(ROW()-1)*4+COLUMN()-1,0)</f>
        <v>115</v>
      </c>
      <c r="B115" t="str">
        <f ca="1">OFFSET(srt_raw!$A$1,(ROW()-1)*4+COLUMN()-1,0)</f>
        <v>00:06:23,800 --&gt; 00:06:26,440</v>
      </c>
      <c r="C115" t="str">
        <f ca="1">OFFSET(srt_raw!$A$1,(ROW()-1)*4+COLUMN()-1,0)</f>
        <v>我们点击第一行第一个按钮，</v>
      </c>
      <c r="D115" t="str">
        <f t="shared" ca="1" si="2"/>
        <v>00:06:23,800</v>
      </c>
      <c r="E115" t="str">
        <f t="shared" ca="1" si="3"/>
        <v>00:06:26,440</v>
      </c>
    </row>
    <row r="116" spans="1:5" x14ac:dyDescent="0.3">
      <c r="A116">
        <f ca="1">OFFSET(srt_raw!$A$1,(ROW()-1)*4+COLUMN()-1,0)</f>
        <v>116</v>
      </c>
      <c r="B116" t="str">
        <f ca="1">OFFSET(srt_raw!$A$1,(ROW()-1)*4+COLUMN()-1,0)</f>
        <v>00:06:26,440 --&gt; 00:06:28,520</v>
      </c>
      <c r="C116" t="str">
        <f ca="1">OFFSET(srt_raw!$A$1,(ROW()-1)*4+COLUMN()-1,0)</f>
        <v>然后点击第二行的按钮，</v>
      </c>
      <c r="D116" t="str">
        <f t="shared" ca="1" si="2"/>
        <v>00:06:26,440</v>
      </c>
      <c r="E116" t="str">
        <f t="shared" ca="1" si="3"/>
        <v>00:06:28,520</v>
      </c>
    </row>
    <row r="117" spans="1:5" x14ac:dyDescent="0.3">
      <c r="A117">
        <f ca="1">OFFSET(srt_raw!$A$1,(ROW()-1)*4+COLUMN()-1,0)</f>
        <v>117</v>
      </c>
      <c r="B117" t="str">
        <f ca="1">OFFSET(srt_raw!$A$1,(ROW()-1)*4+COLUMN()-1,0)</f>
        <v>00:06:28,520 --&gt; 00:06:31,680</v>
      </c>
      <c r="C117" t="str">
        <f ca="1">OFFSET(srt_raw!$A$1,(ROW()-1)*4+COLUMN()-1,0)</f>
        <v>尽量消去第一行的灯。</v>
      </c>
      <c r="D117" t="str">
        <f t="shared" ca="1" si="2"/>
        <v>00:06:28,520</v>
      </c>
      <c r="E117" t="str">
        <f t="shared" ca="1" si="3"/>
        <v>00:06:31,680</v>
      </c>
    </row>
    <row r="118" spans="1:5" x14ac:dyDescent="0.3">
      <c r="A118">
        <f ca="1">OFFSET(srt_raw!$A$1,(ROW()-1)*4+COLUMN()-1,0)</f>
        <v>118</v>
      </c>
      <c r="B118" t="str">
        <f ca="1">OFFSET(srt_raw!$A$1,(ROW()-1)*4+COLUMN()-1,0)</f>
        <v>00:06:31,680 --&gt; 00:06:33,200</v>
      </c>
      <c r="C118" t="str">
        <f ca="1">OFFSET(srt_raw!$A$1,(ROW()-1)*4+COLUMN()-1,0)</f>
        <v>接着按第三行按钮，</v>
      </c>
      <c r="D118" t="str">
        <f t="shared" ca="1" si="2"/>
        <v>00:06:31,680</v>
      </c>
      <c r="E118" t="str">
        <f t="shared" ca="1" si="3"/>
        <v>00:06:33,200</v>
      </c>
    </row>
    <row r="119" spans="1:5" x14ac:dyDescent="0.3">
      <c r="A119">
        <f ca="1">OFFSET(srt_raw!$A$1,(ROW()-1)*4+COLUMN()-1,0)</f>
        <v>119</v>
      </c>
      <c r="B119" t="str">
        <f ca="1">OFFSET(srt_raw!$A$1,(ROW()-1)*4+COLUMN()-1,0)</f>
        <v>00:06:33,200 --&gt; 00:06:35,040</v>
      </c>
      <c r="C119" t="str">
        <f ca="1">OFFSET(srt_raw!$A$1,(ROW()-1)*4+COLUMN()-1,0)</f>
        <v>消去第二行的灯，</v>
      </c>
      <c r="D119" t="str">
        <f t="shared" ca="1" si="2"/>
        <v>00:06:33,200</v>
      </c>
      <c r="E119" t="str">
        <f t="shared" ca="1" si="3"/>
        <v>00:06:35,040</v>
      </c>
    </row>
    <row r="120" spans="1:5" x14ac:dyDescent="0.3">
      <c r="A120">
        <f ca="1">OFFSET(srt_raw!$A$1,(ROW()-1)*4+COLUMN()-1,0)</f>
        <v>120</v>
      </c>
      <c r="B120" t="str">
        <f ca="1">OFFSET(srt_raw!$A$1,(ROW()-1)*4+COLUMN()-1,0)</f>
        <v>00:06:35,040 --&gt; 00:06:35,920</v>
      </c>
      <c r="C120" t="str">
        <f ca="1">OFFSET(srt_raw!$A$1,(ROW()-1)*4+COLUMN()-1,0)</f>
        <v>不断递推，</v>
      </c>
      <c r="D120" t="str">
        <f t="shared" ca="1" si="2"/>
        <v>00:06:35,040</v>
      </c>
      <c r="E120" t="str">
        <f t="shared" ca="1" si="3"/>
        <v>00:06:35,920</v>
      </c>
    </row>
    <row r="121" spans="1:5" x14ac:dyDescent="0.3">
      <c r="A121">
        <f ca="1">OFFSET(srt_raw!$A$1,(ROW()-1)*4+COLUMN()-1,0)</f>
        <v>121</v>
      </c>
      <c r="B121" t="str">
        <f ca="1">OFFSET(srt_raw!$A$1,(ROW()-1)*4+COLUMN()-1,0)</f>
        <v>00:06:35,920 --&gt; 00:06:37,200</v>
      </c>
      <c r="C121" t="str">
        <f ca="1">OFFSET(srt_raw!$A$1,(ROW()-1)*4+COLUMN()-1,0)</f>
        <v>直到最后一行。</v>
      </c>
      <c r="D121" t="str">
        <f t="shared" ca="1" si="2"/>
        <v>00:06:35,920</v>
      </c>
      <c r="E121" t="str">
        <f t="shared" ca="1" si="3"/>
        <v>00:06:37,200</v>
      </c>
    </row>
    <row r="122" spans="1:5" x14ac:dyDescent="0.3">
      <c r="A122">
        <f ca="1">OFFSET(srt_raw!$A$1,(ROW()-1)*4+COLUMN()-1,0)</f>
        <v>122</v>
      </c>
      <c r="B122" t="str">
        <f ca="1">OFFSET(srt_raw!$A$1,(ROW()-1)*4+COLUMN()-1,0)</f>
        <v>00:06:38,720 --&gt; 00:06:45,240</v>
      </c>
      <c r="C122" t="str">
        <f ca="1">OFFSET(srt_raw!$A$1,(ROW()-1)*4+COLUMN()-1,0)</f>
        <v>最终最后一行按钮和灯的状态和前面推得的矩阵是一样的，</v>
      </c>
      <c r="D122" t="str">
        <f t="shared" ca="1" si="2"/>
        <v>00:06:38,720</v>
      </c>
      <c r="E122" t="str">
        <f t="shared" ca="1" si="3"/>
        <v>00:06:45,240</v>
      </c>
    </row>
    <row r="123" spans="1:5" x14ac:dyDescent="0.3">
      <c r="A123">
        <f ca="1">OFFSET(srt_raw!$A$1,(ROW()-1)*4+COLUMN()-1,0)</f>
        <v>123</v>
      </c>
      <c r="B123" t="str">
        <f ca="1">OFFSET(srt_raw!$A$1,(ROW()-1)*4+COLUMN()-1,0)</f>
        <v>00:06:45,240 --&gt; 00:06:48,880</v>
      </c>
      <c r="C123" t="str">
        <f ca="1">OFFSET(srt_raw!$A$1,(ROW()-1)*4+COLUMN()-1,0)</f>
        <v>同样在第二个矩阵点击第一行第二个按钮，</v>
      </c>
      <c r="D123" t="str">
        <f t="shared" ca="1" si="2"/>
        <v>00:06:45,240</v>
      </c>
      <c r="E123" t="str">
        <f t="shared" ca="1" si="3"/>
        <v>00:06:48,880</v>
      </c>
    </row>
    <row r="124" spans="1:5" x14ac:dyDescent="0.3">
      <c r="A124">
        <f ca="1">OFFSET(srt_raw!$A$1,(ROW()-1)*4+COLUMN()-1,0)</f>
        <v>124</v>
      </c>
      <c r="B124" t="str">
        <f ca="1">OFFSET(srt_raw!$A$1,(ROW()-1)*4+COLUMN()-1,0)</f>
        <v>00:06:48,880 --&gt; 00:06:53,640</v>
      </c>
      <c r="C124" t="str">
        <f ca="1">OFFSET(srt_raw!$A$1,(ROW()-1)*4+COLUMN()-1,0)</f>
        <v>然后递推也可以得到第二个矩阵最后一行按钮和灯的状态。</v>
      </c>
      <c r="D124" t="str">
        <f t="shared" ca="1" si="2"/>
        <v>00:06:48,880</v>
      </c>
      <c r="E124" t="str">
        <f t="shared" ca="1" si="3"/>
        <v>00:06:53,640</v>
      </c>
    </row>
    <row r="125" spans="1:5" x14ac:dyDescent="0.3">
      <c r="A125">
        <f ca="1">OFFSET(srt_raw!$A$1,(ROW()-1)*4+COLUMN()-1,0)</f>
        <v>125</v>
      </c>
      <c r="B125" t="str">
        <f ca="1">OFFSET(srt_raw!$A$1,(ROW()-1)*4+COLUMN()-1,0)</f>
        <v>00:06:55,120 --&gt; 00:06:56,320</v>
      </c>
      <c r="C125" t="str">
        <f ca="1">OFFSET(srt_raw!$A$1,(ROW()-1)*4+COLUMN()-1,0)</f>
        <v>通过这个方法，</v>
      </c>
      <c r="D125" t="str">
        <f t="shared" ca="1" si="2"/>
        <v>00:06:55,120</v>
      </c>
      <c r="E125" t="str">
        <f t="shared" ca="1" si="3"/>
        <v>00:06:56,320</v>
      </c>
    </row>
    <row r="126" spans="1:5" x14ac:dyDescent="0.3">
      <c r="A126">
        <f ca="1">OFFSET(srt_raw!$A$1,(ROW()-1)*4+COLUMN()-1,0)</f>
        <v>126</v>
      </c>
      <c r="B126" t="str">
        <f ca="1">OFFSET(srt_raw!$A$1,(ROW()-1)*4+COLUMN()-1,0)</f>
        <v>00:06:56,320 --&gt; 00:07:00,800</v>
      </c>
      <c r="C126" t="str">
        <f ca="1">OFFSET(srt_raw!$A$1,(ROW()-1)*4+COLUMN()-1,0)</f>
        <v>我们可以得到所有矩阵最后一行的状态。</v>
      </c>
      <c r="D126" t="str">
        <f t="shared" ca="1" si="2"/>
        <v>00:06:56,320</v>
      </c>
      <c r="E126" t="str">
        <f t="shared" ca="1" si="3"/>
        <v>00:07:00,800</v>
      </c>
    </row>
    <row r="127" spans="1:5" x14ac:dyDescent="0.3">
      <c r="A127">
        <f ca="1">OFFSET(srt_raw!$A$1,(ROW()-1)*4+COLUMN()-1,0)</f>
        <v>127</v>
      </c>
      <c r="B127" t="str">
        <f ca="1">OFFSET(srt_raw!$A$1,(ROW()-1)*4+COLUMN()-1,0)</f>
        <v>00:07:00,800 --&gt; 00:07:01,360</v>
      </c>
      <c r="C127" t="str">
        <f ca="1">OFFSET(srt_raw!$A$1,(ROW()-1)*4+COLUMN()-1,0)</f>
        <v>另外，</v>
      </c>
      <c r="D127" t="str">
        <f t="shared" ca="1" si="2"/>
        <v>00:07:00,800</v>
      </c>
      <c r="E127" t="str">
        <f t="shared" ca="1" si="3"/>
        <v>00:07:01,360</v>
      </c>
    </row>
    <row r="128" spans="1:5" x14ac:dyDescent="0.3">
      <c r="A128">
        <f ca="1">OFFSET(srt_raw!$A$1,(ROW()-1)*4+COLUMN()-1,0)</f>
        <v>128</v>
      </c>
      <c r="B128" t="str">
        <f ca="1">OFFSET(srt_raw!$A$1,(ROW()-1)*4+COLUMN()-1,0)</f>
        <v>00:07:01,360 --&gt; 00:07:04,040</v>
      </c>
      <c r="C128" t="str">
        <f ca="1">OFFSET(srt_raw!$A$1,(ROW()-1)*4+COLUMN()-1,0)</f>
        <v>翻转向量也可以用相似的方法推得。</v>
      </c>
      <c r="D128" t="str">
        <f t="shared" ca="1" si="2"/>
        <v>00:07:01,360</v>
      </c>
      <c r="E128" t="str">
        <f t="shared" ca="1" si="3"/>
        <v>00:07:04,040</v>
      </c>
    </row>
    <row r="129" spans="1:5" x14ac:dyDescent="0.3">
      <c r="A129">
        <f ca="1">OFFSET(srt_raw!$A$1,(ROW()-1)*4+COLUMN()-1,0)</f>
        <v>129</v>
      </c>
      <c r="B129" t="str">
        <f ca="1">OFFSET(srt_raw!$A$1,(ROW()-1)*4+COLUMN()-1,0)</f>
        <v>00:07:05,680 --&gt; 00:07:07,480</v>
      </c>
      <c r="C129" t="str">
        <f ca="1">OFFSET(srt_raw!$A$1,(ROW()-1)*4+COLUMN()-1,0)</f>
        <v>我们把所有灯全部点亮，</v>
      </c>
      <c r="D129" t="str">
        <f t="shared" ca="1" si="2"/>
        <v>00:07:05,680</v>
      </c>
      <c r="E129" t="str">
        <f t="shared" ca="1" si="3"/>
        <v>00:07:07,480</v>
      </c>
    </row>
    <row r="130" spans="1:5" x14ac:dyDescent="0.3">
      <c r="A130">
        <f ca="1">OFFSET(srt_raw!$A$1,(ROW()-1)*4+COLUMN()-1,0)</f>
        <v>130</v>
      </c>
      <c r="B130" t="str">
        <f ca="1">OFFSET(srt_raw!$A$1,(ROW()-1)*4+COLUMN()-1,0)</f>
        <v>00:07:07,680 --&gt; 00:07:10,960</v>
      </c>
      <c r="C130" t="str">
        <f ca="1">OFFSET(srt_raw!$A$1,(ROW()-1)*4+COLUMN()-1,0)</f>
        <v>然后用刚才的方法尝试把所有灯消去，</v>
      </c>
      <c r="D130" t="str">
        <f t="shared" ref="D130:D193" ca="1" si="4">LEFT(B130,12)</f>
        <v>00:07:07,680</v>
      </c>
      <c r="E130" t="str">
        <f t="shared" ref="E130:E193" ca="1" si="5">RIGHT(B130,12)</f>
        <v>00:07:10,960</v>
      </c>
    </row>
    <row r="131" spans="1:5" x14ac:dyDescent="0.3">
      <c r="A131">
        <f ca="1">OFFSET(srt_raw!$A$1,(ROW()-1)*4+COLUMN()-1,0)</f>
        <v>131</v>
      </c>
      <c r="B131" t="str">
        <f ca="1">OFFSET(srt_raw!$A$1,(ROW()-1)*4+COLUMN()-1,0)</f>
        <v>00:07:10,960 --&gt; 00:07:15,560</v>
      </c>
      <c r="C131" t="str">
        <f ca="1">OFFSET(srt_raw!$A$1,(ROW()-1)*4+COLUMN()-1,0)</f>
        <v>同样可以得到翻转向量最后一行的状态。</v>
      </c>
      <c r="D131" t="str">
        <f t="shared" ca="1" si="4"/>
        <v>00:07:10,960</v>
      </c>
      <c r="E131" t="str">
        <f t="shared" ca="1" si="5"/>
        <v>00:07:15,560</v>
      </c>
    </row>
    <row r="132" spans="1:5" x14ac:dyDescent="0.3">
      <c r="A132">
        <f ca="1">OFFSET(srt_raw!$A$1,(ROW()-1)*4+COLUMN()-1,0)</f>
        <v>132</v>
      </c>
      <c r="B132" t="str">
        <f ca="1">OFFSET(srt_raw!$A$1,(ROW()-1)*4+COLUMN()-1,0)</f>
        <v>00:07:15,560 --&gt; 00:07:20,080</v>
      </c>
      <c r="C132" t="str">
        <f ca="1">OFFSET(srt_raw!$A$1,(ROW()-1)*4+COLUMN()-1,0)</f>
        <v>我们把这种方法称作余数矩阵法和首行叠加法的原理，</v>
      </c>
      <c r="D132" t="str">
        <f t="shared" ca="1" si="4"/>
        <v>00:07:15,560</v>
      </c>
      <c r="E132" t="str">
        <f t="shared" ca="1" si="5"/>
        <v>00:07:20,080</v>
      </c>
    </row>
    <row r="133" spans="1:5" x14ac:dyDescent="0.3">
      <c r="A133">
        <f ca="1">OFFSET(srt_raw!$A$1,(ROW()-1)*4+COLUMN()-1,0)</f>
        <v>133</v>
      </c>
      <c r="B133" t="str">
        <f ca="1">OFFSET(srt_raw!$A$1,(ROW()-1)*4+COLUMN()-1,0)</f>
        <v>00:07:20,080 --&gt; 00:07:21,440</v>
      </c>
      <c r="C133" t="str">
        <f ca="1">OFFSET(srt_raw!$A$1,(ROW()-1)*4+COLUMN()-1,0)</f>
        <v>本质上是相同的。</v>
      </c>
      <c r="D133" t="str">
        <f t="shared" ca="1" si="4"/>
        <v>00:07:20,080</v>
      </c>
      <c r="E133" t="str">
        <f t="shared" ca="1" si="5"/>
        <v>00:07:21,440</v>
      </c>
    </row>
    <row r="134" spans="1:5" x14ac:dyDescent="0.3">
      <c r="A134">
        <f ca="1">OFFSET(srt_raw!$A$1,(ROW()-1)*4+COLUMN()-1,0)</f>
        <v>134</v>
      </c>
      <c r="B134" t="str">
        <f ca="1">OFFSET(srt_raw!$A$1,(ROW()-1)*4+COLUMN()-1,0)</f>
        <v>00:07:21,600 --&gt; 00:07:25,600</v>
      </c>
      <c r="C134" t="str">
        <f ca="1">OFFSET(srt_raw!$A$1,(ROW()-1)*4+COLUMN()-1,0)</f>
        <v>有兴趣的小伙伴可以自行证明。</v>
      </c>
      <c r="D134" t="str">
        <f t="shared" ca="1" si="4"/>
        <v>00:07:21,600</v>
      </c>
      <c r="E134" t="str">
        <f t="shared" ca="1" si="5"/>
        <v>00:07:25,600</v>
      </c>
    </row>
    <row r="135" spans="1:5" x14ac:dyDescent="0.3">
      <c r="A135">
        <f ca="1">OFFSET(srt_raw!$A$1,(ROW()-1)*4+COLUMN()-1,0)</f>
        <v>135</v>
      </c>
      <c r="B135" t="str">
        <f ca="1">OFFSET(srt_raw!$A$1,(ROW()-1)*4+COLUMN()-1,0)</f>
        <v>00:07:25,600 --&gt; 00:07:27,600</v>
      </c>
      <c r="C135" t="str">
        <f ca="1">OFFSET(srt_raw!$A$1,(ROW()-1)*4+COLUMN()-1,0)</f>
        <v>在生成优化矩阵章节中，</v>
      </c>
      <c r="D135" t="str">
        <f t="shared" ca="1" si="4"/>
        <v>00:07:25,600</v>
      </c>
      <c r="E135" t="str">
        <f t="shared" ca="1" si="5"/>
        <v>00:07:27,600</v>
      </c>
    </row>
    <row r="136" spans="1:5" x14ac:dyDescent="0.3">
      <c r="A136">
        <f ca="1">OFFSET(srt_raw!$A$1,(ROW()-1)*4+COLUMN()-1,0)</f>
        <v>136</v>
      </c>
      <c r="B136" t="str">
        <f ca="1">OFFSET(srt_raw!$A$1,(ROW()-1)*4+COLUMN()-1,0)</f>
        <v>00:07:27,600 --&gt; 00:07:29,880</v>
      </c>
      <c r="C136" t="str">
        <f ca="1">OFFSET(srt_raw!$A$1,(ROW()-1)*4+COLUMN()-1,0)</f>
        <v>我们将矩阵的行重排，</v>
      </c>
      <c r="D136" t="str">
        <f t="shared" ca="1" si="4"/>
        <v>00:07:27,600</v>
      </c>
      <c r="E136" t="str">
        <f t="shared" ca="1" si="5"/>
        <v>00:07:29,880</v>
      </c>
    </row>
    <row r="137" spans="1:5" x14ac:dyDescent="0.3">
      <c r="A137">
        <f ca="1">OFFSET(srt_raw!$A$1,(ROW()-1)*4+COLUMN()-1,0)</f>
        <v>137</v>
      </c>
      <c r="B137" t="str">
        <f ca="1">OFFSET(srt_raw!$A$1,(ROW()-1)*4+COLUMN()-1,0)</f>
        <v>00:07:29,880 --&gt; 00:07:32,120</v>
      </c>
      <c r="C137" t="str">
        <f ca="1">OFFSET(srt_raw!$A$1,(ROW()-1)*4+COLUMN()-1,0)</f>
        <v>其实是调换了N和Y的位置。</v>
      </c>
      <c r="D137" t="str">
        <f t="shared" ca="1" si="4"/>
        <v>00:07:29,880</v>
      </c>
      <c r="E137" t="str">
        <f t="shared" ca="1" si="5"/>
        <v>00:07:32,120</v>
      </c>
    </row>
    <row r="138" spans="1:5" x14ac:dyDescent="0.3">
      <c r="A138">
        <f ca="1">OFFSET(srt_raw!$A$1,(ROW()-1)*4+COLUMN()-1,0)</f>
        <v>138</v>
      </c>
      <c r="B138" t="str">
        <f ca="1">OFFSET(srt_raw!$A$1,(ROW()-1)*4+COLUMN()-1,0)</f>
        <v>00:07:32,400 --&gt; 00:07:36,360</v>
      </c>
      <c r="C138" t="str">
        <f ca="1">OFFSET(srt_raw!$A$1,(ROW()-1)*4+COLUMN()-1,0)</f>
        <v>使原来从左到右的第Y个矩阵变为了第N个矩阵。</v>
      </c>
      <c r="D138" t="str">
        <f t="shared" ca="1" si="4"/>
        <v>00:07:32,400</v>
      </c>
      <c r="E138" t="str">
        <f t="shared" ca="1" si="5"/>
        <v>00:07:36,360</v>
      </c>
    </row>
    <row r="139" spans="1:5" x14ac:dyDescent="0.3">
      <c r="A139">
        <f ca="1">OFFSET(srt_raw!$A$1,(ROW()-1)*4+COLUMN()-1,0)</f>
        <v>139</v>
      </c>
      <c r="B139" t="str">
        <f ca="1">OFFSET(srt_raw!$A$1,(ROW()-1)*4+COLUMN()-1,0)</f>
        <v>00:07:38,000 --&gt; 00:07:40,800</v>
      </c>
      <c r="C139" t="str">
        <f ca="1">OFFSET(srt_raw!$A$1,(ROW()-1)*4+COLUMN()-1,0)</f>
        <v>这N个矩阵都满足十字偶校验约束，</v>
      </c>
      <c r="D139" t="str">
        <f t="shared" ca="1" si="4"/>
        <v>00:07:38,000</v>
      </c>
      <c r="E139" t="str">
        <f t="shared" ca="1" si="5"/>
        <v>00:07:40,800</v>
      </c>
    </row>
    <row r="140" spans="1:5" x14ac:dyDescent="0.3">
      <c r="A140">
        <f ca="1">OFFSET(srt_raw!$A$1,(ROW()-1)*4+COLUMN()-1,0)</f>
        <v>140</v>
      </c>
      <c r="B140" t="str">
        <f ca="1">OFFSET(srt_raw!$A$1,(ROW()-1)*4+COLUMN()-1,0)</f>
        <v>00:07:40,960 --&gt; 00:07:43,440</v>
      </c>
      <c r="C140" t="str">
        <f ca="1">OFFSET(srt_raw!$A$1,(ROW()-1)*4+COLUMN()-1,0)</f>
        <v>及上下左右四个格子叠加为零，</v>
      </c>
      <c r="D140" t="str">
        <f t="shared" ca="1" si="4"/>
        <v>00:07:40,960</v>
      </c>
      <c r="E140" t="str">
        <f t="shared" ca="1" si="5"/>
        <v>00:07:43,440</v>
      </c>
    </row>
    <row r="141" spans="1:5" x14ac:dyDescent="0.3">
      <c r="A141">
        <f ca="1">OFFSET(srt_raw!$A$1,(ROW()-1)*4+COLUMN()-1,0)</f>
        <v>141</v>
      </c>
      <c r="B141" t="str">
        <f ca="1">OFFSET(srt_raw!$A$1,(ROW()-1)*4+COLUMN()-1,0)</f>
        <v>00:07:43,680 --&gt; 00:07:45,880</v>
      </c>
      <c r="C141" t="str">
        <f ca="1">OFFSET(srt_raw!$A$1,(ROW()-1)*4+COLUMN()-1,0)</f>
        <v>因此这里的公式省去了N。</v>
      </c>
      <c r="D141" t="str">
        <f t="shared" ca="1" si="4"/>
        <v>00:07:43,680</v>
      </c>
      <c r="E141" t="str">
        <f t="shared" ca="1" si="5"/>
        <v>00:07:45,880</v>
      </c>
    </row>
    <row r="142" spans="1:5" x14ac:dyDescent="0.3">
      <c r="A142">
        <f ca="1">OFFSET(srt_raw!$A$1,(ROW()-1)*4+COLUMN()-1,0)</f>
        <v>142</v>
      </c>
      <c r="B142" t="str">
        <f ca="1">OFFSET(srt_raw!$A$1,(ROW()-1)*4+COLUMN()-1,0)</f>
        <v>00:07:47,440 --&gt; 00:07:49,400</v>
      </c>
      <c r="C142" t="str">
        <f ca="1">OFFSET(srt_raw!$A$1,(ROW()-1)*4+COLUMN()-1,0)</f>
        <v>这里和之前的情况是一样的，</v>
      </c>
      <c r="D142" t="str">
        <f t="shared" ca="1" si="4"/>
        <v>00:07:47,440</v>
      </c>
      <c r="E142" t="str">
        <f t="shared" ca="1" si="5"/>
        <v>00:07:49,400</v>
      </c>
    </row>
    <row r="143" spans="1:5" x14ac:dyDescent="0.3">
      <c r="A143">
        <f ca="1">OFFSET(srt_raw!$A$1,(ROW()-1)*4+COLUMN()-1,0)</f>
        <v>143</v>
      </c>
      <c r="B143" t="str">
        <f ca="1">OFFSET(srt_raw!$A$1,(ROW()-1)*4+COLUMN()-1,0)</f>
        <v>00:07:49,520 --&gt; 00:07:51,360</v>
      </c>
      <c r="C143" t="str">
        <f ca="1">OFFSET(srt_raw!$A$1,(ROW()-1)*4+COLUMN()-1,0)</f>
        <v>只不过N和Y调换了，</v>
      </c>
      <c r="D143" t="str">
        <f t="shared" ca="1" si="4"/>
        <v>00:07:49,520</v>
      </c>
      <c r="E143" t="str">
        <f t="shared" ca="1" si="5"/>
        <v>00:07:51,360</v>
      </c>
    </row>
    <row r="144" spans="1:5" x14ac:dyDescent="0.3">
      <c r="A144">
        <f ca="1">OFFSET(srt_raw!$A$1,(ROW()-1)*4+COLUMN()-1,0)</f>
        <v>144</v>
      </c>
      <c r="B144" t="str">
        <f ca="1">OFFSET(srt_raw!$A$1,(ROW()-1)*4+COLUMN()-1,0)</f>
        <v>00:07:51,360 --&gt; 00:07:53,280</v>
      </c>
      <c r="C144" t="str">
        <f ca="1">OFFSET(srt_raw!$A$1,(ROW()-1)*4+COLUMN()-1,0)</f>
        <v>因此位置发生了变化。</v>
      </c>
      <c r="D144" t="str">
        <f t="shared" ca="1" si="4"/>
        <v>00:07:51,360</v>
      </c>
      <c r="E144" t="str">
        <f t="shared" ca="1" si="5"/>
        <v>00:07:53,280</v>
      </c>
    </row>
    <row r="145" spans="1:5" x14ac:dyDescent="0.3">
      <c r="A145">
        <f ca="1">OFFSET(srt_raw!$A$1,(ROW()-1)*4+COLUMN()-1,0)</f>
        <v>145</v>
      </c>
      <c r="B145" t="str">
        <f ca="1">OFFSET(srt_raw!$A$1,(ROW()-1)*4+COLUMN()-1,0)</f>
        <v>00:07:54,720 --&gt; 00:07:56,640</v>
      </c>
      <c r="C145" t="str">
        <f ca="1">OFFSET(srt_raw!$A$1,(ROW()-1)*4+COLUMN()-1,0)</f>
        <v>这是一个十分重要的性质，</v>
      </c>
      <c r="D145" t="str">
        <f t="shared" ca="1" si="4"/>
        <v>00:07:54,720</v>
      </c>
      <c r="E145" t="str">
        <f t="shared" ca="1" si="5"/>
        <v>00:07:56,640</v>
      </c>
    </row>
    <row r="146" spans="1:5" x14ac:dyDescent="0.3">
      <c r="A146">
        <f ca="1">OFFSET(srt_raw!$A$1,(ROW()-1)*4+COLUMN()-1,0)</f>
        <v>146</v>
      </c>
      <c r="B146" t="str">
        <f ca="1">OFFSET(srt_raw!$A$1,(ROW()-1)*4+COLUMN()-1,0)</f>
        <v>00:07:57,120 --&gt; 00:08:00,680</v>
      </c>
      <c r="C146" t="str">
        <f ca="1">OFFSET(srt_raw!$A$1,(ROW()-1)*4+COLUMN()-1,0)</f>
        <v>使用这个性质可以由第一个灯直接推到后面的灯。</v>
      </c>
      <c r="D146" t="str">
        <f t="shared" ca="1" si="4"/>
        <v>00:07:57,120</v>
      </c>
      <c r="E146" t="str">
        <f t="shared" ca="1" si="5"/>
        <v>00:08:00,680</v>
      </c>
    </row>
    <row r="147" spans="1:5" x14ac:dyDescent="0.3">
      <c r="A147">
        <f ca="1">OFFSET(srt_raw!$A$1,(ROW()-1)*4+COLUMN()-1,0)</f>
        <v>147</v>
      </c>
      <c r="B147" t="str">
        <f ca="1">OFFSET(srt_raw!$A$1,(ROW()-1)*4+COLUMN()-1,0)</f>
        <v>00:08:02,200 --&gt; 00:08:04,720</v>
      </c>
      <c r="C147" t="str">
        <f ca="1">OFFSET(srt_raw!$A$1,(ROW()-1)*4+COLUMN()-1,0)</f>
        <v>在之后的ON的二次方算法中，</v>
      </c>
      <c r="D147" t="str">
        <f t="shared" ca="1" si="4"/>
        <v>00:08:02,200</v>
      </c>
      <c r="E147" t="str">
        <f t="shared" ca="1" si="5"/>
        <v>00:08:04,720</v>
      </c>
    </row>
    <row r="148" spans="1:5" x14ac:dyDescent="0.3">
      <c r="A148">
        <f ca="1">OFFSET(srt_raw!$A$1,(ROW()-1)*4+COLUMN()-1,0)</f>
        <v>148</v>
      </c>
      <c r="B148" t="str">
        <f ca="1">OFFSET(srt_raw!$A$1,(ROW()-1)*4+COLUMN()-1,0)</f>
        <v>00:08:04,720 --&gt; 00:08:07,440</v>
      </c>
      <c r="C148" t="str">
        <f ca="1">OFFSET(srt_raw!$A$1,(ROW()-1)*4+COLUMN()-1,0)</f>
        <v>其本质也是用这个性质进行的优化。</v>
      </c>
      <c r="D148" t="str">
        <f t="shared" ca="1" si="4"/>
        <v>00:08:04,720</v>
      </c>
      <c r="E148" t="str">
        <f t="shared" ca="1" si="5"/>
        <v>00:08:07,440</v>
      </c>
    </row>
    <row r="149" spans="1:5" x14ac:dyDescent="0.3">
      <c r="A149">
        <f ca="1">OFFSET(srt_raw!$A$1,(ROW()-1)*4+COLUMN()-1,0)</f>
        <v>149</v>
      </c>
      <c r="B149" t="str">
        <f ca="1">OFFSET(srt_raw!$A$1,(ROW()-1)*4+COLUMN()-1,0)</f>
        <v>00:08:08,960 --&gt; 00:08:12,360</v>
      </c>
      <c r="C149" t="str">
        <f ca="1">OFFSET(srt_raw!$A$1,(ROW()-1)*4+COLUMN()-1,0)</f>
        <v>下面让我们用数学归纳法证明这个性质。</v>
      </c>
      <c r="D149" t="str">
        <f t="shared" ca="1" si="4"/>
        <v>00:08:08,960</v>
      </c>
      <c r="E149" t="str">
        <f t="shared" ca="1" si="5"/>
        <v>00:08:12,360</v>
      </c>
    </row>
    <row r="150" spans="1:5" x14ac:dyDescent="0.3">
      <c r="A150">
        <f ca="1">OFFSET(srt_raw!$A$1,(ROW()-1)*4+COLUMN()-1,0)</f>
        <v>150</v>
      </c>
      <c r="B150" t="str">
        <f ca="1">OFFSET(srt_raw!$A$1,(ROW()-1)*4+COLUMN()-1,0)</f>
        <v>00:08:13,840 --&gt; 00:08:17,520</v>
      </c>
      <c r="C150" t="str">
        <f ca="1">OFFSET(srt_raw!$A$1,(ROW()-1)*4+COLUMN()-1,0)</f>
        <v>由于右边的按钮矩阵就是左边的灯矩阵，</v>
      </c>
      <c r="D150" t="str">
        <f t="shared" ca="1" si="4"/>
        <v>00:08:13,840</v>
      </c>
      <c r="E150" t="str">
        <f t="shared" ca="1" si="5"/>
        <v>00:08:17,520</v>
      </c>
    </row>
    <row r="151" spans="1:5" x14ac:dyDescent="0.3">
      <c r="A151">
        <f ca="1">OFFSET(srt_raw!$A$1,(ROW()-1)*4+COLUMN()-1,0)</f>
        <v>151</v>
      </c>
      <c r="B151" t="str">
        <f ca="1">OFFSET(srt_raw!$A$1,(ROW()-1)*4+COLUMN()-1,0)</f>
        <v>00:08:17,520 --&gt; 00:08:21,680</v>
      </c>
      <c r="C151" t="str">
        <f ca="1">OFFSET(srt_raw!$A$1,(ROW()-1)*4+COLUMN()-1,0)</f>
        <v>为了方便我们就只看按钮矩阵。</v>
      </c>
      <c r="D151" t="str">
        <f t="shared" ca="1" si="4"/>
        <v>00:08:17,520</v>
      </c>
      <c r="E151" t="str">
        <f t="shared" ca="1" si="5"/>
        <v>00:08:21,680</v>
      </c>
    </row>
    <row r="152" spans="1:5" x14ac:dyDescent="0.3">
      <c r="A152">
        <f ca="1">OFFSET(srt_raw!$A$1,(ROW()-1)*4+COLUMN()-1,0)</f>
        <v>152</v>
      </c>
      <c r="B152" t="str">
        <f ca="1">OFFSET(srt_raw!$A$1,(ROW()-1)*4+COLUMN()-1,0)</f>
        <v>00:08:21,680 --&gt; 00:08:27,600</v>
      </c>
      <c r="C152" t="str">
        <f ca="1">OFFSET(srt_raw!$A$1,(ROW()-1)*4+COLUMN()-1,0)</f>
        <v>首先我们假定前两个矩阵BN减1和BN减2满足这个性质，</v>
      </c>
      <c r="D152" t="str">
        <f t="shared" ca="1" si="4"/>
        <v>00:08:21,680</v>
      </c>
      <c r="E152" t="str">
        <f t="shared" ca="1" si="5"/>
        <v>00:08:27,600</v>
      </c>
    </row>
    <row r="153" spans="1:5" x14ac:dyDescent="0.3">
      <c r="A153">
        <f ca="1">OFFSET(srt_raw!$A$1,(ROW()-1)*4+COLUMN()-1,0)</f>
        <v>153</v>
      </c>
      <c r="B153" t="str">
        <f ca="1">OFFSET(srt_raw!$A$1,(ROW()-1)*4+COLUMN()-1,0)</f>
        <v>00:08:27,600 --&gt; 00:08:30,440</v>
      </c>
      <c r="C153" t="str">
        <f ca="1">OFFSET(srt_raw!$A$1,(ROW()-1)*4+COLUMN()-1,0)</f>
        <v>现在来证明BN也满足这个性质。</v>
      </c>
      <c r="D153" t="str">
        <f t="shared" ca="1" si="4"/>
        <v>00:08:27,600</v>
      </c>
      <c r="E153" t="str">
        <f t="shared" ca="1" si="5"/>
        <v>00:08:30,440</v>
      </c>
    </row>
    <row r="154" spans="1:5" x14ac:dyDescent="0.3">
      <c r="A154">
        <f ca="1">OFFSET(srt_raw!$A$1,(ROW()-1)*4+COLUMN()-1,0)</f>
        <v>154</v>
      </c>
      <c r="B154" t="str">
        <f ca="1">OFFSET(srt_raw!$A$1,(ROW()-1)*4+COLUMN()-1,0)</f>
        <v>00:08:32,000 --&gt; 00:08:37,160</v>
      </c>
      <c r="C154" t="str">
        <f ca="1">OFFSET(srt_raw!$A$1,(ROW()-1)*4+COLUMN()-1,0)</f>
        <v>将刚才的矩阵递推关系加上参数Y并重写。</v>
      </c>
      <c r="D154" t="str">
        <f t="shared" ca="1" si="4"/>
        <v>00:08:32,000</v>
      </c>
      <c r="E154" t="str">
        <f t="shared" ca="1" si="5"/>
        <v>00:08:37,160</v>
      </c>
    </row>
    <row r="155" spans="1:5" x14ac:dyDescent="0.3">
      <c r="A155">
        <f ca="1">OFFSET(srt_raw!$A$1,(ROW()-1)*4+COLUMN()-1,0)</f>
        <v>155</v>
      </c>
      <c r="B155" t="str">
        <f ca="1">OFFSET(srt_raw!$A$1,(ROW()-1)*4+COLUMN()-1,0)</f>
        <v>00:08:37,160 --&gt; 00:08:38,000</v>
      </c>
      <c r="C155" t="str">
        <f ca="1">OFFSET(srt_raw!$A$1,(ROW()-1)*4+COLUMN()-1,0)</f>
        <v>对于BN，</v>
      </c>
      <c r="D155" t="str">
        <f t="shared" ca="1" si="4"/>
        <v>00:08:37,160</v>
      </c>
      <c r="E155" t="str">
        <f t="shared" ca="1" si="5"/>
        <v>00:08:38,000</v>
      </c>
    </row>
    <row r="156" spans="1:5" x14ac:dyDescent="0.3">
      <c r="A156">
        <f ca="1">OFFSET(srt_raw!$A$1,(ROW()-1)*4+COLUMN()-1,0)</f>
        <v>156</v>
      </c>
      <c r="B156" t="str">
        <f ca="1">OFFSET(srt_raw!$A$1,(ROW()-1)*4+COLUMN()-1,0)</f>
        <v>00:08:38,000 --&gt; 00:08:40,160</v>
      </c>
      <c r="C156" t="str">
        <f ca="1">OFFSET(srt_raw!$A$1,(ROW()-1)*4+COLUMN()-1,0)</f>
        <v>我们将式子竖着写成四项，</v>
      </c>
      <c r="D156" t="str">
        <f t="shared" ca="1" si="4"/>
        <v>00:08:38,000</v>
      </c>
      <c r="E156" t="str">
        <f t="shared" ca="1" si="5"/>
        <v>00:08:40,160</v>
      </c>
    </row>
    <row r="157" spans="1:5" x14ac:dyDescent="0.3">
      <c r="A157">
        <f ca="1">OFFSET(srt_raw!$A$1,(ROW()-1)*4+COLUMN()-1,0)</f>
        <v>157</v>
      </c>
      <c r="B157" t="str">
        <f ca="1">OFFSET(srt_raw!$A$1,(ROW()-1)*4+COLUMN()-1,0)</f>
        <v>00:08:40,320 --&gt; 00:08:44,400</v>
      </c>
      <c r="C157" t="str">
        <f ca="1">OFFSET(srt_raw!$A$1,(ROW()-1)*4+COLUMN()-1,0)</f>
        <v>然后将递推关系代入这个式子。</v>
      </c>
      <c r="D157" t="str">
        <f t="shared" ca="1" si="4"/>
        <v>00:08:40,320</v>
      </c>
      <c r="E157" t="str">
        <f t="shared" ca="1" si="5"/>
        <v>00:08:44,400</v>
      </c>
    </row>
    <row r="158" spans="1:5" x14ac:dyDescent="0.3">
      <c r="A158">
        <f ca="1">OFFSET(srt_raw!$A$1,(ROW()-1)*4+COLUMN()-1,0)</f>
        <v>158</v>
      </c>
      <c r="B158" t="str">
        <f ca="1">OFFSET(srt_raw!$A$1,(ROW()-1)*4+COLUMN()-1,0)</f>
        <v>00:08:44,400 --&gt; 00:08:47,080</v>
      </c>
      <c r="C158" t="str">
        <f ca="1">OFFSET(srt_raw!$A$1,(ROW()-1)*4+COLUMN()-1,0)</f>
        <v>代入后的式子包含16项，</v>
      </c>
      <c r="D158" t="str">
        <f t="shared" ca="1" si="4"/>
        <v>00:08:44,400</v>
      </c>
      <c r="E158" t="str">
        <f t="shared" ca="1" si="5"/>
        <v>00:08:47,080</v>
      </c>
    </row>
    <row r="159" spans="1:5" x14ac:dyDescent="0.3">
      <c r="A159">
        <f ca="1">OFFSET(srt_raw!$A$1,(ROW()-1)*4+COLUMN()-1,0)</f>
        <v>159</v>
      </c>
      <c r="B159" t="str">
        <f ca="1">OFFSET(srt_raw!$A$1,(ROW()-1)*4+COLUMN()-1,0)</f>
        <v>00:08:47,080 --&gt; 00:08:50,720</v>
      </c>
      <c r="C159" t="str">
        <f ca="1">OFFSET(srt_raw!$A$1,(ROW()-1)*4+COLUMN()-1,0)</f>
        <v>现在重新排列项目顺序将Y和N调换，</v>
      </c>
      <c r="D159" t="str">
        <f t="shared" ca="1" si="4"/>
        <v>00:08:47,080</v>
      </c>
      <c r="E159" t="str">
        <f t="shared" ca="1" si="5"/>
        <v>00:08:50,720</v>
      </c>
    </row>
    <row r="160" spans="1:5" x14ac:dyDescent="0.3">
      <c r="A160">
        <f ca="1">OFFSET(srt_raw!$A$1,(ROW()-1)*4+COLUMN()-1,0)</f>
        <v>160</v>
      </c>
      <c r="B160" t="str">
        <f ca="1">OFFSET(srt_raw!$A$1,(ROW()-1)*4+COLUMN()-1,0)</f>
        <v>00:08:50,720 --&gt; 00:08:53,920</v>
      </c>
      <c r="C160" t="str">
        <f ca="1">OFFSET(srt_raw!$A$1,(ROW()-1)*4+COLUMN()-1,0)</f>
        <v>类似优化生成矩阵章节中的调换操作。</v>
      </c>
      <c r="D160" t="str">
        <f t="shared" ca="1" si="4"/>
        <v>00:08:50,720</v>
      </c>
      <c r="E160" t="str">
        <f t="shared" ca="1" si="5"/>
        <v>00:08:53,920</v>
      </c>
    </row>
    <row r="161" spans="1:5" x14ac:dyDescent="0.3">
      <c r="A161">
        <f ca="1">OFFSET(srt_raw!$A$1,(ROW()-1)*4+COLUMN()-1,0)</f>
        <v>161</v>
      </c>
      <c r="B161" t="str">
        <f ca="1">OFFSET(srt_raw!$A$1,(ROW()-1)*4+COLUMN()-1,0)</f>
        <v>00:08:55,440 --&gt; 00:09:00,240</v>
      </c>
      <c r="C161" t="str">
        <f ca="1">OFFSET(srt_raw!$A$1,(ROW()-1)*4+COLUMN()-1,0)</f>
        <v>不难发现这四项属于BN减1或BN减2。</v>
      </c>
      <c r="D161" t="str">
        <f t="shared" ca="1" si="4"/>
        <v>00:08:55,440</v>
      </c>
      <c r="E161" t="str">
        <f t="shared" ca="1" si="5"/>
        <v>00:09:00,240</v>
      </c>
    </row>
    <row r="162" spans="1:5" x14ac:dyDescent="0.3">
      <c r="A162">
        <f ca="1">OFFSET(srt_raw!$A$1,(ROW()-1)*4+COLUMN()-1,0)</f>
        <v>162</v>
      </c>
      <c r="B162" t="str">
        <f ca="1">OFFSET(srt_raw!$A$1,(ROW()-1)*4+COLUMN()-1,0)</f>
        <v>00:09:00,560 --&gt; 00:09:03,720</v>
      </c>
      <c r="C162" t="str">
        <f ca="1">OFFSET(srt_raw!$A$1,(ROW()-1)*4+COLUMN()-1,0)</f>
        <v>并且元素之间的关系满足十字偶校验约束，</v>
      </c>
      <c r="D162" t="str">
        <f t="shared" ca="1" si="4"/>
        <v>00:09:00,560</v>
      </c>
      <c r="E162" t="str">
        <f t="shared" ca="1" si="5"/>
        <v>00:09:03,720</v>
      </c>
    </row>
    <row r="163" spans="1:5" x14ac:dyDescent="0.3">
      <c r="A163">
        <f ca="1">OFFSET(srt_raw!$A$1,(ROW()-1)*4+COLUMN()-1,0)</f>
        <v>163</v>
      </c>
      <c r="B163" t="str">
        <f ca="1">OFFSET(srt_raw!$A$1,(ROW()-1)*4+COLUMN()-1,0)</f>
        <v>00:09:03,920 --&gt; 00:09:06,320</v>
      </c>
      <c r="C163" t="str">
        <f ca="1">OFFSET(srt_raw!$A$1,(ROW()-1)*4+COLUMN()-1,0)</f>
        <v>因此整个式子化为了零。</v>
      </c>
      <c r="D163" t="str">
        <f t="shared" ca="1" si="4"/>
        <v>00:09:03,920</v>
      </c>
      <c r="E163" t="str">
        <f t="shared" ca="1" si="5"/>
        <v>00:09:06,320</v>
      </c>
    </row>
    <row r="164" spans="1:5" x14ac:dyDescent="0.3">
      <c r="A164">
        <f ca="1">OFFSET(srt_raw!$A$1,(ROW()-1)*4+COLUMN()-1,0)</f>
        <v>164</v>
      </c>
      <c r="B164" t="str">
        <f ca="1">OFFSET(srt_raw!$A$1,(ROW()-1)*4+COLUMN()-1,0)</f>
        <v>00:09:07,760 --&gt; 00:09:12,720</v>
      </c>
      <c r="C164" t="str">
        <f ca="1">OFFSET(srt_raw!$A$1,(ROW()-1)*4+COLUMN()-1,0)</f>
        <v>现在我们只需要证明最左边的两个矩阵也满足这个性质即可。</v>
      </c>
      <c r="D164" t="str">
        <f t="shared" ca="1" si="4"/>
        <v>00:09:07,760</v>
      </c>
      <c r="E164" t="str">
        <f t="shared" ca="1" si="5"/>
        <v>00:09:12,720</v>
      </c>
    </row>
    <row r="165" spans="1:5" x14ac:dyDescent="0.3">
      <c r="A165">
        <f ca="1">OFFSET(srt_raw!$A$1,(ROW()-1)*4+COLUMN()-1,0)</f>
        <v>165</v>
      </c>
      <c r="B165" t="str">
        <f ca="1">OFFSET(srt_raw!$A$1,(ROW()-1)*4+COLUMN()-1,0)</f>
        <v>00:09:13,200 --&gt; 00:09:14,960</v>
      </c>
      <c r="C165" t="str">
        <f ca="1">OFFSET(srt_raw!$A$1,(ROW()-1)*4+COLUMN()-1,0)</f>
        <v>第一个矩阵是单位矩阵，</v>
      </c>
      <c r="D165" t="str">
        <f t="shared" ca="1" si="4"/>
        <v>00:09:13,200</v>
      </c>
      <c r="E165" t="str">
        <f t="shared" ca="1" si="5"/>
        <v>00:09:14,960</v>
      </c>
    </row>
    <row r="166" spans="1:5" x14ac:dyDescent="0.3">
      <c r="A166">
        <f ca="1">OFFSET(srt_raw!$A$1,(ROW()-1)*4+COLUMN()-1,0)</f>
        <v>166</v>
      </c>
      <c r="B166" t="str">
        <f ca="1">OFFSET(srt_raw!$A$1,(ROW()-1)*4+COLUMN()-1,0)</f>
        <v>00:09:14,960 --&gt; 00:09:17,960</v>
      </c>
      <c r="C166" t="str">
        <f ca="1">OFFSET(srt_raw!$A$1,(ROW()-1)*4+COLUMN()-1,0)</f>
        <v>显然满足这个性质。</v>
      </c>
      <c r="D166" t="str">
        <f t="shared" ca="1" si="4"/>
        <v>00:09:14,960</v>
      </c>
      <c r="E166" t="str">
        <f t="shared" ca="1" si="5"/>
        <v>00:09:17,960</v>
      </c>
    </row>
    <row r="167" spans="1:5" x14ac:dyDescent="0.3">
      <c r="A167">
        <f ca="1">OFFSET(srt_raw!$A$1,(ROW()-1)*4+COLUMN()-1,0)</f>
        <v>167</v>
      </c>
      <c r="B167" t="str">
        <f ca="1">OFFSET(srt_raw!$A$1,(ROW()-1)*4+COLUMN()-1,0)</f>
        <v>00:09:17,960 --&gt; 00:09:21,800</v>
      </c>
      <c r="C167" t="str">
        <f ca="1">OFFSET(srt_raw!$A$1,(ROW()-1)*4+COLUMN()-1,0)</f>
        <v>第二个矩阵可以表示为左边两个矩阵的叠加。</v>
      </c>
      <c r="D167" t="str">
        <f t="shared" ca="1" si="4"/>
        <v>00:09:17,960</v>
      </c>
      <c r="E167" t="str">
        <f t="shared" ca="1" si="5"/>
        <v>00:09:21,800</v>
      </c>
    </row>
    <row r="168" spans="1:5" x14ac:dyDescent="0.3">
      <c r="A168">
        <f ca="1">OFFSET(srt_raw!$A$1,(ROW()-1)*4+COLUMN()-1,0)</f>
        <v>168</v>
      </c>
      <c r="B168" t="str">
        <f ca="1">OFFSET(srt_raw!$A$1,(ROW()-1)*4+COLUMN()-1,0)</f>
        <v>00:09:21,800 --&gt; 00:09:24,080</v>
      </c>
      <c r="C168" t="str">
        <f ca="1">OFFSET(srt_raw!$A$1,(ROW()-1)*4+COLUMN()-1,0)</f>
        <v>由于单位矩阵左边没有矩阵，</v>
      </c>
      <c r="D168" t="str">
        <f t="shared" ca="1" si="4"/>
        <v>00:09:21,800</v>
      </c>
      <c r="E168" t="str">
        <f t="shared" ca="1" si="5"/>
        <v>00:09:24,080</v>
      </c>
    </row>
    <row r="169" spans="1:5" x14ac:dyDescent="0.3">
      <c r="A169">
        <f ca="1">OFFSET(srt_raw!$A$1,(ROW()-1)*4+COLUMN()-1,0)</f>
        <v>169</v>
      </c>
      <c r="B169" t="str">
        <f ca="1">OFFSET(srt_raw!$A$1,(ROW()-1)*4+COLUMN()-1,0)</f>
        <v>00:09:24,080 --&gt; 00:09:28,040</v>
      </c>
      <c r="C169" t="str">
        <f ca="1">OFFSET(srt_raw!$A$1,(ROW()-1)*4+COLUMN()-1,0)</f>
        <v>因此相当于叠加了一个零矩阵。</v>
      </c>
      <c r="D169" t="str">
        <f t="shared" ca="1" si="4"/>
        <v>00:09:24,080</v>
      </c>
      <c r="E169" t="str">
        <f t="shared" ca="1" si="5"/>
        <v>00:09:28,040</v>
      </c>
    </row>
    <row r="170" spans="1:5" x14ac:dyDescent="0.3">
      <c r="A170">
        <f ca="1">OFFSET(srt_raw!$A$1,(ROW()-1)*4+COLUMN()-1,0)</f>
        <v>170</v>
      </c>
      <c r="B170" t="str">
        <f ca="1">OFFSET(srt_raw!$A$1,(ROW()-1)*4+COLUMN()-1,0)</f>
        <v>00:09:28,040 --&gt; 00:09:30,440</v>
      </c>
      <c r="C170" t="str">
        <f ca="1">OFFSET(srt_raw!$A$1,(ROW()-1)*4+COLUMN()-1,0)</f>
        <v>由于零矩阵显然满足这个性质。</v>
      </c>
      <c r="D170" t="str">
        <f t="shared" ca="1" si="4"/>
        <v>00:09:28,040</v>
      </c>
      <c r="E170" t="str">
        <f t="shared" ca="1" si="5"/>
        <v>00:09:30,440</v>
      </c>
    </row>
    <row r="171" spans="1:5" x14ac:dyDescent="0.3">
      <c r="A171">
        <f ca="1">OFFSET(srt_raw!$A$1,(ROW()-1)*4+COLUMN()-1,0)</f>
        <v>171</v>
      </c>
      <c r="B171" t="str">
        <f ca="1">OFFSET(srt_raw!$A$1,(ROW()-1)*4+COLUMN()-1,0)</f>
        <v>00:09:30,560 --&gt; 00:09:31,080</v>
      </c>
      <c r="C171" t="str">
        <f ca="1">OFFSET(srt_raw!$A$1,(ROW()-1)*4+COLUMN()-1,0)</f>
        <v>因此，</v>
      </c>
      <c r="D171" t="str">
        <f t="shared" ca="1" si="4"/>
        <v>00:09:30,560</v>
      </c>
      <c r="E171" t="str">
        <f t="shared" ca="1" si="5"/>
        <v>00:09:31,080</v>
      </c>
    </row>
    <row r="172" spans="1:5" x14ac:dyDescent="0.3">
      <c r="A172">
        <f ca="1">OFFSET(srt_raw!$A$1,(ROW()-1)*4+COLUMN()-1,0)</f>
        <v>172</v>
      </c>
      <c r="B172" t="str">
        <f ca="1">OFFSET(srt_raw!$A$1,(ROW()-1)*4+COLUMN()-1,0)</f>
        <v>00:09:31,080 --&gt; 00:09:33,280</v>
      </c>
      <c r="C172" t="str">
        <f ca="1">OFFSET(srt_raw!$A$1,(ROW()-1)*4+COLUMN()-1,0)</f>
        <v>第二个矩阵也满足这个性质，</v>
      </c>
      <c r="D172" t="str">
        <f t="shared" ca="1" si="4"/>
        <v>00:09:31,080</v>
      </c>
      <c r="E172" t="str">
        <f t="shared" ca="1" si="5"/>
        <v>00:09:33,280</v>
      </c>
    </row>
    <row r="173" spans="1:5" x14ac:dyDescent="0.3">
      <c r="A173">
        <f ca="1">OFFSET(srt_raw!$A$1,(ROW()-1)*4+COLUMN()-1,0)</f>
        <v>173</v>
      </c>
      <c r="B173" t="str">
        <f ca="1">OFFSET(srt_raw!$A$1,(ROW()-1)*4+COLUMN()-1,0)</f>
        <v>00:09:34,800 --&gt; 00:09:36,760</v>
      </c>
      <c r="C173" t="str">
        <f ca="1">OFFSET(srt_raw!$A$1,(ROW()-1)*4+COLUMN()-1,0)</f>
        <v>因为BN有了这个性质，</v>
      </c>
      <c r="D173" t="str">
        <f t="shared" ca="1" si="4"/>
        <v>00:09:34,800</v>
      </c>
      <c r="E173" t="str">
        <f t="shared" ca="1" si="5"/>
        <v>00:09:36,760</v>
      </c>
    </row>
    <row r="174" spans="1:5" x14ac:dyDescent="0.3">
      <c r="A174">
        <f ca="1">OFFSET(srt_raw!$A$1,(ROW()-1)*4+COLUMN()-1,0)</f>
        <v>174</v>
      </c>
      <c r="B174" t="str">
        <f ca="1">OFFSET(srt_raw!$A$1,(ROW()-1)*4+COLUMN()-1,0)</f>
        <v>00:09:36,960 --&gt; 00:09:39,200</v>
      </c>
      <c r="C174" t="str">
        <f ca="1">OFFSET(srt_raw!$A$1,(ROW()-1)*4+COLUMN()-1,0)</f>
        <v>我们只需要知道BN的第一行，</v>
      </c>
      <c r="D174" t="str">
        <f t="shared" ca="1" si="4"/>
        <v>00:09:36,960</v>
      </c>
      <c r="E174" t="str">
        <f t="shared" ca="1" si="5"/>
        <v>00:09:39,200</v>
      </c>
    </row>
    <row r="175" spans="1:5" x14ac:dyDescent="0.3">
      <c r="A175">
        <f ca="1">OFFSET(srt_raw!$A$1,(ROW()-1)*4+COLUMN()-1,0)</f>
        <v>175</v>
      </c>
      <c r="B175" t="str">
        <f ca="1">OFFSET(srt_raw!$A$1,(ROW()-1)*4+COLUMN()-1,0)</f>
        <v>00:09:39,360 --&gt; 00:09:41,760</v>
      </c>
      <c r="C175" t="str">
        <f ca="1">OFFSET(srt_raw!$A$1,(ROW()-1)*4+COLUMN()-1,0)</f>
        <v>就能通过公式推导出后续的行，</v>
      </c>
      <c r="D175" t="str">
        <f t="shared" ca="1" si="4"/>
        <v>00:09:39,360</v>
      </c>
      <c r="E175" t="str">
        <f t="shared" ca="1" si="5"/>
        <v>00:09:41,760</v>
      </c>
    </row>
    <row r="176" spans="1:5" x14ac:dyDescent="0.3">
      <c r="A176">
        <f ca="1">OFFSET(srt_raw!$A$1,(ROW()-1)*4+COLUMN()-1,0)</f>
        <v>176</v>
      </c>
      <c r="B176" t="str">
        <f ca="1">OFFSET(srt_raw!$A$1,(ROW()-1)*4+COLUMN()-1,0)</f>
        <v>00:09:41,920 --&gt; 00:09:43,760</v>
      </c>
      <c r="C176" t="str">
        <f ca="1">OFFSET(srt_raw!$A$1,(ROW()-1)*4+COLUMN()-1,0)</f>
        <v>求得完整的矩阵BN。</v>
      </c>
      <c r="D176" t="str">
        <f t="shared" ca="1" si="4"/>
        <v>00:09:41,920</v>
      </c>
      <c r="E176" t="str">
        <f t="shared" ca="1" si="5"/>
        <v>00:09:43,760</v>
      </c>
    </row>
    <row r="177" spans="1:5" x14ac:dyDescent="0.3">
      <c r="A177">
        <f ca="1">OFFSET(srt_raw!$A$1,(ROW()-1)*4+COLUMN()-1,0)</f>
        <v>177</v>
      </c>
      <c r="B177" t="str">
        <f ca="1">OFFSET(srt_raw!$A$1,(ROW()-1)*4+COLUMN()-1,0)</f>
        <v>00:09:45,360 --&gt; 00:09:48,040</v>
      </c>
      <c r="C177" t="str">
        <f ca="1">OFFSET(srt_raw!$A$1,(ROW()-1)*4+COLUMN()-1,0)</f>
        <v>为了实现ON的二次方次算法，</v>
      </c>
      <c r="D177" t="str">
        <f t="shared" ca="1" si="4"/>
        <v>00:09:45,360</v>
      </c>
      <c r="E177" t="str">
        <f t="shared" ca="1" si="5"/>
        <v>00:09:48,040</v>
      </c>
    </row>
    <row r="178" spans="1:5" x14ac:dyDescent="0.3">
      <c r="A178">
        <f ca="1">OFFSET(srt_raw!$A$1,(ROW()-1)*4+COLUMN()-1,0)</f>
        <v>178</v>
      </c>
      <c r="B178" t="str">
        <f ca="1">OFFSET(srt_raw!$A$1,(ROW()-1)*4+COLUMN()-1,0)</f>
        <v>00:09:48,160 --&gt; 00:09:50,160</v>
      </c>
      <c r="C178" t="str">
        <f ca="1">OFFSET(srt_raw!$A$1,(ROW()-1)*4+COLUMN()-1,0)</f>
        <v>我们也需要用到类似的方法，</v>
      </c>
      <c r="D178" t="str">
        <f t="shared" ca="1" si="4"/>
        <v>00:09:48,160</v>
      </c>
      <c r="E178" t="str">
        <f t="shared" ca="1" si="5"/>
        <v>00:09:50,160</v>
      </c>
    </row>
    <row r="179" spans="1:5" x14ac:dyDescent="0.3">
      <c r="A179">
        <f ca="1">OFFSET(srt_raw!$A$1,(ROW()-1)*4+COLUMN()-1,0)</f>
        <v>179</v>
      </c>
      <c r="B179" t="str">
        <f ca="1">OFFSET(srt_raw!$A$1,(ROW()-1)*4+COLUMN()-1,0)</f>
        <v>00:09:50,400 --&gt; 00:09:52,800</v>
      </c>
      <c r="C179" t="str">
        <f ca="1">OFFSET(srt_raw!$A$1,(ROW()-1)*4+COLUMN()-1,0)</f>
        <v>尽量不去对整个矩阵进行操作，</v>
      </c>
      <c r="D179" t="str">
        <f t="shared" ca="1" si="4"/>
        <v>00:09:50,400</v>
      </c>
      <c r="E179" t="str">
        <f t="shared" ca="1" si="5"/>
        <v>00:09:52,800</v>
      </c>
    </row>
    <row r="180" spans="1:5" x14ac:dyDescent="0.3">
      <c r="A180">
        <f ca="1">OFFSET(srt_raw!$A$1,(ROW()-1)*4+COLUMN()-1,0)</f>
        <v>180</v>
      </c>
      <c r="B180" t="str">
        <f ca="1">OFFSET(srt_raw!$A$1,(ROW()-1)*4+COLUMN()-1,0)</f>
        <v>00:09:52,960 --&gt; 00:09:55,560</v>
      </c>
      <c r="C180" t="str">
        <f ca="1">OFFSET(srt_raw!$A$1,(ROW()-1)*4+COLUMN()-1,0)</f>
        <v>而是通过第一行来求逆或求解。</v>
      </c>
      <c r="D180" t="str">
        <f t="shared" ca="1" si="4"/>
        <v>00:09:52,960</v>
      </c>
      <c r="E180" t="str">
        <f t="shared" ca="1" si="5"/>
        <v>00:09:55,560</v>
      </c>
    </row>
    <row r="181" spans="1:5" x14ac:dyDescent="0.3">
      <c r="A181">
        <f ca="1">OFFSET(srt_raw!$A$1,(ROW()-1)*4+COLUMN()-1,0)</f>
        <v>181</v>
      </c>
      <c r="B181" t="str">
        <f ca="1">OFFSET(srt_raw!$A$1,(ROW()-1)*4+COLUMN()-1,0)</f>
        <v>00:09:57,200 --&gt; 00:09:58,920</v>
      </c>
      <c r="C181" t="str">
        <f ca="1">OFFSET(srt_raw!$A$1,(ROW()-1)*4+COLUMN()-1,0)</f>
        <v>我们以N等于7为例。</v>
      </c>
      <c r="D181" t="str">
        <f t="shared" ca="1" si="4"/>
        <v>00:09:57,200</v>
      </c>
      <c r="E181" t="str">
        <f t="shared" ca="1" si="5"/>
        <v>00:09:58,920</v>
      </c>
    </row>
    <row r="182" spans="1:5" x14ac:dyDescent="0.3">
      <c r="A182">
        <f ca="1">OFFSET(srt_raw!$A$1,(ROW()-1)*4+COLUMN()-1,0)</f>
        <v>182</v>
      </c>
      <c r="B182" t="str">
        <f ca="1">OFFSET(srt_raw!$A$1,(ROW()-1)*4+COLUMN()-1,0)</f>
        <v>00:09:59,440 --&gt; 00:10:02,640</v>
      </c>
      <c r="C182" t="str">
        <f ca="1">OFFSET(srt_raw!$A$1,(ROW()-1)*4+COLUMN()-1,0)</f>
        <v>这里的B就是前面提到的按钮矩阵BN，</v>
      </c>
      <c r="D182" t="str">
        <f t="shared" ca="1" si="4"/>
        <v>00:09:59,440</v>
      </c>
      <c r="E182" t="str">
        <f t="shared" ca="1" si="5"/>
        <v>00:10:02,640</v>
      </c>
    </row>
    <row r="183" spans="1:5" x14ac:dyDescent="0.3">
      <c r="A183">
        <f ca="1">OFFSET(srt_raw!$A$1,(ROW()-1)*4+COLUMN()-1,0)</f>
        <v>183</v>
      </c>
      <c r="B183" t="str">
        <f ca="1">OFFSET(srt_raw!$A$1,(ROW()-1)*4+COLUMN()-1,0)</f>
        <v>00:10:02,880 --&gt; 00:10:05,440</v>
      </c>
      <c r="C183" t="str">
        <f ca="1">OFFSET(srt_raw!$A$1,(ROW()-1)*4+COLUMN()-1,0)</f>
        <v>而Y就是翻转向量的最后一行，</v>
      </c>
      <c r="D183" t="str">
        <f t="shared" ca="1" si="4"/>
        <v>00:10:02,880</v>
      </c>
      <c r="E183" t="str">
        <f t="shared" ca="1" si="5"/>
        <v>00:10:05,440</v>
      </c>
    </row>
    <row r="184" spans="1:5" x14ac:dyDescent="0.3">
      <c r="A184">
        <f ca="1">OFFSET(srt_raw!$A$1,(ROW()-1)*4+COLUMN()-1,0)</f>
        <v>184</v>
      </c>
      <c r="B184" t="str">
        <f ca="1">OFFSET(srt_raw!$A$1,(ROW()-1)*4+COLUMN()-1,0)</f>
        <v>00:10:05,600 --&gt; 00:10:07,440</v>
      </c>
      <c r="C184" t="str">
        <f ca="1">OFFSET(srt_raw!$A$1,(ROW()-1)*4+COLUMN()-1,0)</f>
        <v>即BN的增广向量。</v>
      </c>
      <c r="D184" t="str">
        <f t="shared" ca="1" si="4"/>
        <v>00:10:05,600</v>
      </c>
      <c r="E184" t="str">
        <f t="shared" ca="1" si="5"/>
        <v>00:10:07,440</v>
      </c>
    </row>
    <row r="185" spans="1:5" x14ac:dyDescent="0.3">
      <c r="A185">
        <f ca="1">OFFSET(srt_raw!$A$1,(ROW()-1)*4+COLUMN()-1,0)</f>
        <v>185</v>
      </c>
      <c r="B185" t="str">
        <f ca="1">OFFSET(srt_raw!$A$1,(ROW()-1)*4+COLUMN()-1,0)</f>
        <v>00:10:08,960 --&gt; 00:10:12,160</v>
      </c>
      <c r="C185" t="str">
        <f ca="1">OFFSET(srt_raw!$A$1,(ROW()-1)*4+COLUMN()-1,0)</f>
        <v>我们的目标是对于BX等于Y，</v>
      </c>
      <c r="D185" t="str">
        <f t="shared" ca="1" si="4"/>
        <v>00:10:08,960</v>
      </c>
      <c r="E185" t="str">
        <f t="shared" ca="1" si="5"/>
        <v>00:10:12,160</v>
      </c>
    </row>
    <row r="186" spans="1:5" x14ac:dyDescent="0.3">
      <c r="A186">
        <f ca="1">OFFSET(srt_raw!$A$1,(ROW()-1)*4+COLUMN()-1,0)</f>
        <v>186</v>
      </c>
      <c r="B186" t="str">
        <f ca="1">OFFSET(srt_raw!$A$1,(ROW()-1)*4+COLUMN()-1,0)</f>
        <v>00:10:12,320 --&gt; 00:10:17,000</v>
      </c>
      <c r="C186" t="str">
        <f ca="1">OFFSET(srt_raw!$A$1,(ROW()-1)*4+COLUMN()-1,0)</f>
        <v>在已知B的第一行和Y的情况下求X。</v>
      </c>
      <c r="D186" t="str">
        <f t="shared" ca="1" si="4"/>
        <v>00:10:12,320</v>
      </c>
      <c r="E186" t="str">
        <f t="shared" ca="1" si="5"/>
        <v>00:10:17,000</v>
      </c>
    </row>
    <row r="187" spans="1:5" x14ac:dyDescent="0.3">
      <c r="A187">
        <f ca="1">OFFSET(srt_raw!$A$1,(ROW()-1)*4+COLUMN()-1,0)</f>
        <v>187</v>
      </c>
      <c r="B187" t="str">
        <f ca="1">OFFSET(srt_raw!$A$1,(ROW()-1)*4+COLUMN()-1,0)</f>
        <v>00:10:17,000 --&gt; 00:10:20,680</v>
      </c>
      <c r="C187" t="str">
        <f ca="1">OFFSET(srt_raw!$A$1,(ROW()-1)*4+COLUMN()-1,0)</f>
        <v>如果将N在不同情况下的B的第一行写在一起，</v>
      </c>
      <c r="D187" t="str">
        <f t="shared" ca="1" si="4"/>
        <v>00:10:17,000</v>
      </c>
      <c r="E187" t="str">
        <f t="shared" ca="1" si="5"/>
        <v>00:10:20,680</v>
      </c>
    </row>
    <row r="188" spans="1:5" x14ac:dyDescent="0.3">
      <c r="A188">
        <f ca="1">OFFSET(srt_raw!$A$1,(ROW()-1)*4+COLUMN()-1,0)</f>
        <v>188</v>
      </c>
      <c r="B188" t="str">
        <f ca="1">OFFSET(srt_raw!$A$1,(ROW()-1)*4+COLUMN()-1,0)</f>
        <v>00:10:20,680 --&gt; 00:10:22,640</v>
      </c>
      <c r="C188" t="str">
        <f ca="1">OFFSET(srt_raw!$A$1,(ROW()-1)*4+COLUMN()-1,0)</f>
        <v>矩阵长这样即为B撇。</v>
      </c>
      <c r="D188" t="str">
        <f t="shared" ca="1" si="4"/>
        <v>00:10:20,680</v>
      </c>
      <c r="E188" t="str">
        <f t="shared" ca="1" si="5"/>
        <v>00:10:22,640</v>
      </c>
    </row>
    <row r="189" spans="1:5" x14ac:dyDescent="0.3">
      <c r="A189">
        <f ca="1">OFFSET(srt_raw!$A$1,(ROW()-1)*4+COLUMN()-1,0)</f>
        <v>189</v>
      </c>
      <c r="B189" t="str">
        <f ca="1">OFFSET(srt_raw!$A$1,(ROW()-1)*4+COLUMN()-1,0)</f>
        <v>00:10:24,160 --&gt; 00:10:29,200</v>
      </c>
      <c r="C189" t="str">
        <f ca="1">OFFSET(srt_raw!$A$1,(ROW()-1)*4+COLUMN()-1,0)</f>
        <v>注意这里的B撇矩阵不是刚才说的当N确定时的完整的矩阵B。</v>
      </c>
      <c r="D189" t="str">
        <f t="shared" ca="1" si="4"/>
        <v>00:10:24,160</v>
      </c>
      <c r="E189" t="str">
        <f t="shared" ca="1" si="5"/>
        <v>00:10:29,200</v>
      </c>
    </row>
    <row r="190" spans="1:5" x14ac:dyDescent="0.3">
      <c r="A190">
        <f ca="1">OFFSET(srt_raw!$A$1,(ROW()-1)*4+COLUMN()-1,0)</f>
        <v>190</v>
      </c>
      <c r="B190" t="str">
        <f ca="1">OFFSET(srt_raw!$A$1,(ROW()-1)*4+COLUMN()-1,0)</f>
        <v>00:10:29,520 --&gt; 00:10:33,720</v>
      </c>
      <c r="C190" t="str">
        <f ca="1">OFFSET(srt_raw!$A$1,(ROW()-1)*4+COLUMN()-1,0)</f>
        <v>而是BN的第一行拼接起来的结果，</v>
      </c>
      <c r="D190" t="str">
        <f t="shared" ca="1" si="4"/>
        <v>00:10:29,520</v>
      </c>
      <c r="E190" t="str">
        <f t="shared" ca="1" si="5"/>
        <v>00:10:33,720</v>
      </c>
    </row>
    <row r="191" spans="1:5" x14ac:dyDescent="0.3">
      <c r="A191">
        <f ca="1">OFFSET(srt_raw!$A$1,(ROW()-1)*4+COLUMN()-1,0)</f>
        <v>191</v>
      </c>
      <c r="B191" t="str">
        <f ca="1">OFFSET(srt_raw!$A$1,(ROW()-1)*4+COLUMN()-1,0)</f>
        <v>00:10:33,720 --&gt; 00:10:35,920</v>
      </c>
      <c r="C191" t="str">
        <f ca="1">OFFSET(srt_raw!$A$1,(ROW()-1)*4+COLUMN()-1,0)</f>
        <v>另外这里从n等于零开始，</v>
      </c>
      <c r="D191" t="str">
        <f t="shared" ca="1" si="4"/>
        <v>00:10:33,720</v>
      </c>
      <c r="E191" t="str">
        <f t="shared" ca="1" si="5"/>
        <v>00:10:35,920</v>
      </c>
    </row>
    <row r="192" spans="1:5" x14ac:dyDescent="0.3">
      <c r="A192">
        <f ca="1">OFFSET(srt_raw!$A$1,(ROW()-1)*4+COLUMN()-1,0)</f>
        <v>192</v>
      </c>
      <c r="B192" t="str">
        <f ca="1">OFFSET(srt_raw!$A$1,(ROW()-1)*4+COLUMN()-1,0)</f>
        <v>00:10:35,920 --&gt; 00:10:37,320</v>
      </c>
      <c r="C192" t="str">
        <f ca="1">OFFSET(srt_raw!$A$1,(ROW()-1)*4+COLUMN()-1,0)</f>
        <v>一共递推n次，</v>
      </c>
      <c r="D192" t="str">
        <f t="shared" ca="1" si="4"/>
        <v>00:10:35,920</v>
      </c>
      <c r="E192" t="str">
        <f t="shared" ca="1" si="5"/>
        <v>00:10:37,320</v>
      </c>
    </row>
    <row r="193" spans="1:5" x14ac:dyDescent="0.3">
      <c r="A193">
        <f ca="1">OFFSET(srt_raw!$A$1,(ROW()-1)*4+COLUMN()-1,0)</f>
        <v>193</v>
      </c>
      <c r="B193" t="str">
        <f ca="1">OFFSET(srt_raw!$A$1,(ROW()-1)*4+COLUMN()-1,0)</f>
        <v>00:10:37,320 --&gt; 00:10:40,520</v>
      </c>
      <c r="C193" t="str">
        <f ca="1">OFFSET(srt_raw!$A$1,(ROW()-1)*4+COLUMN()-1,0)</f>
        <v>最后一个一不包含在矩阵B的第一行内，</v>
      </c>
      <c r="D193" t="str">
        <f t="shared" ca="1" si="4"/>
        <v>00:10:37,320</v>
      </c>
      <c r="E193" t="str">
        <f t="shared" ca="1" si="5"/>
        <v>00:10:40,520</v>
      </c>
    </row>
    <row r="194" spans="1:5" x14ac:dyDescent="0.3">
      <c r="A194">
        <f ca="1">OFFSET(srt_raw!$A$1,(ROW()-1)*4+COLUMN()-1,0)</f>
        <v>194</v>
      </c>
      <c r="B194" t="str">
        <f ca="1">OFFSET(srt_raw!$A$1,(ROW()-1)*4+COLUMN()-1,0)</f>
        <v>00:10:41,040 --&gt; 00:10:42,560</v>
      </c>
      <c r="C194" t="str">
        <f ca="1">OFFSET(srt_raw!$A$1,(ROW()-1)*4+COLUMN()-1,0)</f>
        <v>例如n等于70，</v>
      </c>
      <c r="D194" t="str">
        <f t="shared" ref="D194:D257" ca="1" si="6">LEFT(B194,12)</f>
        <v>00:10:41,040</v>
      </c>
      <c r="E194" t="str">
        <f t="shared" ref="E194:E257" ca="1" si="7">RIGHT(B194,12)</f>
        <v>00:10:42,560</v>
      </c>
    </row>
    <row r="195" spans="1:5" x14ac:dyDescent="0.3">
      <c r="A195">
        <f ca="1">OFFSET(srt_raw!$A$1,(ROW()-1)*4+COLUMN()-1,0)</f>
        <v>195</v>
      </c>
      <c r="B195" t="str">
        <f ca="1">OFFSET(srt_raw!$A$1,(ROW()-1)*4+COLUMN()-1,0)</f>
        <v>00:10:42,880 --&gt; 00:10:45,120</v>
      </c>
      <c r="C195" t="str">
        <f ca="1">OFFSET(srt_raw!$A$1,(ROW()-1)*4+COLUMN()-1,0)</f>
        <v>第一行为1011011，</v>
      </c>
      <c r="D195" t="str">
        <f t="shared" ca="1" si="6"/>
        <v>00:10:42,880</v>
      </c>
      <c r="E195" t="str">
        <f t="shared" ca="1" si="7"/>
        <v>00:10:45,120</v>
      </c>
    </row>
    <row r="196" spans="1:5" x14ac:dyDescent="0.3">
      <c r="A196">
        <f ca="1">OFFSET(srt_raw!$A$1,(ROW()-1)*4+COLUMN()-1,0)</f>
        <v>196</v>
      </c>
      <c r="B196" t="str">
        <f ca="1">OFFSET(srt_raw!$A$1,(ROW()-1)*4+COLUMN()-1,0)</f>
        <v>00:10:45,120 --&gt; 00:10:48,120</v>
      </c>
      <c r="C196" t="str">
        <f ca="1">OFFSET(srt_raw!$A$1,(ROW()-1)*4+COLUMN()-1,0)</f>
        <v>最后一个一省去，</v>
      </c>
      <c r="D196" t="str">
        <f t="shared" ca="1" si="6"/>
        <v>00:10:45,120</v>
      </c>
      <c r="E196" t="str">
        <f t="shared" ca="1" si="7"/>
        <v>00:10:48,120</v>
      </c>
    </row>
    <row r="197" spans="1:5" x14ac:dyDescent="0.3">
      <c r="A197">
        <f ca="1">OFFSET(srt_raw!$A$1,(ROW()-1)*4+COLUMN()-1,0)</f>
        <v>197</v>
      </c>
      <c r="B197" t="str">
        <f ca="1">OFFSET(srt_raw!$A$1,(ROW()-1)*4+COLUMN()-1,0)</f>
        <v>00:10:48,120 --&gt; 00:10:51,400</v>
      </c>
      <c r="C197" t="str">
        <f ca="1">OFFSET(srt_raw!$A$1,(ROW()-1)*4+COLUMN()-1,0)</f>
        <v>改写后的矩阵记为B撇撇等于B撇加i，</v>
      </c>
      <c r="D197" t="str">
        <f t="shared" ca="1" si="6"/>
        <v>00:10:48,120</v>
      </c>
      <c r="E197" t="str">
        <f t="shared" ca="1" si="7"/>
        <v>00:10:51,400</v>
      </c>
    </row>
    <row r="198" spans="1:5" x14ac:dyDescent="0.3">
      <c r="A198">
        <f ca="1">OFFSET(srt_raw!$A$1,(ROW()-1)*4+COLUMN()-1,0)</f>
        <v>198</v>
      </c>
      <c r="B198" t="str">
        <f ca="1">OFFSET(srt_raw!$A$1,(ROW()-1)*4+COLUMN()-1,0)</f>
        <v>00:10:52,880 --&gt; 00:10:55,320</v>
      </c>
      <c r="C198" t="str">
        <f ca="1">OFFSET(srt_raw!$A$1,(ROW()-1)*4+COLUMN()-1,0)</f>
        <v>把y的第一行写在一起是这样的，</v>
      </c>
      <c r="D198" t="str">
        <f t="shared" ca="1" si="6"/>
        <v>00:10:52,880</v>
      </c>
      <c r="E198" t="str">
        <f t="shared" ca="1" si="7"/>
        <v>00:10:55,320</v>
      </c>
    </row>
    <row r="199" spans="1:5" x14ac:dyDescent="0.3">
      <c r="A199">
        <f ca="1">OFFSET(srt_raw!$A$1,(ROW()-1)*4+COLUMN()-1,0)</f>
        <v>199</v>
      </c>
      <c r="B199" t="str">
        <f ca="1">OFFSET(srt_raw!$A$1,(ROW()-1)*4+COLUMN()-1,0)</f>
        <v>00:10:55,320 --&gt; 00:10:56,240</v>
      </c>
      <c r="C199" t="str">
        <f ca="1">OFFSET(srt_raw!$A$1,(ROW()-1)*4+COLUMN()-1,0)</f>
        <v>记为y撇。</v>
      </c>
      <c r="D199" t="str">
        <f t="shared" ca="1" si="6"/>
        <v>00:10:55,320</v>
      </c>
      <c r="E199" t="str">
        <f t="shared" ca="1" si="7"/>
        <v>00:10:56,240</v>
      </c>
    </row>
    <row r="200" spans="1:5" x14ac:dyDescent="0.3">
      <c r="A200">
        <f ca="1">OFFSET(srt_raw!$A$1,(ROW()-1)*4+COLUMN()-1,0)</f>
        <v>200</v>
      </c>
      <c r="B200" t="str">
        <f ca="1">OFFSET(srt_raw!$A$1,(ROW()-1)*4+COLUMN()-1,0)</f>
        <v>00:10:57,920 --&gt; 00:10:59,360</v>
      </c>
      <c r="C200" t="str">
        <f ca="1">OFFSET(srt_raw!$A$1,(ROW()-1)*4+COLUMN()-1,0)</f>
        <v>合并在一起后的Y，</v>
      </c>
      <c r="D200" t="str">
        <f t="shared" ca="1" si="6"/>
        <v>00:10:57,920</v>
      </c>
      <c r="E200" t="str">
        <f t="shared" ca="1" si="7"/>
        <v>00:10:59,360</v>
      </c>
    </row>
    <row r="201" spans="1:5" x14ac:dyDescent="0.3">
      <c r="A201">
        <f ca="1">OFFSET(srt_raw!$A$1,(ROW()-1)*4+COLUMN()-1,0)</f>
        <v>201</v>
      </c>
      <c r="B201" t="str">
        <f ca="1">OFFSET(srt_raw!$A$1,(ROW()-1)*4+COLUMN()-1,0)</f>
        <v>00:10:59,360 --&gt; 00:11:02,320</v>
      </c>
      <c r="C201" t="str">
        <f ca="1">OFFSET(srt_raw!$A$1,(ROW()-1)*4+COLUMN()-1,0)</f>
        <v>撇有以上递推公式。</v>
      </c>
      <c r="D201" t="str">
        <f t="shared" ca="1" si="6"/>
        <v>00:10:59,360</v>
      </c>
      <c r="E201" t="str">
        <f t="shared" ca="1" si="7"/>
        <v>00:11:02,320</v>
      </c>
    </row>
    <row r="202" spans="1:5" x14ac:dyDescent="0.3">
      <c r="A202">
        <f ca="1">OFFSET(srt_raw!$A$1,(ROW()-1)*4+COLUMN()-1,0)</f>
        <v>202</v>
      </c>
      <c r="B202" t="str">
        <f ca="1">OFFSET(srt_raw!$A$1,(ROW()-1)*4+COLUMN()-1,0)</f>
        <v>00:11:02,320 --&gt; 00:11:04,400</v>
      </c>
      <c r="C202" t="str">
        <f ca="1">OFFSET(srt_raw!$A$1,(ROW()-1)*4+COLUMN()-1,0)</f>
        <v>为了不对整个矩阵进行操作，</v>
      </c>
      <c r="D202" t="str">
        <f t="shared" ca="1" si="6"/>
        <v>00:11:02,320</v>
      </c>
      <c r="E202" t="str">
        <f t="shared" ca="1" si="7"/>
        <v>00:11:04,400</v>
      </c>
    </row>
    <row r="203" spans="1:5" x14ac:dyDescent="0.3">
      <c r="A203">
        <f ca="1">OFFSET(srt_raw!$A$1,(ROW()-1)*4+COLUMN()-1,0)</f>
        <v>203</v>
      </c>
      <c r="B203" t="str">
        <f ca="1">OFFSET(srt_raw!$A$1,(ROW()-1)*4+COLUMN()-1,0)</f>
        <v>00:11:04,400 --&gt; 00:11:06,760</v>
      </c>
      <c r="C203" t="str">
        <f ca="1">OFFSET(srt_raw!$A$1,(ROW()-1)*4+COLUMN()-1,0)</f>
        <v>我们需要将矩阵B进行分解。</v>
      </c>
      <c r="D203" t="str">
        <f t="shared" ca="1" si="6"/>
        <v>00:11:04,400</v>
      </c>
      <c r="E203" t="str">
        <f t="shared" ca="1" si="7"/>
        <v>00:11:06,760</v>
      </c>
    </row>
    <row r="204" spans="1:5" x14ac:dyDescent="0.3">
      <c r="A204">
        <f ca="1">OFFSET(srt_raw!$A$1,(ROW()-1)*4+COLUMN()-1,0)</f>
        <v>204</v>
      </c>
      <c r="B204" t="str">
        <f ca="1">OFFSET(srt_raw!$A$1,(ROW()-1)*4+COLUMN()-1,0)</f>
        <v>00:11:07,280 --&gt; 00:11:09,760</v>
      </c>
      <c r="C204" t="str">
        <f ca="1">OFFSET(srt_raw!$A$1,(ROW()-1)*4+COLUMN()-1,0)</f>
        <v>这里介绍一个非常重要的矩阵H，</v>
      </c>
      <c r="D204" t="str">
        <f t="shared" ca="1" si="6"/>
        <v>00:11:07,280</v>
      </c>
      <c r="E204" t="str">
        <f t="shared" ca="1" si="7"/>
        <v>00:11:09,760</v>
      </c>
    </row>
    <row r="205" spans="1:5" x14ac:dyDescent="0.3">
      <c r="A205">
        <f ca="1">OFFSET(srt_raw!$A$1,(ROW()-1)*4+COLUMN()-1,0)</f>
        <v>205</v>
      </c>
      <c r="B205" t="str">
        <f ca="1">OFFSET(srt_raw!$A$1,(ROW()-1)*4+COLUMN()-1,0)</f>
        <v>00:11:09,920 --&gt; 00:11:11,720</v>
      </c>
      <c r="C205" t="str">
        <f ca="1">OFFSET(srt_raw!$A$1,(ROW()-1)*4+COLUMN()-1,0)</f>
        <v>称为邻接扩散矩阵。</v>
      </c>
      <c r="D205" t="str">
        <f t="shared" ca="1" si="6"/>
        <v>00:11:09,920</v>
      </c>
      <c r="E205" t="str">
        <f t="shared" ca="1" si="7"/>
        <v>00:11:11,720</v>
      </c>
    </row>
    <row r="206" spans="1:5" x14ac:dyDescent="0.3">
      <c r="A206">
        <f ca="1">OFFSET(srt_raw!$A$1,(ROW()-1)*4+COLUMN()-1,0)</f>
        <v>206</v>
      </c>
      <c r="B206" t="str">
        <f ca="1">OFFSET(srt_raw!$A$1,(ROW()-1)*4+COLUMN()-1,0)</f>
        <v>00:11:13,200 --&gt; 00:11:14,840</v>
      </c>
      <c r="C206" t="str">
        <f ca="1">OFFSET(srt_raw!$A$1,(ROW()-1)*4+COLUMN()-1,0)</f>
        <v>对于H的每一个元素，</v>
      </c>
      <c r="D206" t="str">
        <f t="shared" ca="1" si="6"/>
        <v>00:11:13,200</v>
      </c>
      <c r="E206" t="str">
        <f t="shared" ca="1" si="7"/>
        <v>00:11:14,840</v>
      </c>
    </row>
    <row r="207" spans="1:5" x14ac:dyDescent="0.3">
      <c r="A207">
        <f ca="1">OFFSET(srt_raw!$A$1,(ROW()-1)*4+COLUMN()-1,0)</f>
        <v>207</v>
      </c>
      <c r="B207" t="str">
        <f ca="1">OFFSET(srt_raw!$A$1,(ROW()-1)*4+COLUMN()-1,0)</f>
        <v>00:11:14,840 --&gt; 00:11:17,680</v>
      </c>
      <c r="C207" t="str">
        <f ca="1">OFFSET(srt_raw!$A$1,(ROW()-1)*4+COLUMN()-1,0)</f>
        <v>如果X和Y得差为一十取一，</v>
      </c>
      <c r="D207" t="str">
        <f t="shared" ca="1" si="6"/>
        <v>00:11:14,840</v>
      </c>
      <c r="E207" t="str">
        <f t="shared" ca="1" si="7"/>
        <v>00:11:17,680</v>
      </c>
    </row>
    <row r="208" spans="1:5" x14ac:dyDescent="0.3">
      <c r="A208">
        <f ca="1">OFFSET(srt_raw!$A$1,(ROW()-1)*4+COLUMN()-1,0)</f>
        <v>208</v>
      </c>
      <c r="B208" t="str">
        <f ca="1">OFFSET(srt_raw!$A$1,(ROW()-1)*4+COLUMN()-1,0)</f>
        <v>00:11:17,680 --&gt; 00:11:18,600</v>
      </c>
      <c r="C208" t="str">
        <f ca="1">OFFSET(srt_raw!$A$1,(ROW()-1)*4+COLUMN()-1,0)</f>
        <v>否则取零。</v>
      </c>
      <c r="D208" t="str">
        <f t="shared" ca="1" si="6"/>
        <v>00:11:17,680</v>
      </c>
      <c r="E208" t="str">
        <f t="shared" ca="1" si="7"/>
        <v>00:11:18,600</v>
      </c>
    </row>
    <row r="209" spans="1:5" x14ac:dyDescent="0.3">
      <c r="A209">
        <f ca="1">OFFSET(srt_raw!$A$1,(ROW()-1)*4+COLUMN()-1,0)</f>
        <v>209</v>
      </c>
      <c r="B209" t="str">
        <f ca="1">OFFSET(srt_raw!$A$1,(ROW()-1)*4+COLUMN()-1,0)</f>
        <v>00:11:19,040 --&gt; 00:11:21,200</v>
      </c>
      <c r="C209" t="str">
        <f ca="1">OFFSET(srt_raw!$A$1,(ROW()-1)*4+COLUMN()-1,0)</f>
        <v>如果将向量V乘以该矩阵，</v>
      </c>
      <c r="D209" t="str">
        <f t="shared" ca="1" si="6"/>
        <v>00:11:19,040</v>
      </c>
      <c r="E209" t="str">
        <f t="shared" ca="1" si="7"/>
        <v>00:11:21,200</v>
      </c>
    </row>
    <row r="210" spans="1:5" x14ac:dyDescent="0.3">
      <c r="A210">
        <f ca="1">OFFSET(srt_raw!$A$1,(ROW()-1)*4+COLUMN()-1,0)</f>
        <v>210</v>
      </c>
      <c r="B210" t="str">
        <f ca="1">OFFSET(srt_raw!$A$1,(ROW()-1)*4+COLUMN()-1,0)</f>
        <v>00:11:21,280 --&gt; 00:11:25,120</v>
      </c>
      <c r="C210" t="str">
        <f ca="1">OFFSET(srt_raw!$A$1,(ROW()-1)*4+COLUMN()-1,0)</f>
        <v>等同于将向量V的每个元素向左右扩散后叠加。</v>
      </c>
      <c r="D210" t="str">
        <f t="shared" ca="1" si="6"/>
        <v>00:11:21,280</v>
      </c>
      <c r="E210" t="str">
        <f t="shared" ca="1" si="7"/>
        <v>00:11:25,120</v>
      </c>
    </row>
    <row r="211" spans="1:5" x14ac:dyDescent="0.3">
      <c r="A211">
        <f ca="1">OFFSET(srt_raw!$A$1,(ROW()-1)*4+COLUMN()-1,0)</f>
        <v>211</v>
      </c>
      <c r="B211" t="str">
        <f ca="1">OFFSET(srt_raw!$A$1,(ROW()-1)*4+COLUMN()-1,0)</f>
        <v>00:11:26,640 --&gt; 00:11:31,080</v>
      </c>
      <c r="C211" t="str">
        <f ca="1">OFFSET(srt_raw!$A$1,(ROW()-1)*4+COLUMN()-1,0)</f>
        <v>这是因为矩阵的对应行就是向量每个元素左右扩散的结果，</v>
      </c>
      <c r="D211" t="str">
        <f t="shared" ca="1" si="6"/>
        <v>00:11:26,640</v>
      </c>
      <c r="E211" t="str">
        <f t="shared" ca="1" si="7"/>
        <v>00:11:31,080</v>
      </c>
    </row>
    <row r="212" spans="1:5" x14ac:dyDescent="0.3">
      <c r="A212">
        <f ca="1">OFFSET(srt_raw!$A$1,(ROW()-1)*4+COLUMN()-1,0)</f>
        <v>212</v>
      </c>
      <c r="B212" t="str">
        <f ca="1">OFFSET(srt_raw!$A$1,(ROW()-1)*4+COLUMN()-1,0)</f>
        <v>00:11:32,560 --&gt; 00:11:38,240</v>
      </c>
      <c r="C212" t="str">
        <f ca="1">OFFSET(srt_raw!$A$1,(ROW()-1)*4+COLUMN()-1,0)</f>
        <v>不难发现首行叠加法中的各个矩阵B可以用H表示为以上公式，</v>
      </c>
      <c r="D212" t="str">
        <f t="shared" ca="1" si="6"/>
        <v>00:11:32,560</v>
      </c>
      <c r="E212" t="str">
        <f t="shared" ca="1" si="7"/>
        <v>00:11:38,240</v>
      </c>
    </row>
    <row r="213" spans="1:5" x14ac:dyDescent="0.3">
      <c r="A213">
        <f ca="1">OFFSET(srt_raw!$A$1,(ROW()-1)*4+COLUMN()-1,0)</f>
        <v>213</v>
      </c>
      <c r="B213" t="str">
        <f ca="1">OFFSET(srt_raw!$A$1,(ROW()-1)*4+COLUMN()-1,0)</f>
        <v>00:11:39,840 --&gt; 00:11:41,040</v>
      </c>
      <c r="C213" t="str">
        <f ca="1">OFFSET(srt_raw!$A$1,(ROW()-1)*4+COLUMN()-1,0)</f>
        <v>这里B0、</v>
      </c>
      <c r="D213" t="str">
        <f t="shared" ca="1" si="6"/>
        <v>00:11:39,840</v>
      </c>
      <c r="E213" t="str">
        <f t="shared" ca="1" si="7"/>
        <v>00:11:41,040</v>
      </c>
    </row>
    <row r="214" spans="1:5" x14ac:dyDescent="0.3">
      <c r="A214">
        <f ca="1">OFFSET(srt_raw!$A$1,(ROW()-1)*4+COLUMN()-1,0)</f>
        <v>214</v>
      </c>
      <c r="B214" t="str">
        <f ca="1">OFFSET(srt_raw!$A$1,(ROW()-1)*4+COLUMN()-1,0)</f>
        <v>00:11:41,200 --&gt; 00:11:41,880</v>
      </c>
      <c r="C214" t="str">
        <f ca="1">OFFSET(srt_raw!$A$1,(ROW()-1)*4+COLUMN()-1,0)</f>
        <v>B1、</v>
      </c>
      <c r="D214" t="str">
        <f t="shared" ca="1" si="6"/>
        <v>00:11:41,200</v>
      </c>
      <c r="E214" t="str">
        <f t="shared" ca="1" si="7"/>
        <v>00:11:41,880</v>
      </c>
    </row>
    <row r="215" spans="1:5" x14ac:dyDescent="0.3">
      <c r="A215">
        <f ca="1">OFFSET(srt_raw!$A$1,(ROW()-1)*4+COLUMN()-1,0)</f>
        <v>215</v>
      </c>
      <c r="B215" t="str">
        <f ca="1">OFFSET(srt_raw!$A$1,(ROW()-1)*4+COLUMN()-1,0)</f>
        <v>00:11:41,880 --&gt; 00:11:45,040</v>
      </c>
      <c r="C215" t="str">
        <f ca="1">OFFSET(srt_raw!$A$1,(ROW()-1)*4+COLUMN()-1,0)</f>
        <v>B2分别表示为H的不同次数的叠加，</v>
      </c>
      <c r="D215" t="str">
        <f t="shared" ca="1" si="6"/>
        <v>00:11:41,880</v>
      </c>
      <c r="E215" t="str">
        <f t="shared" ca="1" si="7"/>
        <v>00:11:45,040</v>
      </c>
    </row>
    <row r="216" spans="1:5" x14ac:dyDescent="0.3">
      <c r="A216">
        <f ca="1">OFFSET(srt_raw!$A$1,(ROW()-1)*4+COLUMN()-1,0)</f>
        <v>216</v>
      </c>
      <c r="B216" t="str">
        <f ca="1">OFFSET(srt_raw!$A$1,(ROW()-1)*4+COLUMN()-1,0)</f>
        <v>00:11:46,480 --&gt; 00:11:50,080</v>
      </c>
      <c r="C216" t="str">
        <f ca="1">OFFSET(srt_raw!$A$1,(ROW()-1)*4+COLUMN()-1,0)</f>
        <v>将这些H的系数用多项式CNX表示，</v>
      </c>
      <c r="D216" t="str">
        <f t="shared" ca="1" si="6"/>
        <v>00:11:46,480</v>
      </c>
      <c r="E216" t="str">
        <f t="shared" ca="1" si="7"/>
        <v>00:11:50,080</v>
      </c>
    </row>
    <row r="217" spans="1:5" x14ac:dyDescent="0.3">
      <c r="A217">
        <f ca="1">OFFSET(srt_raw!$A$1,(ROW()-1)*4+COLUMN()-1,0)</f>
        <v>217</v>
      </c>
      <c r="B217" t="str">
        <f ca="1">OFFSET(srt_raw!$A$1,(ROW()-1)*4+COLUMN()-1,0)</f>
        <v>00:11:50,080 --&gt; 00:11:52,560</v>
      </c>
      <c r="C217" t="str">
        <f ca="1">OFFSET(srt_raw!$A$1,(ROW()-1)*4+COLUMN()-1,0)</f>
        <v>则有和矩阵B类似的递推公式。</v>
      </c>
      <c r="D217" t="str">
        <f t="shared" ca="1" si="6"/>
        <v>00:11:50,080</v>
      </c>
      <c r="E217" t="str">
        <f t="shared" ca="1" si="7"/>
        <v>00:11:52,560</v>
      </c>
    </row>
    <row r="218" spans="1:5" x14ac:dyDescent="0.3">
      <c r="A218">
        <f ca="1">OFFSET(srt_raw!$A$1,(ROW()-1)*4+COLUMN()-1,0)</f>
        <v>218</v>
      </c>
      <c r="B218" t="str">
        <f ca="1">OFFSET(srt_raw!$A$1,(ROW()-1)*4+COLUMN()-1,0)</f>
        <v>00:11:53,120 --&gt; 00:11:58,200</v>
      </c>
      <c r="C218" t="str">
        <f ca="1">OFFSET(srt_raw!$A$1,(ROW()-1)*4+COLUMN()-1,0)</f>
        <v>同时将系数C写成矩阵的形式记为C，</v>
      </c>
      <c r="D218" t="str">
        <f t="shared" ca="1" si="6"/>
        <v>00:11:53,120</v>
      </c>
      <c r="E218" t="str">
        <f t="shared" ca="1" si="7"/>
        <v>00:11:58,200</v>
      </c>
    </row>
    <row r="219" spans="1:5" x14ac:dyDescent="0.3">
      <c r="A219">
        <f ca="1">OFFSET(srt_raw!$A$1,(ROW()-1)*4+COLUMN()-1,0)</f>
        <v>219</v>
      </c>
      <c r="B219" t="str">
        <f ca="1">OFFSET(srt_raw!$A$1,(ROW()-1)*4+COLUMN()-1,0)</f>
        <v>00:11:58,200 --&gt; 00:12:03,280</v>
      </c>
      <c r="C219" t="str">
        <f ca="1">OFFSET(srt_raw!$A$1,(ROW()-1)*4+COLUMN()-1,0)</f>
        <v>注意这里的乘以H的操作在系数上代表右移而不是左右扩散，</v>
      </c>
      <c r="D219" t="str">
        <f t="shared" ca="1" si="6"/>
        <v>00:11:58,200</v>
      </c>
      <c r="E219" t="str">
        <f t="shared" ca="1" si="7"/>
        <v>00:12:03,280</v>
      </c>
    </row>
    <row r="220" spans="1:5" x14ac:dyDescent="0.3">
      <c r="A220">
        <f ca="1">OFFSET(srt_raw!$A$1,(ROW()-1)*4+COLUMN()-1,0)</f>
        <v>220</v>
      </c>
      <c r="B220" t="str">
        <f ca="1">OFFSET(srt_raw!$A$1,(ROW()-1)*4+COLUMN()-1,0)</f>
        <v>00:12:03,520 --&gt; 00:12:07,360</v>
      </c>
      <c r="C220" t="str">
        <f ca="1">OFFSET(srt_raw!$A$1,(ROW()-1)*4+COLUMN()-1,0)</f>
        <v>因此表达式中只有X减1而没有X加1，</v>
      </c>
      <c r="D220" t="str">
        <f t="shared" ca="1" si="6"/>
        <v>00:12:03,520</v>
      </c>
      <c r="E220" t="str">
        <f t="shared" ca="1" si="7"/>
        <v>00:12:07,360</v>
      </c>
    </row>
    <row r="221" spans="1:5" x14ac:dyDescent="0.3">
      <c r="A221">
        <f ca="1">OFFSET(srt_raw!$A$1,(ROW()-1)*4+COLUMN()-1,0)</f>
        <v>221</v>
      </c>
      <c r="B221" t="str">
        <f ca="1">OFFSET(srt_raw!$A$1,(ROW()-1)*4+COLUMN()-1,0)</f>
        <v>00:12:08,960 --&gt; 00:12:11,400</v>
      </c>
      <c r="C221" t="str">
        <f ca="1">OFFSET(srt_raw!$A$1,(ROW()-1)*4+COLUMN()-1,0)</f>
        <v>现在如果我们将多个H相乘，</v>
      </c>
      <c r="D221" t="str">
        <f t="shared" ca="1" si="6"/>
        <v>00:12:08,960</v>
      </c>
      <c r="E221" t="str">
        <f t="shared" ca="1" si="7"/>
        <v>00:12:11,400</v>
      </c>
    </row>
    <row r="222" spans="1:5" x14ac:dyDescent="0.3">
      <c r="A222">
        <f ca="1">OFFSET(srt_raw!$A$1,(ROW()-1)*4+COLUMN()-1,0)</f>
        <v>222</v>
      </c>
      <c r="B222" t="str">
        <f ca="1">OFFSET(srt_raw!$A$1,(ROW()-1)*4+COLUMN()-1,0)</f>
        <v>00:12:11,400 --&gt; 00:12:13,680</v>
      </c>
      <c r="C222" t="str">
        <f ca="1">OFFSET(srt_raw!$A$1,(ROW()-1)*4+COLUMN()-1,0)</f>
        <v>也就是H的N次方，</v>
      </c>
      <c r="D222" t="str">
        <f t="shared" ca="1" si="6"/>
        <v>00:12:11,400</v>
      </c>
      <c r="E222" t="str">
        <f t="shared" ca="1" si="7"/>
        <v>00:12:13,680</v>
      </c>
    </row>
    <row r="223" spans="1:5" x14ac:dyDescent="0.3">
      <c r="A223">
        <f ca="1">OFFSET(srt_raw!$A$1,(ROW()-1)*4+COLUMN()-1,0)</f>
        <v>223</v>
      </c>
      <c r="B223" t="str">
        <f ca="1">OFFSET(srt_raw!$A$1,(ROW()-1)*4+COLUMN()-1,0)</f>
        <v>00:12:13,680 --&gt; 00:12:16,440</v>
      </c>
      <c r="C223" t="str">
        <f ca="1">OFFSET(srt_raw!$A$1,(ROW()-1)*4+COLUMN()-1,0)</f>
        <v>将其首行H的N次方0拼接起来，</v>
      </c>
      <c r="D223" t="str">
        <f t="shared" ca="1" si="6"/>
        <v>00:12:13,680</v>
      </c>
      <c r="E223" t="str">
        <f t="shared" ca="1" si="7"/>
        <v>00:12:16,440</v>
      </c>
    </row>
    <row r="224" spans="1:5" x14ac:dyDescent="0.3">
      <c r="A224">
        <f ca="1">OFFSET(srt_raw!$A$1,(ROW()-1)*4+COLUMN()-1,0)</f>
        <v>224</v>
      </c>
      <c r="B224" t="str">
        <f ca="1">OFFSET(srt_raw!$A$1,(ROW()-1)*4+COLUMN()-1,0)</f>
        <v>00:12:16,440 --&gt; 00:12:17,880</v>
      </c>
      <c r="C224" t="str">
        <f ca="1">OFFSET(srt_raw!$A$1,(ROW()-1)*4+COLUMN()-1,0)</f>
        <v>看起来像是这样的，</v>
      </c>
      <c r="D224" t="str">
        <f t="shared" ca="1" si="6"/>
        <v>00:12:16,440</v>
      </c>
      <c r="E224" t="str">
        <f t="shared" ca="1" si="7"/>
        <v>00:12:17,880</v>
      </c>
    </row>
    <row r="225" spans="1:5" x14ac:dyDescent="0.3">
      <c r="A225">
        <f ca="1">OFFSET(srt_raw!$A$1,(ROW()-1)*4+COLUMN()-1,0)</f>
        <v>225</v>
      </c>
      <c r="B225" t="str">
        <f ca="1">OFFSET(srt_raw!$A$1,(ROW()-1)*4+COLUMN()-1,0)</f>
        <v>00:12:19,360 --&gt; 00:12:21,600</v>
      </c>
      <c r="C225" t="str">
        <f ca="1">OFFSET(srt_raw!$A$1,(ROW()-1)*4+COLUMN()-1,0)</f>
        <v>我们把这个下三角矩阵记为K。</v>
      </c>
      <c r="D225" t="str">
        <f t="shared" ca="1" si="6"/>
        <v>00:12:19,360</v>
      </c>
      <c r="E225" t="str">
        <f t="shared" ca="1" si="7"/>
        <v>00:12:21,600</v>
      </c>
    </row>
    <row r="226" spans="1:5" x14ac:dyDescent="0.3">
      <c r="A226">
        <f ca="1">OFFSET(srt_raw!$A$1,(ROW()-1)*4+COLUMN()-1,0)</f>
        <v>226</v>
      </c>
      <c r="B226" t="str">
        <f ca="1">OFFSET(srt_raw!$A$1,(ROW()-1)*4+COLUMN()-1,0)</f>
        <v>00:12:21,840 --&gt; 00:12:25,320</v>
      </c>
      <c r="C226" t="str">
        <f ca="1">OFFSET(srt_raw!$A$1,(ROW()-1)*4+COLUMN()-1,0)</f>
        <v>又称克雷洛夫矩阵或扩散机矩阵，</v>
      </c>
      <c r="D226" t="str">
        <f t="shared" ca="1" si="6"/>
        <v>00:12:21,840</v>
      </c>
      <c r="E226" t="str">
        <f t="shared" ca="1" si="7"/>
        <v>00:12:25,320</v>
      </c>
    </row>
    <row r="227" spans="1:5" x14ac:dyDescent="0.3">
      <c r="A227">
        <f ca="1">OFFSET(srt_raw!$A$1,(ROW()-1)*4+COLUMN()-1,0)</f>
        <v>227</v>
      </c>
      <c r="B227" t="str">
        <f ca="1">OFFSET(srt_raw!$A$1,(ROW()-1)*4+COLUMN()-1,0)</f>
        <v>00:12:25,320 --&gt; 00:12:29,280</v>
      </c>
      <c r="C227" t="str">
        <f ca="1">OFFSET(srt_raw!$A$1,(ROW()-1)*4+COLUMN()-1,0)</f>
        <v>对于K的第n行有以上公式，</v>
      </c>
      <c r="D227" t="str">
        <f t="shared" ca="1" si="6"/>
        <v>00:12:25,320</v>
      </c>
      <c r="E227" t="str">
        <f t="shared" ca="1" si="7"/>
        <v>00:12:29,280</v>
      </c>
    </row>
    <row r="228" spans="1:5" x14ac:dyDescent="0.3">
      <c r="A228">
        <f ca="1">OFFSET(srt_raw!$A$1,(ROW()-1)*4+COLUMN()-1,0)</f>
        <v>228</v>
      </c>
      <c r="B228" t="str">
        <f ca="1">OFFSET(srt_raw!$A$1,(ROW()-1)*4+COLUMN()-1,0)</f>
        <v>00:12:29,280 --&gt; 00:12:31,560</v>
      </c>
      <c r="C228" t="str">
        <f ca="1">OFFSET(srt_raw!$A$1,(ROW()-1)*4+COLUMN()-1,0)</f>
        <v>这里后一行是前一行乘以H，</v>
      </c>
      <c r="D228" t="str">
        <f t="shared" ca="1" si="6"/>
        <v>00:12:29,280</v>
      </c>
      <c r="E228" t="str">
        <f t="shared" ca="1" si="7"/>
        <v>00:12:31,560</v>
      </c>
    </row>
    <row r="229" spans="1:5" x14ac:dyDescent="0.3">
      <c r="A229">
        <f ca="1">OFFSET(srt_raw!$A$1,(ROW()-1)*4+COLUMN()-1,0)</f>
        <v>229</v>
      </c>
      <c r="B229" t="str">
        <f ca="1">OFFSET(srt_raw!$A$1,(ROW()-1)*4+COLUMN()-1,0)</f>
        <v>00:12:31,680 --&gt; 00:12:33,600</v>
      </c>
      <c r="C229" t="str">
        <f ca="1">OFFSET(srt_raw!$A$1,(ROW()-1)*4+COLUMN()-1,0)</f>
        <v>也就是前一行的左右扩散，</v>
      </c>
      <c r="D229" t="str">
        <f t="shared" ca="1" si="6"/>
        <v>00:12:31,680</v>
      </c>
      <c r="E229" t="str">
        <f t="shared" ca="1" si="7"/>
        <v>00:12:33,600</v>
      </c>
    </row>
    <row r="230" spans="1:5" x14ac:dyDescent="0.3">
      <c r="A230">
        <f ca="1">OFFSET(srt_raw!$A$1,(ROW()-1)*4+COLUMN()-1,0)</f>
        <v>230</v>
      </c>
      <c r="B230" t="str">
        <f ca="1">OFFSET(srt_raw!$A$1,(ROW()-1)*4+COLUMN()-1,0)</f>
        <v>00:12:34,080 --&gt; 00:12:38,800</v>
      </c>
      <c r="C230" t="str">
        <f ca="1">OFFSET(srt_raw!$A$1,(ROW()-1)*4+COLUMN()-1,0)</f>
        <v>因此对于K的每个元素有以上递推公式，</v>
      </c>
      <c r="D230" t="str">
        <f t="shared" ca="1" si="6"/>
        <v>00:12:34,080</v>
      </c>
      <c r="E230" t="str">
        <f t="shared" ca="1" si="7"/>
        <v>00:12:38,800</v>
      </c>
    </row>
    <row r="231" spans="1:5" x14ac:dyDescent="0.3">
      <c r="A231">
        <f ca="1">OFFSET(srt_raw!$A$1,(ROW()-1)*4+COLUMN()-1,0)</f>
        <v>231</v>
      </c>
      <c r="B231" t="str">
        <f ca="1">OFFSET(srt_raw!$A$1,(ROW()-1)*4+COLUMN()-1,0)</f>
        <v>00:12:38,800 --&gt; 00:12:41,040</v>
      </c>
      <c r="C231" t="str">
        <f ca="1">OFFSET(srt_raw!$A$1,(ROW()-1)*4+COLUMN()-1,0)</f>
        <v>现在定义多项式PX，</v>
      </c>
      <c r="D231" t="str">
        <f t="shared" ca="1" si="6"/>
        <v>00:12:38,800</v>
      </c>
      <c r="E231" t="str">
        <f t="shared" ca="1" si="7"/>
        <v>00:12:41,040</v>
      </c>
    </row>
    <row r="232" spans="1:5" x14ac:dyDescent="0.3">
      <c r="A232">
        <f ca="1">OFFSET(srt_raw!$A$1,(ROW()-1)*4+COLUMN()-1,0)</f>
        <v>232</v>
      </c>
      <c r="B232" t="str">
        <f ca="1">OFFSET(srt_raw!$A$1,(ROW()-1)*4+COLUMN()-1,0)</f>
        <v>00:12:41,520 --&gt; 00:12:46,280</v>
      </c>
      <c r="C232" t="str">
        <f ca="1">OFFSET(srt_raw!$A$1,(ROW()-1)*4+COLUMN()-1,0)</f>
        <v>我们的目标是把B拆分成H的n次方，</v>
      </c>
      <c r="D232" t="str">
        <f t="shared" ca="1" si="6"/>
        <v>00:12:41,520</v>
      </c>
      <c r="E232" t="str">
        <f t="shared" ca="1" si="7"/>
        <v>00:12:46,280</v>
      </c>
    </row>
    <row r="233" spans="1:5" x14ac:dyDescent="0.3">
      <c r="A233">
        <f ca="1">OFFSET(srt_raw!$A$1,(ROW()-1)*4+COLUMN()-1,0)</f>
        <v>233</v>
      </c>
      <c r="B233" t="str">
        <f ca="1">OFFSET(srt_raw!$A$1,(ROW()-1)*4+COLUMN()-1,0)</f>
        <v>00:12:46,280 --&gt; 00:12:49,960</v>
      </c>
      <c r="C233" t="str">
        <f ca="1">OFFSET(srt_raw!$A$1,(ROW()-1)*4+COLUMN()-1,0)</f>
        <v>将矩阵H代入多项式PX得到PH。</v>
      </c>
      <c r="D233" t="str">
        <f t="shared" ca="1" si="6"/>
        <v>00:12:46,280</v>
      </c>
      <c r="E233" t="str">
        <f t="shared" ca="1" si="7"/>
        <v>00:12:49,960</v>
      </c>
    </row>
    <row r="234" spans="1:5" x14ac:dyDescent="0.3">
      <c r="A234">
        <f ca="1">OFFSET(srt_raw!$A$1,(ROW()-1)*4+COLUMN()-1,0)</f>
        <v>234</v>
      </c>
      <c r="B234" t="str">
        <f ca="1">OFFSET(srt_raw!$A$1,(ROW()-1)*4+COLUMN()-1,0)</f>
        <v>00:12:50,160 --&gt; 00:12:51,760</v>
      </c>
      <c r="C234" t="str">
        <f ca="1">OFFSET(srt_raw!$A$1,(ROW()-1)*4+COLUMN()-1,0)</f>
        <v>并用其表示矩阵b，</v>
      </c>
      <c r="D234" t="str">
        <f t="shared" ca="1" si="6"/>
        <v>00:12:50,160</v>
      </c>
      <c r="E234" t="str">
        <f t="shared" ca="1" si="7"/>
        <v>00:12:51,760</v>
      </c>
    </row>
    <row r="235" spans="1:5" x14ac:dyDescent="0.3">
      <c r="A235">
        <f ca="1">OFFSET(srt_raw!$A$1,(ROW()-1)*4+COLUMN()-1,0)</f>
        <v>235</v>
      </c>
      <c r="B235" t="str">
        <f ca="1">OFFSET(srt_raw!$A$1,(ROW()-1)*4+COLUMN()-1,0)</f>
        <v>00:12:53,280 --&gt; 00:12:58,160</v>
      </c>
      <c r="C235" t="str">
        <f ca="1">OFFSET(srt_raw!$A$1,(ROW()-1)*4+COLUMN()-1,0)</f>
        <v>这样原始求x的问题就转化为了phx等于y。</v>
      </c>
      <c r="D235" t="str">
        <f t="shared" ca="1" si="6"/>
        <v>00:12:53,280</v>
      </c>
      <c r="E235" t="str">
        <f t="shared" ca="1" si="7"/>
        <v>00:12:58,160</v>
      </c>
    </row>
    <row r="236" spans="1:5" x14ac:dyDescent="0.3">
      <c r="A236">
        <f ca="1">OFFSET(srt_raw!$A$1,(ROW()-1)*4+COLUMN()-1,0)</f>
        <v>236</v>
      </c>
      <c r="B236" t="str">
        <f ca="1">OFFSET(srt_raw!$A$1,(ROW()-1)*4+COLUMN()-1,0)</f>
        <v>00:12:59,680 --&gt; 00:13:03,520</v>
      </c>
      <c r="C236" t="str">
        <f ca="1">OFFSET(srt_raw!$A$1,(ROW()-1)*4+COLUMN()-1,0)</f>
        <v>现在我们需要把多项式ph的系数计算出来，</v>
      </c>
      <c r="D236" t="str">
        <f t="shared" ca="1" si="6"/>
        <v>00:12:59,680</v>
      </c>
      <c r="E236" t="str">
        <f t="shared" ca="1" si="7"/>
        <v>00:13:03,520</v>
      </c>
    </row>
    <row r="237" spans="1:5" x14ac:dyDescent="0.3">
      <c r="A237">
        <f ca="1">OFFSET(srt_raw!$A$1,(ROW()-1)*4+COLUMN()-1,0)</f>
        <v>237</v>
      </c>
      <c r="B237" t="str">
        <f ca="1">OFFSET(srt_raw!$A$1,(ROW()-1)*4+COLUMN()-1,0)</f>
        <v>00:13:04,000 --&gt; 00:13:06,560</v>
      </c>
      <c r="C237" t="str">
        <f ca="1">OFFSET(srt_raw!$A$1,(ROW()-1)*4+COLUMN()-1,0)</f>
        <v>这个系数构成的向量我们记为p。</v>
      </c>
      <c r="D237" t="str">
        <f t="shared" ca="1" si="6"/>
        <v>00:13:04,000</v>
      </c>
      <c r="E237" t="str">
        <f t="shared" ca="1" si="7"/>
        <v>00:13:06,560</v>
      </c>
    </row>
    <row r="238" spans="1:5" x14ac:dyDescent="0.3">
      <c r="A238">
        <f ca="1">OFFSET(srt_raw!$A$1,(ROW()-1)*4+COLUMN()-1,0)</f>
        <v>238</v>
      </c>
      <c r="B238" t="str">
        <f ca="1">OFFSET(srt_raw!$A$1,(ROW()-1)*4+COLUMN()-1,0)</f>
        <v>00:13:08,080 --&gt; 00:13:09,240</v>
      </c>
      <c r="C238" t="str">
        <f ca="1">OFFSET(srt_raw!$A$1,(ROW()-1)*4+COLUMN()-1,0)</f>
        <v>为了简化运算，</v>
      </c>
      <c r="D238" t="str">
        <f t="shared" ca="1" si="6"/>
        <v>00:13:08,080</v>
      </c>
      <c r="E238" t="str">
        <f t="shared" ca="1" si="7"/>
        <v>00:13:09,240</v>
      </c>
    </row>
    <row r="239" spans="1:5" x14ac:dyDescent="0.3">
      <c r="A239">
        <f ca="1">OFFSET(srt_raw!$A$1,(ROW()-1)*4+COLUMN()-1,0)</f>
        <v>239</v>
      </c>
      <c r="B239" t="str">
        <f ca="1">OFFSET(srt_raw!$A$1,(ROW()-1)*4+COLUMN()-1,0)</f>
        <v>00:13:09,240 --&gt; 00:13:11,440</v>
      </c>
      <c r="C239" t="str">
        <f ca="1">OFFSET(srt_raw!$A$1,(ROW()-1)*4+COLUMN()-1,0)</f>
        <v>我们只关心矩阵第一行b零，</v>
      </c>
      <c r="D239" t="str">
        <f t="shared" ca="1" si="6"/>
        <v>00:13:09,240</v>
      </c>
      <c r="E239" t="str">
        <f t="shared" ca="1" si="7"/>
        <v>00:13:11,440</v>
      </c>
    </row>
    <row r="240" spans="1:5" x14ac:dyDescent="0.3">
      <c r="A240">
        <f ca="1">OFFSET(srt_raw!$A$1,(ROW()-1)*4+COLUMN()-1,0)</f>
        <v>240</v>
      </c>
      <c r="B240" t="str">
        <f ca="1">OFFSET(srt_raw!$A$1,(ROW()-1)*4+COLUMN()-1,0)</f>
        <v>00:13:11,520 --&gt; 00:13:12,240</v>
      </c>
      <c r="C240" t="str">
        <f ca="1">OFFSET(srt_raw!$A$1,(ROW()-1)*4+COLUMN()-1,0)</f>
        <v>记为b。</v>
      </c>
      <c r="D240" t="str">
        <f t="shared" ca="1" si="6"/>
        <v>00:13:11,520</v>
      </c>
      <c r="E240" t="str">
        <f t="shared" ca="1" si="7"/>
        <v>00:13:12,240</v>
      </c>
    </row>
    <row r="241" spans="1:5" x14ac:dyDescent="0.3">
      <c r="A241">
        <f ca="1">OFFSET(srt_raw!$A$1,(ROW()-1)*4+COLUMN()-1,0)</f>
        <v>241</v>
      </c>
      <c r="B241" t="str">
        <f ca="1">OFFSET(srt_raw!$A$1,(ROW()-1)*4+COLUMN()-1,0)</f>
        <v>00:13:12,800 --&gt; 00:13:14,320</v>
      </c>
      <c r="C241" t="str">
        <f ca="1">OFFSET(srt_raw!$A$1,(ROW()-1)*4+COLUMN()-1,0)</f>
        <v>根据刚才k的定义，</v>
      </c>
      <c r="D241" t="str">
        <f t="shared" ca="1" si="6"/>
        <v>00:13:12,800</v>
      </c>
      <c r="E241" t="str">
        <f t="shared" ca="1" si="7"/>
        <v>00:13:14,320</v>
      </c>
    </row>
    <row r="242" spans="1:5" x14ac:dyDescent="0.3">
      <c r="A242">
        <f ca="1">OFFSET(srt_raw!$A$1,(ROW()-1)*4+COLUMN()-1,0)</f>
        <v>242</v>
      </c>
      <c r="B242" t="str">
        <f ca="1">OFFSET(srt_raw!$A$1,(ROW()-1)*4+COLUMN()-1,0)</f>
        <v>00:13:14,320 --&gt; 00:13:16,240</v>
      </c>
      <c r="C242" t="str">
        <f ca="1">OFFSET(srt_raw!$A$1,(ROW()-1)*4+COLUMN()-1,0)</f>
        <v>我们可以得到b等于kp。</v>
      </c>
      <c r="D242" t="str">
        <f t="shared" ca="1" si="6"/>
        <v>00:13:14,320</v>
      </c>
      <c r="E242" t="str">
        <f t="shared" ca="1" si="7"/>
        <v>00:13:16,240</v>
      </c>
    </row>
    <row r="243" spans="1:5" x14ac:dyDescent="0.3">
      <c r="A243">
        <f ca="1">OFFSET(srt_raw!$A$1,(ROW()-1)*4+COLUMN()-1,0)</f>
        <v>243</v>
      </c>
      <c r="B243" t="str">
        <f ca="1">OFFSET(srt_raw!$A$1,(ROW()-1)*4+COLUMN()-1,0)</f>
        <v>00:13:17,840 --&gt; 00:13:18,640</v>
      </c>
      <c r="C243" t="str">
        <f ca="1">OFFSET(srt_raw!$A$1,(ROW()-1)*4+COLUMN()-1,0)</f>
        <v>为了求得P，</v>
      </c>
      <c r="D243" t="str">
        <f t="shared" ca="1" si="6"/>
        <v>00:13:17,840</v>
      </c>
      <c r="E243" t="str">
        <f t="shared" ca="1" si="7"/>
        <v>00:13:18,640</v>
      </c>
    </row>
    <row r="244" spans="1:5" x14ac:dyDescent="0.3">
      <c r="A244">
        <f ca="1">OFFSET(srt_raw!$A$1,(ROW()-1)*4+COLUMN()-1,0)</f>
        <v>244</v>
      </c>
      <c r="B244" t="str">
        <f ca="1">OFFSET(srt_raw!$A$1,(ROW()-1)*4+COLUMN()-1,0)</f>
        <v>00:13:18,640 --&gt; 00:13:21,640</v>
      </c>
      <c r="C244" t="str">
        <f ca="1">OFFSET(srt_raw!$A$1,(ROW()-1)*4+COLUMN()-1,0)</f>
        <v>我们可以将两边同时乘以K的逆矩阵，</v>
      </c>
      <c r="D244" t="str">
        <f t="shared" ca="1" si="6"/>
        <v>00:13:18,640</v>
      </c>
      <c r="E244" t="str">
        <f t="shared" ca="1" si="7"/>
        <v>00:13:21,640</v>
      </c>
    </row>
    <row r="245" spans="1:5" x14ac:dyDescent="0.3">
      <c r="A245">
        <f ca="1">OFFSET(srt_raw!$A$1,(ROW()-1)*4+COLUMN()-1,0)</f>
        <v>245</v>
      </c>
      <c r="B245" t="str">
        <f ca="1">OFFSET(srt_raw!$A$1,(ROW()-1)*4+COLUMN()-1,0)</f>
        <v>00:13:21,640 --&gt; 00:13:22,360</v>
      </c>
      <c r="C245" t="str">
        <f ca="1">OFFSET(srt_raw!$A$1,(ROW()-1)*4+COLUMN()-1,0)</f>
        <v>即为F，</v>
      </c>
      <c r="D245" t="str">
        <f t="shared" ca="1" si="6"/>
        <v>00:13:21,640</v>
      </c>
      <c r="E245" t="str">
        <f t="shared" ca="1" si="7"/>
        <v>00:13:22,360</v>
      </c>
    </row>
    <row r="246" spans="1:5" x14ac:dyDescent="0.3">
      <c r="A246">
        <f ca="1">OFFSET(srt_raw!$A$1,(ROW()-1)*4+COLUMN()-1,0)</f>
        <v>246</v>
      </c>
      <c r="B246" t="str">
        <f ca="1">OFFSET(srt_raw!$A$1,(ROW()-1)*4+COLUMN()-1,0)</f>
        <v>00:13:22,560 --&gt; 00:13:25,520</v>
      </c>
      <c r="C246" t="str">
        <f ca="1">OFFSET(srt_raw!$A$1,(ROW()-1)*4+COLUMN()-1,0)</f>
        <v>又称反克雷洛夫矩阵或结偶矩阵。</v>
      </c>
      <c r="D246" t="str">
        <f t="shared" ca="1" si="6"/>
        <v>00:13:22,560</v>
      </c>
      <c r="E246" t="str">
        <f t="shared" ca="1" si="7"/>
        <v>00:13:25,520</v>
      </c>
    </row>
    <row r="247" spans="1:5" x14ac:dyDescent="0.3">
      <c r="A247">
        <f ca="1">OFFSET(srt_raw!$A$1,(ROW()-1)*4+COLUMN()-1,0)</f>
        <v>247</v>
      </c>
      <c r="B247" t="str">
        <f ca="1">OFFSET(srt_raw!$A$1,(ROW()-1)*4+COLUMN()-1,0)</f>
        <v>00:13:26,960 --&gt; 00:13:29,520</v>
      </c>
      <c r="C247" t="str">
        <f ca="1">OFFSET(srt_raw!$A$1,(ROW()-1)*4+COLUMN()-1,0)</f>
        <v>这个矩阵F也是下三角矩阵，</v>
      </c>
      <c r="D247" t="str">
        <f t="shared" ca="1" si="6"/>
        <v>00:13:26,960</v>
      </c>
      <c r="E247" t="str">
        <f t="shared" ca="1" si="7"/>
        <v>00:13:29,520</v>
      </c>
    </row>
    <row r="248" spans="1:5" x14ac:dyDescent="0.3">
      <c r="A248">
        <f ca="1">OFFSET(srt_raw!$A$1,(ROW()-1)*4+COLUMN()-1,0)</f>
        <v>248</v>
      </c>
      <c r="B248" t="str">
        <f ca="1">OFFSET(srt_raw!$A$1,(ROW()-1)*4+COLUMN()-1,0)</f>
        <v>00:13:29,520 --&gt; 00:13:31,760</v>
      </c>
      <c r="C248" t="str">
        <f ca="1">OFFSET(srt_raw!$A$1,(ROW()-1)*4+COLUMN()-1,0)</f>
        <v>并且和矩阵K看上去差不多，</v>
      </c>
      <c r="D248" t="str">
        <f t="shared" ca="1" si="6"/>
        <v>00:13:29,520</v>
      </c>
      <c r="E248" t="str">
        <f t="shared" ca="1" si="7"/>
        <v>00:13:31,760</v>
      </c>
    </row>
    <row r="249" spans="1:5" x14ac:dyDescent="0.3">
      <c r="A249">
        <f ca="1">OFFSET(srt_raw!$A$1,(ROW()-1)*4+COLUMN()-1,0)</f>
        <v>249</v>
      </c>
      <c r="B249" t="str">
        <f ca="1">OFFSET(srt_raw!$A$1,(ROW()-1)*4+COLUMN()-1,0)</f>
        <v>00:13:31,760 --&gt; 00:13:33,120</v>
      </c>
      <c r="C249" t="str">
        <f ca="1">OFFSET(srt_raw!$A$1,(ROW()-1)*4+COLUMN()-1,0)</f>
        <v>不过并不相同。</v>
      </c>
      <c r="D249" t="str">
        <f t="shared" ca="1" si="6"/>
        <v>00:13:31,760</v>
      </c>
      <c r="E249" t="str">
        <f t="shared" ca="1" si="7"/>
        <v>00:13:33,120</v>
      </c>
    </row>
    <row r="250" spans="1:5" x14ac:dyDescent="0.3">
      <c r="A250">
        <f ca="1">OFFSET(srt_raw!$A$1,(ROW()-1)*4+COLUMN()-1,0)</f>
        <v>250</v>
      </c>
      <c r="B250" t="str">
        <f ca="1">OFFSET(srt_raw!$A$1,(ROW()-1)*4+COLUMN()-1,0)</f>
        <v>00:13:33,600 --&gt; 00:13:34,280</v>
      </c>
      <c r="C250" t="str">
        <f ca="1">OFFSET(srt_raw!$A$1,(ROW()-1)*4+COLUMN()-1,0)</f>
        <v>事实上，</v>
      </c>
      <c r="D250" t="str">
        <f t="shared" ca="1" si="6"/>
        <v>00:13:33,600</v>
      </c>
      <c r="E250" t="str">
        <f t="shared" ca="1" si="7"/>
        <v>00:13:34,280</v>
      </c>
    </row>
    <row r="251" spans="1:5" x14ac:dyDescent="0.3">
      <c r="A251">
        <f ca="1">OFFSET(srt_raw!$A$1,(ROW()-1)*4+COLUMN()-1,0)</f>
        <v>251</v>
      </c>
      <c r="B251" t="str">
        <f ca="1">OFFSET(srt_raw!$A$1,(ROW()-1)*4+COLUMN()-1,0)</f>
        <v>00:13:34,280 --&gt; 00:13:38,480</v>
      </c>
      <c r="C251" t="str">
        <f ca="1">OFFSET(srt_raw!$A$1,(ROW()-1)*4+COLUMN()-1,0)</f>
        <v>这个矩阵F也满足类似的性质。</v>
      </c>
      <c r="D251" t="str">
        <f t="shared" ca="1" si="6"/>
        <v>00:13:34,280</v>
      </c>
      <c r="E251" t="str">
        <f t="shared" ca="1" si="7"/>
        <v>00:13:38,480</v>
      </c>
    </row>
    <row r="252" spans="1:5" x14ac:dyDescent="0.3">
      <c r="A252">
        <f ca="1">OFFSET(srt_raw!$A$1,(ROW()-1)*4+COLUMN()-1,0)</f>
        <v>252</v>
      </c>
      <c r="B252" t="str">
        <f ca="1">OFFSET(srt_raw!$A$1,(ROW()-1)*4+COLUMN()-1,0)</f>
        <v>00:13:38,480 --&gt; 00:13:44,600</v>
      </c>
      <c r="C252" t="str">
        <f ca="1">OFFSET(srt_raw!$A$1,(ROW()-1)*4+COLUMN()-1,0)</f>
        <v>使用这两个性质构造的矩阵K和F可以证明S等于KF为单位矩阵I</v>
      </c>
      <c r="D252" t="str">
        <f t="shared" ca="1" si="6"/>
        <v>00:13:38,480</v>
      </c>
      <c r="E252" t="str">
        <f t="shared" ca="1" si="7"/>
        <v>00:13:44,600</v>
      </c>
    </row>
    <row r="253" spans="1:5" x14ac:dyDescent="0.3">
      <c r="A253">
        <f ca="1">OFFSET(srt_raw!$A$1,(ROW()-1)*4+COLUMN()-1,0)</f>
        <v>253</v>
      </c>
      <c r="B253" t="str">
        <f ca="1">OFFSET(srt_raw!$A$1,(ROW()-1)*4+COLUMN()-1,0)</f>
        <v>00:13:44,600 --&gt; 00:13:44,640</v>
      </c>
      <c r="C253" t="str">
        <f ca="1">OFFSET(srt_raw!$A$1,(ROW()-1)*4+COLUMN()-1,0)</f>
        <v>，</v>
      </c>
      <c r="D253" t="str">
        <f t="shared" ca="1" si="6"/>
        <v>00:13:44,600</v>
      </c>
      <c r="E253" t="str">
        <f t="shared" ca="1" si="7"/>
        <v>00:13:44,640</v>
      </c>
    </row>
    <row r="254" spans="1:5" x14ac:dyDescent="0.3">
      <c r="A254">
        <f ca="1">OFFSET(srt_raw!$A$1,(ROW()-1)*4+COLUMN()-1,0)</f>
        <v>254</v>
      </c>
      <c r="B254" t="str">
        <f ca="1">OFFSET(srt_raw!$A$1,(ROW()-1)*4+COLUMN()-1,0)</f>
        <v>00:13:44,800 --&gt; 00:13:47,640</v>
      </c>
      <c r="C254" t="str">
        <f ca="1">OFFSET(srt_raw!$A$1,(ROW()-1)*4+COLUMN()-1,0)</f>
        <v>有兴趣的小伙伴可以自己试着证明一下。</v>
      </c>
      <c r="D254" t="str">
        <f t="shared" ca="1" si="6"/>
        <v>00:13:44,800</v>
      </c>
      <c r="E254" t="str">
        <f t="shared" ca="1" si="7"/>
        <v>00:13:47,640</v>
      </c>
    </row>
    <row r="255" spans="1:5" x14ac:dyDescent="0.3">
      <c r="A255">
        <f ca="1">OFFSET(srt_raw!$A$1,(ROW()-1)*4+COLUMN()-1,0)</f>
        <v>255</v>
      </c>
      <c r="B255" t="str">
        <f ca="1">OFFSET(srt_raw!$A$1,(ROW()-1)*4+COLUMN()-1,0)</f>
        <v>00:13:49,240 --&gt; 00:13:53,680</v>
      </c>
      <c r="C255" t="str">
        <f ca="1">OFFSET(srt_raw!$A$1,(ROW()-1)*4+COLUMN()-1,0)</f>
        <v>提示矩阵S等于KF满足14偶校验约束，</v>
      </c>
      <c r="D255" t="str">
        <f t="shared" ca="1" si="6"/>
        <v>00:13:49,240</v>
      </c>
      <c r="E255" t="str">
        <f t="shared" ca="1" si="7"/>
        <v>00:13:53,680</v>
      </c>
    </row>
    <row r="256" spans="1:5" x14ac:dyDescent="0.3">
      <c r="A256">
        <f ca="1">OFFSET(srt_raw!$A$1,(ROW()-1)*4+COLUMN()-1,0)</f>
        <v>256</v>
      </c>
      <c r="B256" t="str">
        <f ca="1">OFFSET(srt_raw!$A$1,(ROW()-1)*4+COLUMN()-1,0)</f>
        <v>00:13:53,680 --&gt; 00:13:57,360</v>
      </c>
      <c r="C256" t="str">
        <f ca="1">OFFSET(srt_raw!$A$1,(ROW()-1)*4+COLUMN()-1,0)</f>
        <v>也就是满足以上递推公式。</v>
      </c>
      <c r="D256" t="str">
        <f t="shared" ca="1" si="6"/>
        <v>00:13:53,680</v>
      </c>
      <c r="E256" t="str">
        <f t="shared" ca="1" si="7"/>
        <v>00:13:57,360</v>
      </c>
    </row>
    <row r="257" spans="1:5" x14ac:dyDescent="0.3">
      <c r="A257">
        <f ca="1">OFFSET(srt_raw!$A$1,(ROW()-1)*4+COLUMN()-1,0)</f>
        <v>257</v>
      </c>
      <c r="B257" t="str">
        <f ca="1">OFFSET(srt_raw!$A$1,(ROW()-1)*4+COLUMN()-1,0)</f>
        <v>00:13:57,360 --&gt; 00:14:02,000</v>
      </c>
      <c r="C257" t="str">
        <f ca="1">OFFSET(srt_raw!$A$1,(ROW()-1)*4+COLUMN()-1,0)</f>
        <v>这里说明一下矩阵F的每行对应多项式FNX，</v>
      </c>
      <c r="D257" t="str">
        <f t="shared" ca="1" si="6"/>
        <v>00:13:57,360</v>
      </c>
      <c r="E257" t="str">
        <f t="shared" ca="1" si="7"/>
        <v>00:14:02,000</v>
      </c>
    </row>
    <row r="258" spans="1:5" x14ac:dyDescent="0.3">
      <c r="A258">
        <f ca="1">OFFSET(srt_raw!$A$1,(ROW()-1)*4+COLUMN()-1,0)</f>
        <v>258</v>
      </c>
      <c r="B258" t="str">
        <f ca="1">OFFSET(srt_raw!$A$1,(ROW()-1)*4+COLUMN()-1,0)</f>
        <v>00:14:02,000 --&gt; 00:14:07,520</v>
      </c>
      <c r="C258" t="str">
        <f ca="1">OFFSET(srt_raw!$A$1,(ROW()-1)*4+COLUMN()-1,0)</f>
        <v>也就是上集视频解的数量章节中提到的OEIS中的斐波那契多项式</v>
      </c>
      <c r="D258" t="str">
        <f t="shared" ref="D258:D321" ca="1" si="8">LEFT(B258,12)</f>
        <v>00:14:02,000</v>
      </c>
      <c r="E258" t="str">
        <f t="shared" ref="E258:E321" ca="1" si="9">RIGHT(B258,12)</f>
        <v>00:14:07,520</v>
      </c>
    </row>
    <row r="259" spans="1:5" x14ac:dyDescent="0.3">
      <c r="A259">
        <f ca="1">OFFSET(srt_raw!$A$1,(ROW()-1)*4+COLUMN()-1,0)</f>
        <v>259</v>
      </c>
      <c r="B259" t="str">
        <f ca="1">OFFSET(srt_raw!$A$1,(ROW()-1)*4+COLUMN()-1,0)</f>
        <v>00:14:07,520 --&gt; 00:14:07,560</v>
      </c>
      <c r="C259" t="str">
        <f ca="1">OFFSET(srt_raw!$A$1,(ROW()-1)*4+COLUMN()-1,0)</f>
        <v>。</v>
      </c>
      <c r="D259" t="str">
        <f t="shared" ca="1" si="8"/>
        <v>00:14:07,520</v>
      </c>
      <c r="E259" t="str">
        <f t="shared" ca="1" si="9"/>
        <v>00:14:07,560</v>
      </c>
    </row>
    <row r="260" spans="1:5" x14ac:dyDescent="0.3">
      <c r="A260">
        <f ca="1">OFFSET(srt_raw!$A$1,(ROW()-1)*4+COLUMN()-1,0)</f>
        <v>260</v>
      </c>
      <c r="B260" t="str">
        <f ca="1">OFFSET(srt_raw!$A$1,(ROW()-1)*4+COLUMN()-1,0)</f>
        <v>00:14:09,040 --&gt; 00:14:09,560</v>
      </c>
      <c r="C260" t="str">
        <f ca="1">OFFSET(srt_raw!$A$1,(ROW()-1)*4+COLUMN()-1,0)</f>
        <v>此外，</v>
      </c>
      <c r="D260" t="str">
        <f t="shared" ca="1" si="8"/>
        <v>00:14:09,040</v>
      </c>
      <c r="E260" t="str">
        <f t="shared" ca="1" si="9"/>
        <v>00:14:09,560</v>
      </c>
    </row>
    <row r="261" spans="1:5" x14ac:dyDescent="0.3">
      <c r="A261">
        <f ca="1">OFFSET(srt_raw!$A$1,(ROW()-1)*4+COLUMN()-1,0)</f>
        <v>261</v>
      </c>
      <c r="B261" t="str">
        <f ca="1">OFFSET(srt_raw!$A$1,(ROW()-1)*4+COLUMN()-1,0)</f>
        <v>00:14:09,560 --&gt; 00:14:15,520</v>
      </c>
      <c r="C261" t="str">
        <f ca="1">OFFSET(srt_raw!$A$1,(ROW()-1)*4+COLUMN()-1,0)</f>
        <v>刚才递推得到的矩阵C对应多项式CNX等价于解的数量章节中提到</v>
      </c>
      <c r="D261" t="str">
        <f t="shared" ca="1" si="8"/>
        <v>00:14:09,560</v>
      </c>
      <c r="E261" t="str">
        <f t="shared" ca="1" si="9"/>
        <v>00:14:15,520</v>
      </c>
    </row>
    <row r="262" spans="1:5" x14ac:dyDescent="0.3">
      <c r="A262">
        <f ca="1">OFFSET(srt_raw!$A$1,(ROW()-1)*4+COLUMN()-1,0)</f>
        <v>262</v>
      </c>
      <c r="B262" t="str">
        <f ca="1">OFFSET(srt_raw!$A$1,(ROW()-1)*4+COLUMN()-1,0)</f>
        <v>00:14:15,520 --&gt; 00:14:17,520</v>
      </c>
      <c r="C262" t="str">
        <f ca="1">OFFSET(srt_raw!$A$1,(ROW()-1)*4+COLUMN()-1,0)</f>
        <v>的FNX加1。</v>
      </c>
      <c r="D262" t="str">
        <f t="shared" ca="1" si="8"/>
        <v>00:14:15,520</v>
      </c>
      <c r="E262" t="str">
        <f t="shared" ca="1" si="9"/>
        <v>00:14:17,520</v>
      </c>
    </row>
    <row r="263" spans="1:5" x14ac:dyDescent="0.3">
      <c r="A263">
        <f ca="1">OFFSET(srt_raw!$A$1,(ROW()-1)*4+COLUMN()-1,0)</f>
        <v>263</v>
      </c>
      <c r="B263" t="str">
        <f ca="1">OFFSET(srt_raw!$A$1,(ROW()-1)*4+COLUMN()-1,0)</f>
        <v>00:14:19,120 --&gt; 00:14:20,440</v>
      </c>
      <c r="C263" t="str">
        <f ca="1">OFFSET(srt_raw!$A$1,(ROW()-1)*4+COLUMN()-1,0)</f>
        <v>这个证明也不难，</v>
      </c>
      <c r="D263" t="str">
        <f t="shared" ca="1" si="8"/>
        <v>00:14:19,120</v>
      </c>
      <c r="E263" t="str">
        <f t="shared" ca="1" si="9"/>
        <v>00:14:20,440</v>
      </c>
    </row>
    <row r="264" spans="1:5" x14ac:dyDescent="0.3">
      <c r="A264">
        <f ca="1">OFFSET(srt_raw!$A$1,(ROW()-1)*4+COLUMN()-1,0)</f>
        <v>264</v>
      </c>
      <c r="B264" t="str">
        <f ca="1">OFFSET(srt_raw!$A$1,(ROW()-1)*4+COLUMN()-1,0)</f>
        <v>00:14:20,440 --&gt; 00:14:26,320</v>
      </c>
      <c r="C264" t="str">
        <f ca="1">OFFSET(srt_raw!$A$1,(ROW()-1)*4+COLUMN()-1,0)</f>
        <v>可以由F和C的关系求出F和C的递推公式或者由递推公式反推，</v>
      </c>
      <c r="D264" t="str">
        <f t="shared" ca="1" si="8"/>
        <v>00:14:20,440</v>
      </c>
      <c r="E264" t="str">
        <f t="shared" ca="1" si="9"/>
        <v>00:14:26,320</v>
      </c>
    </row>
    <row r="265" spans="1:5" x14ac:dyDescent="0.3">
      <c r="A265">
        <f ca="1">OFFSET(srt_raw!$A$1,(ROW()-1)*4+COLUMN()-1,0)</f>
        <v>265</v>
      </c>
      <c r="B265" t="str">
        <f ca="1">OFFSET(srt_raw!$A$1,(ROW()-1)*4+COLUMN()-1,0)</f>
        <v>00:14:27,760 --&gt; 00:14:30,920</v>
      </c>
      <c r="C265" t="str">
        <f ca="1">OFFSET(srt_raw!$A$1,(ROW()-1)*4+COLUMN()-1,0)</f>
        <v>同时BN矩阵也可以表示为以上形式，</v>
      </c>
      <c r="D265" t="str">
        <f t="shared" ca="1" si="8"/>
        <v>00:14:27,760</v>
      </c>
      <c r="E265" t="str">
        <f t="shared" ca="1" si="9"/>
        <v>00:14:30,920</v>
      </c>
    </row>
    <row r="266" spans="1:5" x14ac:dyDescent="0.3">
      <c r="A266">
        <f ca="1">OFFSET(srt_raw!$A$1,(ROW()-1)*4+COLUMN()-1,0)</f>
        <v>266</v>
      </c>
      <c r="B266" t="str">
        <f ca="1">OFFSET(srt_raw!$A$1,(ROW()-1)*4+COLUMN()-1,0)</f>
        <v>00:14:31,360 --&gt; 00:14:34,080</v>
      </c>
      <c r="C266" t="str">
        <f ca="1">OFFSET(srt_raw!$A$1,(ROW()-1)*4+COLUMN()-1,0)</f>
        <v>这里的H加I等价于X加1，</v>
      </c>
      <c r="D266" t="str">
        <f t="shared" ca="1" si="8"/>
        <v>00:14:31,360</v>
      </c>
      <c r="E266" t="str">
        <f t="shared" ca="1" si="9"/>
        <v>00:14:34,080</v>
      </c>
    </row>
    <row r="267" spans="1:5" x14ac:dyDescent="0.3">
      <c r="A267">
        <f ca="1">OFFSET(srt_raw!$A$1,(ROW()-1)*4+COLUMN()-1,0)</f>
        <v>267</v>
      </c>
      <c r="B267" t="str">
        <f ca="1">OFFSET(srt_raw!$A$1,(ROW()-1)*4+COLUMN()-1,0)</f>
        <v>00:14:35,680 --&gt; 00:14:37,040</v>
      </c>
      <c r="C267" t="str">
        <f ca="1">OFFSET(srt_raw!$A$1,(ROW()-1)*4+COLUMN()-1,0)</f>
        <v>让我们继续求P，</v>
      </c>
      <c r="D267" t="str">
        <f t="shared" ca="1" si="8"/>
        <v>00:14:35,680</v>
      </c>
      <c r="E267" t="str">
        <f t="shared" ca="1" si="9"/>
        <v>00:14:37,040</v>
      </c>
    </row>
    <row r="268" spans="1:5" x14ac:dyDescent="0.3">
      <c r="A268">
        <f ca="1">OFFSET(srt_raw!$A$1,(ROW()-1)*4+COLUMN()-1,0)</f>
        <v>268</v>
      </c>
      <c r="B268" t="str">
        <f ca="1">OFFSET(srt_raw!$A$1,(ROW()-1)*4+COLUMN()-1,0)</f>
        <v>00:14:37,520 --&gt; 00:14:39,280</v>
      </c>
      <c r="C268" t="str">
        <f ca="1">OFFSET(srt_raw!$A$1,(ROW()-1)*4+COLUMN()-1,0)</f>
        <v>由于F和K互逆，</v>
      </c>
      <c r="D268" t="str">
        <f t="shared" ca="1" si="8"/>
        <v>00:14:37,520</v>
      </c>
      <c r="E268" t="str">
        <f t="shared" ca="1" si="9"/>
        <v>00:14:39,280</v>
      </c>
    </row>
    <row r="269" spans="1:5" x14ac:dyDescent="0.3">
      <c r="A269">
        <f ca="1">OFFSET(srt_raw!$A$1,(ROW()-1)*4+COLUMN()-1,0)</f>
        <v>269</v>
      </c>
      <c r="B269" t="str">
        <f ca="1">OFFSET(srt_raw!$A$1,(ROW()-1)*4+COLUMN()-1,0)</f>
        <v>00:14:39,280 --&gt; 00:14:42,800</v>
      </c>
      <c r="C269" t="str">
        <f ca="1">OFFSET(srt_raw!$A$1,(ROW()-1)*4+COLUMN()-1,0)</f>
        <v>于是我们有FB等于FKP等于P，</v>
      </c>
      <c r="D269" t="str">
        <f t="shared" ca="1" si="8"/>
        <v>00:14:39,280</v>
      </c>
      <c r="E269" t="str">
        <f t="shared" ca="1" si="9"/>
        <v>00:14:42,800</v>
      </c>
    </row>
    <row r="270" spans="1:5" x14ac:dyDescent="0.3">
      <c r="A270">
        <f ca="1">OFFSET(srt_raw!$A$1,(ROW()-1)*4+COLUMN()-1,0)</f>
        <v>270</v>
      </c>
      <c r="B270" t="str">
        <f ca="1">OFFSET(srt_raw!$A$1,(ROW()-1)*4+COLUMN()-1,0)</f>
        <v>00:14:43,200 --&gt; 00:14:45,520</v>
      </c>
      <c r="C270" t="str">
        <f ca="1">OFFSET(srt_raw!$A$1,(ROW()-1)*4+COLUMN()-1,0)</f>
        <v>将向量B和矩阵F相乘，</v>
      </c>
      <c r="D270" t="str">
        <f t="shared" ca="1" si="8"/>
        <v>00:14:43,200</v>
      </c>
      <c r="E270" t="str">
        <f t="shared" ca="1" si="9"/>
        <v>00:14:45,520</v>
      </c>
    </row>
    <row r="271" spans="1:5" x14ac:dyDescent="0.3">
      <c r="A271">
        <f ca="1">OFFSET(srt_raw!$A$1,(ROW()-1)*4+COLUMN()-1,0)</f>
        <v>271</v>
      </c>
      <c r="B271" t="str">
        <f ca="1">OFFSET(srt_raw!$A$1,(ROW()-1)*4+COLUMN()-1,0)</f>
        <v>00:14:45,520 --&gt; 00:14:46,880</v>
      </c>
      <c r="C271" t="str">
        <f ca="1">OFFSET(srt_raw!$A$1,(ROW()-1)*4+COLUMN()-1,0)</f>
        <v>我们便求出了P。</v>
      </c>
      <c r="D271" t="str">
        <f t="shared" ca="1" si="8"/>
        <v>00:14:45,520</v>
      </c>
      <c r="E271" t="str">
        <f t="shared" ca="1" si="9"/>
        <v>00:14:46,880</v>
      </c>
    </row>
    <row r="272" spans="1:5" x14ac:dyDescent="0.3">
      <c r="A272">
        <f ca="1">OFFSET(srt_raw!$A$1,(ROW()-1)*4+COLUMN()-1,0)</f>
        <v>272</v>
      </c>
      <c r="B272" t="str">
        <f ca="1">OFFSET(srt_raw!$A$1,(ROW()-1)*4+COLUMN()-1,0)</f>
        <v>00:14:48,480 --&gt; 00:14:50,520</v>
      </c>
      <c r="C272" t="str">
        <f ca="1">OFFSET(srt_raw!$A$1,(ROW()-1)*4+COLUMN()-1,0)</f>
        <v>为了和视频中演示的一致，</v>
      </c>
      <c r="D272" t="str">
        <f t="shared" ca="1" si="8"/>
        <v>00:14:48,480</v>
      </c>
      <c r="E272" t="str">
        <f t="shared" ca="1" si="9"/>
        <v>00:14:50,520</v>
      </c>
    </row>
    <row r="273" spans="1:5" x14ac:dyDescent="0.3">
      <c r="A273">
        <f ca="1">OFFSET(srt_raw!$A$1,(ROW()-1)*4+COLUMN()-1,0)</f>
        <v>273</v>
      </c>
      <c r="B273" t="str">
        <f ca="1">OFFSET(srt_raw!$A$1,(ROW()-1)*4+COLUMN()-1,0)</f>
        <v>00:14:50,520 --&gt; 00:14:52,040</v>
      </c>
      <c r="C273" t="str">
        <f ca="1">OFFSET(srt_raw!$A$1,(ROW()-1)*4+COLUMN()-1,0)</f>
        <v>由于B是竖着的，</v>
      </c>
      <c r="D273" t="str">
        <f t="shared" ca="1" si="8"/>
        <v>00:14:50,520</v>
      </c>
      <c r="E273" t="str">
        <f t="shared" ca="1" si="9"/>
        <v>00:14:52,040</v>
      </c>
    </row>
    <row r="274" spans="1:5" x14ac:dyDescent="0.3">
      <c r="A274">
        <f ca="1">OFFSET(srt_raw!$A$1,(ROW()-1)*4+COLUMN()-1,0)</f>
        <v>274</v>
      </c>
      <c r="B274" t="str">
        <f ca="1">OFFSET(srt_raw!$A$1,(ROW()-1)*4+COLUMN()-1,0)</f>
        <v>00:14:52,160 --&gt; 00:14:54,840</v>
      </c>
      <c r="C274" t="str">
        <f ca="1">OFFSET(srt_raw!$A$1,(ROW()-1)*4+COLUMN()-1,0)</f>
        <v>因此写为P等于FB。</v>
      </c>
      <c r="D274" t="str">
        <f t="shared" ca="1" si="8"/>
        <v>00:14:52,160</v>
      </c>
      <c r="E274" t="str">
        <f t="shared" ca="1" si="9"/>
        <v>00:14:54,840</v>
      </c>
    </row>
    <row r="275" spans="1:5" x14ac:dyDescent="0.3">
      <c r="A275">
        <f ca="1">OFFSET(srt_raw!$A$1,(ROW()-1)*4+COLUMN()-1,0)</f>
        <v>275</v>
      </c>
      <c r="B275" t="str">
        <f ca="1">OFFSET(srt_raw!$A$1,(ROW()-1)*4+COLUMN()-1,0)</f>
        <v>00:14:54,840 --&gt; 00:14:56,600</v>
      </c>
      <c r="C275" t="str">
        <f ca="1">OFFSET(srt_raw!$A$1,(ROW()-1)*4+COLUMN()-1,0)</f>
        <v>对于矩阵乘法运算来说，</v>
      </c>
      <c r="D275" t="str">
        <f t="shared" ca="1" si="8"/>
        <v>00:14:54,840</v>
      </c>
      <c r="E275" t="str">
        <f t="shared" ca="1" si="9"/>
        <v>00:14:56,600</v>
      </c>
    </row>
    <row r="276" spans="1:5" x14ac:dyDescent="0.3">
      <c r="A276">
        <f ca="1">OFFSET(srt_raw!$A$1,(ROW()-1)*4+COLUMN()-1,0)</f>
        <v>276</v>
      </c>
      <c r="B276" t="str">
        <f ca="1">OFFSET(srt_raw!$A$1,(ROW()-1)*4+COLUMN()-1,0)</f>
        <v>00:14:56,720 --&gt; 00:14:58,720</v>
      </c>
      <c r="C276" t="str">
        <f ca="1">OFFSET(srt_raw!$A$1,(ROW()-1)*4+COLUMN()-1,0)</f>
        <v>则有P等于B撇撇F。</v>
      </c>
      <c r="D276" t="str">
        <f t="shared" ca="1" si="8"/>
        <v>00:14:56,720</v>
      </c>
      <c r="E276" t="str">
        <f t="shared" ca="1" si="9"/>
        <v>00:14:58,720</v>
      </c>
    </row>
    <row r="277" spans="1:5" x14ac:dyDescent="0.3">
      <c r="A277">
        <f ca="1">OFFSET(srt_raw!$A$1,(ROW()-1)*4+COLUMN()-1,0)</f>
        <v>277</v>
      </c>
      <c r="B277" t="str">
        <f ca="1">OFFSET(srt_raw!$A$1,(ROW()-1)*4+COLUMN()-1,0)</f>
        <v>00:14:59,360 --&gt; 00:15:02,520</v>
      </c>
      <c r="C277" t="str">
        <f ca="1">OFFSET(srt_raw!$A$1,(ROW()-1)*4+COLUMN()-1,0)</f>
        <v>这里省去了转置符号，</v>
      </c>
      <c r="D277" t="str">
        <f t="shared" ca="1" si="8"/>
        <v>00:14:59,360</v>
      </c>
      <c r="E277" t="str">
        <f t="shared" ca="1" si="9"/>
        <v>00:15:02,520</v>
      </c>
    </row>
    <row r="278" spans="1:5" x14ac:dyDescent="0.3">
      <c r="A278">
        <f ca="1">OFFSET(srt_raw!$A$1,(ROW()-1)*4+COLUMN()-1,0)</f>
        <v>278</v>
      </c>
      <c r="B278" t="str">
        <f ca="1">OFFSET(srt_raw!$A$1,(ROW()-1)*4+COLUMN()-1,0)</f>
        <v>00:15:02,520 --&gt; 00:15:06,160</v>
      </c>
      <c r="C278" t="str">
        <f ca="1">OFFSET(srt_raw!$A$1,(ROW()-1)*4+COLUMN()-1,0)</f>
        <v>将多项式PX写成矩阵的形式记为P。</v>
      </c>
      <c r="D278" t="str">
        <f t="shared" ca="1" si="8"/>
        <v>00:15:02,520</v>
      </c>
      <c r="E278" t="str">
        <f t="shared" ca="1" si="9"/>
        <v>00:15:06,160</v>
      </c>
    </row>
    <row r="279" spans="1:5" x14ac:dyDescent="0.3">
      <c r="A279">
        <f ca="1">OFFSET(srt_raw!$A$1,(ROW()-1)*4+COLUMN()-1,0)</f>
        <v>279</v>
      </c>
      <c r="B279" t="str">
        <f ca="1">OFFSET(srt_raw!$A$1,(ROW()-1)*4+COLUMN()-1,0)</f>
        <v>00:15:07,680 --&gt; 00:15:09,520</v>
      </c>
      <c r="C279" t="str">
        <f ca="1">OFFSET(srt_raw!$A$1,(ROW()-1)*4+COLUMN()-1,0)</f>
        <v>有了P等于FB之后，</v>
      </c>
      <c r="D279" t="str">
        <f t="shared" ca="1" si="8"/>
        <v>00:15:07,680</v>
      </c>
      <c r="E279" t="str">
        <f t="shared" ca="1" si="9"/>
        <v>00:15:09,520</v>
      </c>
    </row>
    <row r="280" spans="1:5" x14ac:dyDescent="0.3">
      <c r="A280">
        <f ca="1">OFFSET(srt_raw!$A$1,(ROW()-1)*4+COLUMN()-1,0)</f>
        <v>280</v>
      </c>
      <c r="B280" t="str">
        <f ca="1">OFFSET(srt_raw!$A$1,(ROW()-1)*4+COLUMN()-1,0)</f>
        <v>00:15:09,520 --&gt; 00:15:12,560</v>
      </c>
      <c r="C280" t="str">
        <f ca="1">OFFSET(srt_raw!$A$1,(ROW()-1)*4+COLUMN()-1,0)</f>
        <v>后续的计算我们都不需要用到完整的B，</v>
      </c>
      <c r="D280" t="str">
        <f t="shared" ca="1" si="8"/>
        <v>00:15:09,520</v>
      </c>
      <c r="E280" t="str">
        <f t="shared" ca="1" si="9"/>
        <v>00:15:12,560</v>
      </c>
    </row>
    <row r="281" spans="1:5" x14ac:dyDescent="0.3">
      <c r="A281">
        <f ca="1">OFFSET(srt_raw!$A$1,(ROW()-1)*4+COLUMN()-1,0)</f>
        <v>281</v>
      </c>
      <c r="B281" t="str">
        <f ca="1">OFFSET(srt_raw!$A$1,(ROW()-1)*4+COLUMN()-1,0)</f>
        <v>00:15:12,800 --&gt; 00:15:15,560</v>
      </c>
      <c r="C281" t="str">
        <f ca="1">OFFSET(srt_raw!$A$1,(ROW()-1)*4+COLUMN()-1,0)</f>
        <v>而只需要B的第一行及向量B。</v>
      </c>
      <c r="D281" t="str">
        <f t="shared" ca="1" si="8"/>
        <v>00:15:12,800</v>
      </c>
      <c r="E281" t="str">
        <f t="shared" ca="1" si="9"/>
        <v>00:15:15,560</v>
      </c>
    </row>
    <row r="282" spans="1:5" x14ac:dyDescent="0.3">
      <c r="A282">
        <f ca="1">OFFSET(srt_raw!$A$1,(ROW()-1)*4+COLUMN()-1,0)</f>
        <v>282</v>
      </c>
      <c r="B282" t="str">
        <f ca="1">OFFSET(srt_raw!$A$1,(ROW()-1)*4+COLUMN()-1,0)</f>
        <v>00:15:17,120 --&gt; 00:15:22,480</v>
      </c>
      <c r="C282" t="str">
        <f ca="1">OFFSET(srt_raw!$A$1,(ROW()-1)*4+COLUMN()-1,0)</f>
        <v>这是因为问题已经从BX等于Y转化为了PHX等于Y，</v>
      </c>
      <c r="D282" t="str">
        <f t="shared" ca="1" si="8"/>
        <v>00:15:17,120</v>
      </c>
      <c r="E282" t="str">
        <f t="shared" ca="1" si="9"/>
        <v>00:15:22,480</v>
      </c>
    </row>
    <row r="283" spans="1:5" x14ac:dyDescent="0.3">
      <c r="A283">
        <f ca="1">OFFSET(srt_raw!$A$1,(ROW()-1)*4+COLUMN()-1,0)</f>
        <v>283</v>
      </c>
      <c r="B283" t="str">
        <f ca="1">OFFSET(srt_raw!$A$1,(ROW()-1)*4+COLUMN()-1,0)</f>
        <v>00:15:23,040 --&gt; 00:15:27,360</v>
      </c>
      <c r="C283" t="str">
        <f ca="1">OFFSET(srt_raw!$A$1,(ROW()-1)*4+COLUMN()-1,0)</f>
        <v>因此在前面说到的生成矩阵也只需要计算向量B，</v>
      </c>
      <c r="D283" t="str">
        <f t="shared" ca="1" si="8"/>
        <v>00:15:23,040</v>
      </c>
      <c r="E283" t="str">
        <f t="shared" ca="1" si="9"/>
        <v>00:15:27,360</v>
      </c>
    </row>
    <row r="284" spans="1:5" x14ac:dyDescent="0.3">
      <c r="A284">
        <f ca="1">OFFSET(srt_raw!$A$1,(ROW()-1)*4+COLUMN()-1,0)</f>
        <v>284</v>
      </c>
      <c r="B284" t="str">
        <f ca="1">OFFSET(srt_raw!$A$1,(ROW()-1)*4+COLUMN()-1,0)</f>
        <v>00:15:27,440 --&gt; 00:15:28,840</v>
      </c>
      <c r="C284" t="str">
        <f ca="1">OFFSET(srt_raw!$A$1,(ROW()-1)*4+COLUMN()-1,0)</f>
        <v>也就是矩阵B撇。</v>
      </c>
      <c r="D284" t="str">
        <f t="shared" ca="1" si="8"/>
        <v>00:15:27,440</v>
      </c>
      <c r="E284" t="str">
        <f t="shared" ca="1" si="9"/>
        <v>00:15:28,840</v>
      </c>
    </row>
    <row r="285" spans="1:5" x14ac:dyDescent="0.3">
      <c r="A285">
        <f ca="1">OFFSET(srt_raw!$A$1,(ROW()-1)*4+COLUMN()-1,0)</f>
        <v>285</v>
      </c>
      <c r="B285" t="str">
        <f ca="1">OFFSET(srt_raw!$A$1,(ROW()-1)*4+COLUMN()-1,0)</f>
        <v>00:15:30,480 --&gt; 00:15:34,040</v>
      </c>
      <c r="C285" t="str">
        <f ca="1">OFFSET(srt_raw!$A$1,(ROW()-1)*4+COLUMN()-1,0)</f>
        <v>由于在不同N的情况下计算B的公式是一样的，</v>
      </c>
      <c r="D285" t="str">
        <f t="shared" ca="1" si="8"/>
        <v>00:15:30,480</v>
      </c>
      <c r="E285" t="str">
        <f t="shared" ca="1" si="9"/>
        <v>00:15:34,040</v>
      </c>
    </row>
    <row r="286" spans="1:5" x14ac:dyDescent="0.3">
      <c r="A286">
        <f ca="1">OFFSET(srt_raw!$A$1,(ROW()-1)*4+COLUMN()-1,0)</f>
        <v>286</v>
      </c>
      <c r="B286" t="str">
        <f ca="1">OFFSET(srt_raw!$A$1,(ROW()-1)*4+COLUMN()-1,0)</f>
        <v>00:15:34,040 --&gt; 00:15:38,520</v>
      </c>
      <c r="C286" t="str">
        <f ca="1">OFFSET(srt_raw!$A$1,(ROW()-1)*4+COLUMN()-1,0)</f>
        <v>我们可以把N减一情况下算出的B直接用于计算N的情况。</v>
      </c>
      <c r="D286" t="str">
        <f t="shared" ca="1" si="8"/>
        <v>00:15:34,040</v>
      </c>
      <c r="E286" t="str">
        <f t="shared" ca="1" si="9"/>
        <v>00:15:38,520</v>
      </c>
    </row>
    <row r="287" spans="1:5" x14ac:dyDescent="0.3">
      <c r="A287">
        <f ca="1">OFFSET(srt_raw!$A$1,(ROW()-1)*4+COLUMN()-1,0)</f>
        <v>287</v>
      </c>
      <c r="B287" t="str">
        <f ca="1">OFFSET(srt_raw!$A$1,(ROW()-1)*4+COLUMN()-1,0)</f>
        <v>00:15:40,000 --&gt; 00:15:43,040</v>
      </c>
      <c r="C287" t="str">
        <f ca="1">OFFSET(srt_raw!$A$1,(ROW()-1)*4+COLUMN()-1,0)</f>
        <v>这样如果我们是从N等于0开始计算的，</v>
      </c>
      <c r="D287" t="str">
        <f t="shared" ca="1" si="8"/>
        <v>00:15:40,000</v>
      </c>
      <c r="E287" t="str">
        <f t="shared" ca="1" si="9"/>
        <v>00:15:43,040</v>
      </c>
    </row>
    <row r="288" spans="1:5" x14ac:dyDescent="0.3">
      <c r="A288">
        <f ca="1">OFFSET(srt_raw!$A$1,(ROW()-1)*4+COLUMN()-1,0)</f>
        <v>288</v>
      </c>
      <c r="B288" t="str">
        <f ca="1">OFFSET(srt_raw!$A$1,(ROW()-1)*4+COLUMN()-1,0)</f>
        <v>00:15:43,200 --&gt; 00:15:46,800</v>
      </c>
      <c r="C288" t="str">
        <f ca="1">OFFSET(srt_raw!$A$1,(ROW()-1)*4+COLUMN()-1,0)</f>
        <v>我们只需要open的时间复杂度便可求出B。</v>
      </c>
      <c r="D288" t="str">
        <f t="shared" ca="1" si="8"/>
        <v>00:15:43,200</v>
      </c>
      <c r="E288" t="str">
        <f t="shared" ca="1" si="9"/>
        <v>00:15:46,800</v>
      </c>
    </row>
    <row r="289" spans="1:5" x14ac:dyDescent="0.3">
      <c r="A289">
        <f ca="1">OFFSET(srt_raw!$A$1,(ROW()-1)*4+COLUMN()-1,0)</f>
        <v>289</v>
      </c>
      <c r="B289" t="str">
        <f ca="1">OFFSET(srt_raw!$A$1,(ROW()-1)*4+COLUMN()-1,0)</f>
        <v>00:15:48,300 --&gt; 00:15:50,900</v>
      </c>
      <c r="C289" t="str">
        <f ca="1">OFFSET(srt_raw!$A$1,(ROW()-1)*4+COLUMN()-1,0)</f>
        <v>同样计算K和F也是如此，</v>
      </c>
      <c r="D289" t="str">
        <f t="shared" ca="1" si="8"/>
        <v>00:15:48,300</v>
      </c>
      <c r="E289" t="str">
        <f t="shared" ca="1" si="9"/>
        <v>00:15:50,900</v>
      </c>
    </row>
    <row r="290" spans="1:5" x14ac:dyDescent="0.3">
      <c r="A290">
        <f ca="1">OFFSET(srt_raw!$A$1,(ROW()-1)*4+COLUMN()-1,0)</f>
        <v>290</v>
      </c>
      <c r="B290" t="str">
        <f ca="1">OFFSET(srt_raw!$A$1,(ROW()-1)*4+COLUMN()-1,0)</f>
        <v>00:15:51,420 --&gt; 00:15:53,380</v>
      </c>
      <c r="C290" t="str">
        <f ca="1">OFFSET(srt_raw!$A$1,(ROW()-1)*4+COLUMN()-1,0)</f>
        <v>因为每行之间有递推公式，</v>
      </c>
      <c r="D290" t="str">
        <f t="shared" ca="1" si="8"/>
        <v>00:15:51,420</v>
      </c>
      <c r="E290" t="str">
        <f t="shared" ca="1" si="9"/>
        <v>00:15:53,380</v>
      </c>
    </row>
    <row r="291" spans="1:5" x14ac:dyDescent="0.3">
      <c r="A291">
        <f ca="1">OFFSET(srt_raw!$A$1,(ROW()-1)*4+COLUMN()-1,0)</f>
        <v>291</v>
      </c>
      <c r="B291" t="str">
        <f ca="1">OFFSET(srt_raw!$A$1,(ROW()-1)*4+COLUMN()-1,0)</f>
        <v>00:15:53,380 --&gt; 00:15:55,500</v>
      </c>
      <c r="C291" t="str">
        <f ca="1">OFFSET(srt_raw!$A$1,(ROW()-1)*4+COLUMN()-1,0)</f>
        <v>如果从N等于0开始计算，</v>
      </c>
      <c r="D291" t="str">
        <f t="shared" ca="1" si="8"/>
        <v>00:15:53,380</v>
      </c>
      <c r="E291" t="str">
        <f t="shared" ca="1" si="9"/>
        <v>00:15:55,500</v>
      </c>
    </row>
    <row r="292" spans="1:5" x14ac:dyDescent="0.3">
      <c r="A292">
        <f ca="1">OFFSET(srt_raw!$A$1,(ROW()-1)*4+COLUMN()-1,0)</f>
        <v>292</v>
      </c>
      <c r="B292" t="str">
        <f ca="1">OFFSET(srt_raw!$A$1,(ROW()-1)*4+COLUMN()-1,0)</f>
        <v>00:15:55,500 --&gt; 00:15:58,020</v>
      </c>
      <c r="C292" t="str">
        <f ca="1">OFFSET(srt_raw!$A$1,(ROW()-1)*4+COLUMN()-1,0)</f>
        <v>也可以在ON时间内求出。</v>
      </c>
      <c r="D292" t="str">
        <f t="shared" ca="1" si="8"/>
        <v>00:15:55,500</v>
      </c>
      <c r="E292" t="str">
        <f t="shared" ca="1" si="9"/>
        <v>00:15:58,020</v>
      </c>
    </row>
    <row r="293" spans="1:5" x14ac:dyDescent="0.3">
      <c r="A293">
        <f ca="1">OFFSET(srt_raw!$A$1,(ROW()-1)*4+COLUMN()-1,0)</f>
        <v>293</v>
      </c>
      <c r="B293" t="str">
        <f ca="1">OFFSET(srt_raw!$A$1,(ROW()-1)*4+COLUMN()-1,0)</f>
        <v>00:15:59,500 --&gt; 00:16:01,420</v>
      </c>
      <c r="C293" t="str">
        <f ca="1">OFFSET(srt_raw!$A$1,(ROW()-1)*4+COLUMN()-1,0)</f>
        <v>如果需要直接计算特定N，</v>
      </c>
      <c r="D293" t="str">
        <f t="shared" ca="1" si="8"/>
        <v>00:15:59,500</v>
      </c>
      <c r="E293" t="str">
        <f t="shared" ca="1" si="9"/>
        <v>00:16:01,420</v>
      </c>
    </row>
    <row r="294" spans="1:5" x14ac:dyDescent="0.3">
      <c r="A294">
        <f ca="1">OFFSET(srt_raw!$A$1,(ROW()-1)*4+COLUMN()-1,0)</f>
        <v>294</v>
      </c>
      <c r="B294" t="str">
        <f ca="1">OFFSET(srt_raw!$A$1,(ROW()-1)*4+COLUMN()-1,0)</f>
        <v>00:16:01,500 --&gt; 00:16:04,500</v>
      </c>
      <c r="C294" t="str">
        <f ca="1">OFFSET(srt_raw!$A$1,(ROW()-1)*4+COLUMN()-1,0)</f>
        <v>可以用其他方法优化到ON乘logN，</v>
      </c>
      <c r="D294" t="str">
        <f t="shared" ca="1" si="8"/>
        <v>00:16:01,500</v>
      </c>
      <c r="E294" t="str">
        <f t="shared" ca="1" si="9"/>
        <v>00:16:04,500</v>
      </c>
    </row>
    <row r="295" spans="1:5" x14ac:dyDescent="0.3">
      <c r="A295">
        <f ca="1">OFFSET(srt_raw!$A$1,(ROW()-1)*4+COLUMN()-1,0)</f>
        <v>295</v>
      </c>
      <c r="B295" t="str">
        <f ca="1">OFFSET(srt_raw!$A$1,(ROW()-1)*4+COLUMN()-1,0)</f>
        <v>00:16:05,100 --&gt; 00:16:07,340</v>
      </c>
      <c r="C295" t="str">
        <f ca="1">OFFSET(srt_raw!$A$1,(ROW()-1)*4+COLUMN()-1,0)</f>
        <v>因为这里的算法不涉及这个优化，</v>
      </c>
      <c r="D295" t="str">
        <f t="shared" ca="1" si="8"/>
        <v>00:16:05,100</v>
      </c>
      <c r="E295" t="str">
        <f t="shared" ca="1" si="9"/>
        <v>00:16:07,340</v>
      </c>
    </row>
    <row r="296" spans="1:5" x14ac:dyDescent="0.3">
      <c r="A296">
        <f ca="1">OFFSET(srt_raw!$A$1,(ROW()-1)*4+COLUMN()-1,0)</f>
        <v>296</v>
      </c>
      <c r="B296" t="str">
        <f ca="1">OFFSET(srt_raw!$A$1,(ROW()-1)*4+COLUMN()-1,0)</f>
        <v>00:16:07,420 --&gt; 00:16:10,540</v>
      </c>
      <c r="C296" t="str">
        <f ca="1">OFFSET(srt_raw!$A$1,(ROW()-1)*4+COLUMN()-1,0)</f>
        <v>因此就不展开了。</v>
      </c>
      <c r="D296" t="str">
        <f t="shared" ca="1" si="8"/>
        <v>00:16:07,420</v>
      </c>
      <c r="E296" t="str">
        <f t="shared" ca="1" si="9"/>
        <v>00:16:10,540</v>
      </c>
    </row>
    <row r="297" spans="1:5" x14ac:dyDescent="0.3">
      <c r="A297">
        <f ca="1">OFFSET(srt_raw!$A$1,(ROW()-1)*4+COLUMN()-1,0)</f>
        <v>297</v>
      </c>
      <c r="B297" t="str">
        <f ca="1">OFFSET(srt_raw!$A$1,(ROW()-1)*4+COLUMN()-1,0)</f>
        <v>00:16:10,540 --&gt; 00:16:12,300</v>
      </c>
      <c r="C297" t="str">
        <f ca="1">OFFSET(srt_raw!$A$1,(ROW()-1)*4+COLUMN()-1,0)</f>
        <v>为了求出P等于FB，</v>
      </c>
      <c r="D297" t="str">
        <f t="shared" ca="1" si="8"/>
        <v>00:16:10,540</v>
      </c>
      <c r="E297" t="str">
        <f t="shared" ca="1" si="9"/>
        <v>00:16:12,300</v>
      </c>
    </row>
    <row r="298" spans="1:5" x14ac:dyDescent="0.3">
      <c r="A298">
        <f ca="1">OFFSET(srt_raw!$A$1,(ROW()-1)*4+COLUMN()-1,0)</f>
        <v>298</v>
      </c>
      <c r="B298" t="str">
        <f ca="1">OFFSET(srt_raw!$A$1,(ROW()-1)*4+COLUMN()-1,0)</f>
        <v>00:16:12,380 --&gt; 00:16:14,820</v>
      </c>
      <c r="C298" t="str">
        <f ca="1">OFFSET(srt_raw!$A$1,(ROW()-1)*4+COLUMN()-1,0)</f>
        <v>我们需要将向量和矩阵相乘。</v>
      </c>
      <c r="D298" t="str">
        <f t="shared" ca="1" si="8"/>
        <v>00:16:12,380</v>
      </c>
      <c r="E298" t="str">
        <f t="shared" ca="1" si="9"/>
        <v>00:16:14,820</v>
      </c>
    </row>
    <row r="299" spans="1:5" x14ac:dyDescent="0.3">
      <c r="A299">
        <f ca="1">OFFSET(srt_raw!$A$1,(ROW()-1)*4+COLUMN()-1,0)</f>
        <v>299</v>
      </c>
      <c r="B299" t="str">
        <f ca="1">OFFSET(srt_raw!$A$1,(ROW()-1)*4+COLUMN()-1,0)</f>
        <v>00:16:15,020 --&gt; 00:16:16,020</v>
      </c>
      <c r="C299" t="str">
        <f ca="1">OFFSET(srt_raw!$A$1,(ROW()-1)*4+COLUMN()-1,0)</f>
        <v>一般情况下，</v>
      </c>
      <c r="D299" t="str">
        <f t="shared" ca="1" si="8"/>
        <v>00:16:15,020</v>
      </c>
      <c r="E299" t="str">
        <f t="shared" ca="1" si="9"/>
        <v>00:16:16,020</v>
      </c>
    </row>
    <row r="300" spans="1:5" x14ac:dyDescent="0.3">
      <c r="A300">
        <f ca="1">OFFSET(srt_raw!$A$1,(ROW()-1)*4+COLUMN()-1,0)</f>
        <v>300</v>
      </c>
      <c r="B300" t="str">
        <f ca="1">OFFSET(srt_raw!$A$1,(ROW()-1)*4+COLUMN()-1,0)</f>
        <v>00:16:16,020 --&gt; 00:16:20,380</v>
      </c>
      <c r="C300" t="str">
        <f ca="1">OFFSET(srt_raw!$A$1,(ROW()-1)*4+COLUMN()-1,0)</f>
        <v>其时间复杂度是ON的二次方，</v>
      </c>
      <c r="D300" t="str">
        <f t="shared" ca="1" si="8"/>
        <v>00:16:16,020</v>
      </c>
      <c r="E300" t="str">
        <f t="shared" ca="1" si="9"/>
        <v>00:16:20,380</v>
      </c>
    </row>
    <row r="301" spans="1:5" x14ac:dyDescent="0.3">
      <c r="A301">
        <f ca="1">OFFSET(srt_raw!$A$1,(ROW()-1)*4+COLUMN()-1,0)</f>
        <v>301</v>
      </c>
      <c r="B301" t="str">
        <f ca="1">OFFSET(srt_raw!$A$1,(ROW()-1)*4+COLUMN()-1,0)</f>
        <v>00:16:20,380 --&gt; 00:16:22,740</v>
      </c>
      <c r="C301" t="str">
        <f ca="1">OFFSET(srt_raw!$A$1,(ROW()-1)*4+COLUMN()-1,0)</f>
        <v>因为矩阵F是有递推规律的，</v>
      </c>
      <c r="D301" t="str">
        <f t="shared" ca="1" si="8"/>
        <v>00:16:20,380</v>
      </c>
      <c r="E301" t="str">
        <f t="shared" ca="1" si="9"/>
        <v>00:16:22,740</v>
      </c>
    </row>
    <row r="302" spans="1:5" x14ac:dyDescent="0.3">
      <c r="A302">
        <f ca="1">OFFSET(srt_raw!$A$1,(ROW()-1)*4+COLUMN()-1,0)</f>
        <v>302</v>
      </c>
      <c r="B302" t="str">
        <f ca="1">OFFSET(srt_raw!$A$1,(ROW()-1)*4+COLUMN()-1,0)</f>
        <v>00:16:22,740 --&gt; 00:16:27,500</v>
      </c>
      <c r="C302" t="str">
        <f ca="1">OFFSET(srt_raw!$A$1,(ROW()-1)*4+COLUMN()-1,0)</f>
        <v>理论上使用FFT等算法可以把乘法优化到ON乘logN。</v>
      </c>
      <c r="D302" t="str">
        <f t="shared" ca="1" si="8"/>
        <v>00:16:22,740</v>
      </c>
      <c r="E302" t="str">
        <f t="shared" ca="1" si="9"/>
        <v>00:16:27,500</v>
      </c>
    </row>
    <row r="303" spans="1:5" x14ac:dyDescent="0.3">
      <c r="A303">
        <f ca="1">OFFSET(srt_raw!$A$1,(ROW()-1)*4+COLUMN()-1,0)</f>
        <v>303</v>
      </c>
      <c r="B303" t="str">
        <f ca="1">OFFSET(srt_raw!$A$1,(ROW()-1)*4+COLUMN()-1,0)</f>
        <v>00:16:27,500 --&gt; 00:16:30,020</v>
      </c>
      <c r="C303" t="str">
        <f ca="1">OFFSET(srt_raw!$A$1,(ROW()-1)*4+COLUMN()-1,0)</f>
        <v>另一方面，</v>
      </c>
      <c r="D303" t="str">
        <f t="shared" ca="1" si="8"/>
        <v>00:16:27,500</v>
      </c>
      <c r="E303" t="str">
        <f t="shared" ca="1" si="9"/>
        <v>00:16:30,020</v>
      </c>
    </row>
    <row r="304" spans="1:5" x14ac:dyDescent="0.3">
      <c r="A304">
        <f ca="1">OFFSET(srt_raw!$A$1,(ROW()-1)*4+COLUMN()-1,0)</f>
        <v>304</v>
      </c>
      <c r="B304" t="str">
        <f ca="1">OFFSET(srt_raw!$A$1,(ROW()-1)*4+COLUMN()-1,0)</f>
        <v>00:16:30,020 --&gt; 00:16:31,660</v>
      </c>
      <c r="C304" t="str">
        <f ca="1">OFFSET(srt_raw!$A$1,(ROW()-1)*4+COLUMN()-1,0)</f>
        <v>这里在计算P的时候，</v>
      </c>
      <c r="D304" t="str">
        <f t="shared" ca="1" si="8"/>
        <v>00:16:30,020</v>
      </c>
      <c r="E304" t="str">
        <f t="shared" ca="1" si="9"/>
        <v>00:16:31,660</v>
      </c>
    </row>
    <row r="305" spans="1:5" x14ac:dyDescent="0.3">
      <c r="A305">
        <f ca="1">OFFSET(srt_raw!$A$1,(ROW()-1)*4+COLUMN()-1,0)</f>
        <v>305</v>
      </c>
      <c r="B305" t="str">
        <f ca="1">OFFSET(srt_raw!$A$1,(ROW()-1)*4+COLUMN()-1,0)</f>
        <v>00:16:31,660 --&gt; 00:16:34,140</v>
      </c>
      <c r="C305" t="str">
        <f ca="1">OFFSET(srt_raw!$A$1,(ROW()-1)*4+COLUMN()-1,0)</f>
        <v>我们将B撇撇的对角线去除了，</v>
      </c>
      <c r="D305" t="str">
        <f t="shared" ca="1" si="8"/>
        <v>00:16:31,660</v>
      </c>
      <c r="E305" t="str">
        <f t="shared" ca="1" si="9"/>
        <v>00:16:34,140</v>
      </c>
    </row>
    <row r="306" spans="1:5" x14ac:dyDescent="0.3">
      <c r="A306">
        <f ca="1">OFFSET(srt_raw!$A$1,(ROW()-1)*4+COLUMN()-1,0)</f>
        <v>306</v>
      </c>
      <c r="B306" t="str">
        <f ca="1">OFFSET(srt_raw!$A$1,(ROW()-1)*4+COLUMN()-1,0)</f>
        <v>00:16:34,140 --&gt; 00:16:36,060</v>
      </c>
      <c r="C306" t="str">
        <f ca="1">OFFSET(srt_raw!$A$1,(ROW()-1)*4+COLUMN()-1,0)</f>
        <v>即P等于B撇撇F。</v>
      </c>
      <c r="D306" t="str">
        <f t="shared" ca="1" si="8"/>
        <v>00:16:34,140</v>
      </c>
      <c r="E306" t="str">
        <f t="shared" ca="1" si="9"/>
        <v>00:16:36,060</v>
      </c>
    </row>
    <row r="307" spans="1:5" x14ac:dyDescent="0.3">
      <c r="A307">
        <f ca="1">OFFSET(srt_raw!$A$1,(ROW()-1)*4+COLUMN()-1,0)</f>
        <v>307</v>
      </c>
      <c r="B307" t="str">
        <f ca="1">OFFSET(srt_raw!$A$1,(ROW()-1)*4+COLUMN()-1,0)</f>
        <v>00:16:36,700 --&gt; 00:16:39,140</v>
      </c>
      <c r="C307" t="str">
        <f ca="1">OFFSET(srt_raw!$A$1,(ROW()-1)*4+COLUMN()-1,0)</f>
        <v>假如我们保留B撇撇的对角线，</v>
      </c>
      <c r="D307" t="str">
        <f t="shared" ca="1" si="8"/>
        <v>00:16:36,700</v>
      </c>
      <c r="E307" t="str">
        <f t="shared" ca="1" si="9"/>
        <v>00:16:39,140</v>
      </c>
    </row>
    <row r="308" spans="1:5" x14ac:dyDescent="0.3">
      <c r="A308">
        <f ca="1">OFFSET(srt_raw!$A$1,(ROW()-1)*4+COLUMN()-1,0)</f>
        <v>308</v>
      </c>
      <c r="B308" t="str">
        <f ca="1">OFFSET(srt_raw!$A$1,(ROW()-1)*4+COLUMN()-1,0)</f>
        <v>00:16:39,140 --&gt; 00:16:41,020</v>
      </c>
      <c r="C308" t="str">
        <f ca="1">OFFSET(srt_raw!$A$1,(ROW()-1)*4+COLUMN()-1,0)</f>
        <v>则有C等于B撇F。</v>
      </c>
      <c r="D308" t="str">
        <f t="shared" ca="1" si="8"/>
        <v>00:16:39,140</v>
      </c>
      <c r="E308" t="str">
        <f t="shared" ca="1" si="9"/>
        <v>00:16:41,020</v>
      </c>
    </row>
    <row r="309" spans="1:5" x14ac:dyDescent="0.3">
      <c r="A309">
        <f ca="1">OFFSET(srt_raw!$A$1,(ROW()-1)*4+COLUMN()-1,0)</f>
        <v>309</v>
      </c>
      <c r="B309" t="str">
        <f ca="1">OFFSET(srt_raw!$A$1,(ROW()-1)*4+COLUMN()-1,0)</f>
        <v>00:16:42,660 --&gt; 00:16:43,780</v>
      </c>
      <c r="C309" t="str">
        <f ca="1">OFFSET(srt_raw!$A$1,(ROW()-1)*4+COLUMN()-1,0)</f>
        <v>为了证明这一点，</v>
      </c>
      <c r="D309" t="str">
        <f t="shared" ca="1" si="8"/>
        <v>00:16:42,660</v>
      </c>
      <c r="E309" t="str">
        <f t="shared" ca="1" si="9"/>
        <v>00:16:43,780</v>
      </c>
    </row>
    <row r="310" spans="1:5" x14ac:dyDescent="0.3">
      <c r="A310">
        <f ca="1">OFFSET(srt_raw!$A$1,(ROW()-1)*4+COLUMN()-1,0)</f>
        <v>310</v>
      </c>
      <c r="B310" t="str">
        <f ca="1">OFFSET(srt_raw!$A$1,(ROW()-1)*4+COLUMN()-1,0)</f>
        <v>00:16:43,780 --&gt; 00:16:48,300</v>
      </c>
      <c r="C310" t="str">
        <f ca="1">OFFSET(srt_raw!$A$1,(ROW()-1)*4+COLUMN()-1,0)</f>
        <v>我们假定B撇F等于C撇得出以上递推公式。</v>
      </c>
      <c r="D310" t="str">
        <f t="shared" ca="1" si="8"/>
        <v>00:16:43,780</v>
      </c>
      <c r="E310" t="str">
        <f t="shared" ca="1" si="9"/>
        <v>00:16:48,300</v>
      </c>
    </row>
    <row r="311" spans="1:5" x14ac:dyDescent="0.3">
      <c r="A311">
        <f ca="1">OFFSET(srt_raw!$A$1,(ROW()-1)*4+COLUMN()-1,0)</f>
        <v>311</v>
      </c>
      <c r="B311" t="str">
        <f ca="1">OFFSET(srt_raw!$A$1,(ROW()-1)*4+COLUMN()-1,0)</f>
        <v>00:16:48,300 --&gt; 00:16:51,420</v>
      </c>
      <c r="C311" t="str">
        <f ca="1">OFFSET(srt_raw!$A$1,(ROW()-1)*4+COLUMN()-1,0)</f>
        <v>由于C撇的递推公式和C是相同的，</v>
      </c>
      <c r="D311" t="str">
        <f t="shared" ca="1" si="8"/>
        <v>00:16:48,300</v>
      </c>
      <c r="E311" t="str">
        <f t="shared" ca="1" si="9"/>
        <v>00:16:51,420</v>
      </c>
    </row>
    <row r="312" spans="1:5" x14ac:dyDescent="0.3">
      <c r="A312">
        <f ca="1">OFFSET(srt_raw!$A$1,(ROW()-1)*4+COLUMN()-1,0)</f>
        <v>312</v>
      </c>
      <c r="B312" t="str">
        <f ca="1">OFFSET(srt_raw!$A$1,(ROW()-1)*4+COLUMN()-1,0)</f>
        <v>00:16:51,420 --&gt; 00:16:53,660</v>
      </c>
      <c r="C312" t="str">
        <f ca="1">OFFSET(srt_raw!$A$1,(ROW()-1)*4+COLUMN()-1,0)</f>
        <v>因此这里的C撇就是C，</v>
      </c>
      <c r="D312" t="str">
        <f t="shared" ca="1" si="8"/>
        <v>00:16:51,420</v>
      </c>
      <c r="E312" t="str">
        <f t="shared" ca="1" si="9"/>
        <v>00:16:53,660</v>
      </c>
    </row>
    <row r="313" spans="1:5" x14ac:dyDescent="0.3">
      <c r="A313">
        <f ca="1">OFFSET(srt_raw!$A$1,(ROW()-1)*4+COLUMN()-1,0)</f>
        <v>313</v>
      </c>
      <c r="B313" t="str">
        <f ca="1">OFFSET(srt_raw!$A$1,(ROW()-1)*4+COLUMN()-1,0)</f>
        <v>00:16:53,660 --&gt; 00:16:56,180</v>
      </c>
      <c r="C313" t="str">
        <f ca="1">OFFSET(srt_raw!$A$1,(ROW()-1)*4+COLUMN()-1,0)</f>
        <v>即C撇等于C等于B撇F。</v>
      </c>
      <c r="D313" t="str">
        <f t="shared" ca="1" si="8"/>
        <v>00:16:53,660</v>
      </c>
      <c r="E313" t="str">
        <f t="shared" ca="1" si="9"/>
        <v>00:16:56,180</v>
      </c>
    </row>
    <row r="314" spans="1:5" x14ac:dyDescent="0.3">
      <c r="A314">
        <f ca="1">OFFSET(srt_raw!$A$1,(ROW()-1)*4+COLUMN()-1,0)</f>
        <v>314</v>
      </c>
      <c r="B314" t="str">
        <f ca="1">OFFSET(srt_raw!$A$1,(ROW()-1)*4+COLUMN()-1,0)</f>
        <v>00:16:57,660 --&gt; 00:16:59,460</v>
      </c>
      <c r="C314" t="str">
        <f ca="1">OFFSET(srt_raw!$A$1,(ROW()-1)*4+COLUMN()-1,0)</f>
        <v>由于C等于B撇F，</v>
      </c>
      <c r="D314" t="str">
        <f t="shared" ca="1" si="8"/>
        <v>00:16:57,660</v>
      </c>
      <c r="E314" t="str">
        <f t="shared" ca="1" si="9"/>
        <v>00:16:59,460</v>
      </c>
    </row>
    <row r="315" spans="1:5" x14ac:dyDescent="0.3">
      <c r="A315">
        <f ca="1">OFFSET(srt_raw!$A$1,(ROW()-1)*4+COLUMN()-1,0)</f>
        <v>315</v>
      </c>
      <c r="B315" t="str">
        <f ca="1">OFFSET(srt_raw!$A$1,(ROW()-1)*4+COLUMN()-1,0)</f>
        <v>00:16:59,580 --&gt; 00:17:02,020</v>
      </c>
      <c r="C315" t="str">
        <f ca="1">OFFSET(srt_raw!$A$1,(ROW()-1)*4+COLUMN()-1,0)</f>
        <v>我们可以推得P等于C加F。</v>
      </c>
      <c r="D315" t="str">
        <f t="shared" ca="1" si="8"/>
        <v>00:16:59,580</v>
      </c>
      <c r="E315" t="str">
        <f t="shared" ca="1" si="9"/>
        <v>00:17:02,020</v>
      </c>
    </row>
    <row r="316" spans="1:5" x14ac:dyDescent="0.3">
      <c r="A316">
        <f ca="1">OFFSET(srt_raw!$A$1,(ROW()-1)*4+COLUMN()-1,0)</f>
        <v>316</v>
      </c>
      <c r="B316" t="str">
        <f ca="1">OFFSET(srt_raw!$A$1,(ROW()-1)*4+COLUMN()-1,0)</f>
        <v>00:17:02,620 --&gt; 00:17:03,180</v>
      </c>
      <c r="C316" t="str">
        <f ca="1">OFFSET(srt_raw!$A$1,(ROW()-1)*4+COLUMN()-1,0)</f>
        <v>因此，</v>
      </c>
      <c r="D316" t="str">
        <f t="shared" ca="1" si="8"/>
        <v>00:17:02,620</v>
      </c>
      <c r="E316" t="str">
        <f t="shared" ca="1" si="9"/>
        <v>00:17:03,180</v>
      </c>
    </row>
    <row r="317" spans="1:5" x14ac:dyDescent="0.3">
      <c r="A317">
        <f ca="1">OFFSET(srt_raw!$A$1,(ROW()-1)*4+COLUMN()-1,0)</f>
        <v>317</v>
      </c>
      <c r="B317" t="str">
        <f ca="1">OFFSET(srt_raw!$A$1,(ROW()-1)*4+COLUMN()-1,0)</f>
        <v>00:17:03,180 --&gt; 00:17:06,900</v>
      </c>
      <c r="C317" t="str">
        <f ca="1">OFFSET(srt_raw!$A$1,(ROW()-1)*4+COLUMN()-1,0)</f>
        <v>我们可以计算出C和F叠加后直接求得P，</v>
      </c>
      <c r="D317" t="str">
        <f t="shared" ca="1" si="8"/>
        <v>00:17:03,180</v>
      </c>
      <c r="E317" t="str">
        <f t="shared" ca="1" si="9"/>
        <v>00:17:06,900</v>
      </c>
    </row>
    <row r="318" spans="1:5" x14ac:dyDescent="0.3">
      <c r="A318">
        <f ca="1">OFFSET(srt_raw!$A$1,(ROW()-1)*4+COLUMN()-1,0)</f>
        <v>318</v>
      </c>
      <c r="B318" t="str">
        <f ca="1">OFFSET(srt_raw!$A$1,(ROW()-1)*4+COLUMN()-1,0)</f>
        <v>00:17:06,900 --&gt; 00:17:08,340</v>
      </c>
      <c r="C318" t="str">
        <f ca="1">OFFSET(srt_raw!$A$1,(ROW()-1)*4+COLUMN()-1,0)</f>
        <v>无需使用矩阵乘法。</v>
      </c>
      <c r="D318" t="str">
        <f t="shared" ca="1" si="8"/>
        <v>00:17:06,900</v>
      </c>
      <c r="E318" t="str">
        <f t="shared" ca="1" si="9"/>
        <v>00:17:08,340</v>
      </c>
    </row>
    <row r="319" spans="1:5" x14ac:dyDescent="0.3">
      <c r="A319">
        <f ca="1">OFFSET(srt_raw!$A$1,(ROW()-1)*4+COLUMN()-1,0)</f>
        <v>319</v>
      </c>
      <c r="B319" t="str">
        <f ca="1">OFFSET(srt_raw!$A$1,(ROW()-1)*4+COLUMN()-1,0)</f>
        <v>00:17:09,820 --&gt; 00:17:10,460</v>
      </c>
      <c r="C319" t="str">
        <f ca="1">OFFSET(srt_raw!$A$1,(ROW()-1)*4+COLUMN()-1,0)</f>
        <v>同时，</v>
      </c>
      <c r="D319" t="str">
        <f t="shared" ca="1" si="8"/>
        <v>00:17:09,820</v>
      </c>
      <c r="E319" t="str">
        <f t="shared" ca="1" si="9"/>
        <v>00:17:10,460</v>
      </c>
    </row>
    <row r="320" spans="1:5" x14ac:dyDescent="0.3">
      <c r="A320">
        <f ca="1">OFFSET(srt_raw!$A$1,(ROW()-1)*4+COLUMN()-1,0)</f>
        <v>320</v>
      </c>
      <c r="B320" t="str">
        <f ca="1">OFFSET(srt_raw!$A$1,(ROW()-1)*4+COLUMN()-1,0)</f>
        <v>00:17:10,460 --&gt; 00:17:12,340</v>
      </c>
      <c r="C320" t="str">
        <f ca="1">OFFSET(srt_raw!$A$1,(ROW()-1)*4+COLUMN()-1,0)</f>
        <v>由于P等于C加F。</v>
      </c>
      <c r="D320" t="str">
        <f t="shared" ca="1" si="8"/>
        <v>00:17:10,460</v>
      </c>
      <c r="E320" t="str">
        <f t="shared" ca="1" si="9"/>
        <v>00:17:12,340</v>
      </c>
    </row>
    <row r="321" spans="1:5" x14ac:dyDescent="0.3">
      <c r="A321">
        <f ca="1">OFFSET(srt_raw!$A$1,(ROW()-1)*4+COLUMN()-1,0)</f>
        <v>321</v>
      </c>
      <c r="B321" t="str">
        <f ca="1">OFFSET(srt_raw!$A$1,(ROW()-1)*4+COLUMN()-1,0)</f>
        <v>00:17:12,540 --&gt; 00:17:14,660</v>
      </c>
      <c r="C321" t="str">
        <f ca="1">OFFSET(srt_raw!$A$1,(ROW()-1)*4+COLUMN()-1,0)</f>
        <v>P也可以写成这个递推公式，</v>
      </c>
      <c r="D321" t="str">
        <f t="shared" ca="1" si="8"/>
        <v>00:17:12,540</v>
      </c>
      <c r="E321" t="str">
        <f t="shared" ca="1" si="9"/>
        <v>00:17:14,660</v>
      </c>
    </row>
    <row r="322" spans="1:5" x14ac:dyDescent="0.3">
      <c r="A322">
        <f ca="1">OFFSET(srt_raw!$A$1,(ROW()-1)*4+COLUMN()-1,0)</f>
        <v>322</v>
      </c>
      <c r="B322" t="str">
        <f ca="1">OFFSET(srt_raw!$A$1,(ROW()-1)*4+COLUMN()-1,0)</f>
        <v>00:17:14,860 --&gt; 00:17:20,940</v>
      </c>
      <c r="C322" t="str">
        <f ca="1">OFFSET(srt_raw!$A$1,(ROW()-1)*4+COLUMN()-1,0)</f>
        <v>从而无需BC或F直接在ON的时间内由P的递推公式推得。</v>
      </c>
      <c r="D322" t="str">
        <f t="shared" ref="D322:D385" ca="1" si="10">LEFT(B322,12)</f>
        <v>00:17:14,860</v>
      </c>
      <c r="E322" t="str">
        <f t="shared" ref="E322:E385" ca="1" si="11">RIGHT(B322,12)</f>
        <v>00:17:20,940</v>
      </c>
    </row>
    <row r="323" spans="1:5" x14ac:dyDescent="0.3">
      <c r="A323">
        <f ca="1">OFFSET(srt_raw!$A$1,(ROW()-1)*4+COLUMN()-1,0)</f>
        <v>323</v>
      </c>
      <c r="B323" t="str">
        <f ca="1">OFFSET(srt_raw!$A$1,(ROW()-1)*4+COLUMN()-1,0)</f>
        <v>00:17:22,540 --&gt; 00:17:24,060</v>
      </c>
      <c r="C323" t="str">
        <f ca="1">OFFSET(srt_raw!$A$1,(ROW()-1)*4+COLUMN()-1,0)</f>
        <v>由于这个证明较长，</v>
      </c>
      <c r="D323" t="str">
        <f t="shared" ca="1" si="10"/>
        <v>00:17:22,540</v>
      </c>
      <c r="E323" t="str">
        <f t="shared" ca="1" si="11"/>
        <v>00:17:24,060</v>
      </c>
    </row>
    <row r="324" spans="1:5" x14ac:dyDescent="0.3">
      <c r="A324">
        <f ca="1">OFFSET(srt_raw!$A$1,(ROW()-1)*4+COLUMN()-1,0)</f>
        <v>324</v>
      </c>
      <c r="B324" t="str">
        <f ca="1">OFFSET(srt_raw!$A$1,(ROW()-1)*4+COLUMN()-1,0)</f>
        <v>00:17:24,140 --&gt; 00:17:26,660</v>
      </c>
      <c r="C324" t="str">
        <f ca="1">OFFSET(srt_raw!$A$1,(ROW()-1)*4+COLUMN()-1,0)</f>
        <v>因此这里就不展示出来了。</v>
      </c>
      <c r="D324" t="str">
        <f t="shared" ca="1" si="10"/>
        <v>00:17:24,140</v>
      </c>
      <c r="E324" t="str">
        <f t="shared" ca="1" si="11"/>
        <v>00:17:26,660</v>
      </c>
    </row>
    <row r="325" spans="1:5" x14ac:dyDescent="0.3">
      <c r="A325">
        <f ca="1">OFFSET(srt_raw!$A$1,(ROW()-1)*4+COLUMN()-1,0)</f>
        <v>325</v>
      </c>
      <c r="B325" t="str">
        <f ca="1">OFFSET(srt_raw!$A$1,(ROW()-1)*4+COLUMN()-1,0)</f>
        <v>00:17:26,660 --&gt; 00:17:32,580</v>
      </c>
      <c r="C325" t="str">
        <f ca="1">OFFSET(srt_raw!$A$1,(ROW()-1)*4+COLUMN()-1,0)</f>
        <v>有兴趣的小伙伴可以从C和F的递推公式自行证明。</v>
      </c>
      <c r="D325" t="str">
        <f t="shared" ca="1" si="10"/>
        <v>00:17:26,660</v>
      </c>
      <c r="E325" t="str">
        <f t="shared" ca="1" si="11"/>
        <v>00:17:32,580</v>
      </c>
    </row>
    <row r="326" spans="1:5" x14ac:dyDescent="0.3">
      <c r="A326">
        <f ca="1">OFFSET(srt_raw!$A$1,(ROW()-1)*4+COLUMN()-1,0)</f>
        <v>326</v>
      </c>
      <c r="B326" t="str">
        <f ca="1">OFFSET(srt_raw!$A$1,(ROW()-1)*4+COLUMN()-1,0)</f>
        <v>00:17:32,580 --&gt; 00:17:35,020</v>
      </c>
      <c r="C326" t="str">
        <f ca="1">OFFSET(srt_raw!$A$1,(ROW()-1)*4+COLUMN()-1,0)</f>
        <v>现在我们已用多种方法求得了P，</v>
      </c>
      <c r="D326" t="str">
        <f t="shared" ca="1" si="10"/>
        <v>00:17:32,580</v>
      </c>
      <c r="E326" t="str">
        <f t="shared" ca="1" si="11"/>
        <v>00:17:35,020</v>
      </c>
    </row>
    <row r="327" spans="1:5" x14ac:dyDescent="0.3">
      <c r="A327">
        <f ca="1">OFFSET(srt_raw!$A$1,(ROW()-1)*4+COLUMN()-1,0)</f>
        <v>327</v>
      </c>
      <c r="B327" t="str">
        <f ca="1">OFFSET(srt_raw!$A$1,(ROW()-1)*4+COLUMN()-1,0)</f>
        <v>00:17:35,100 --&gt; 00:17:38,620</v>
      </c>
      <c r="C327" t="str">
        <f ca="1">OFFSET(srt_raw!$A$1,(ROW()-1)*4+COLUMN()-1,0)</f>
        <v>并将原始问题转化为了PHX等于Y，</v>
      </c>
      <c r="D327" t="str">
        <f t="shared" ca="1" si="10"/>
        <v>00:17:35,100</v>
      </c>
      <c r="E327" t="str">
        <f t="shared" ca="1" si="11"/>
        <v>00:17:38,620</v>
      </c>
    </row>
    <row r="328" spans="1:5" x14ac:dyDescent="0.3">
      <c r="A328">
        <f ca="1">OFFSET(srt_raw!$A$1,(ROW()-1)*4+COLUMN()-1,0)</f>
        <v>328</v>
      </c>
      <c r="B328" t="str">
        <f ca="1">OFFSET(srt_raw!$A$1,(ROW()-1)*4+COLUMN()-1,0)</f>
        <v>00:17:38,860 --&gt; 00:17:40,060</v>
      </c>
      <c r="C328" t="str">
        <f ca="1">OFFSET(srt_raw!$A$1,(ROW()-1)*4+COLUMN()-1,0)</f>
        <v>可这又有什么用呢？</v>
      </c>
      <c r="D328" t="str">
        <f t="shared" ca="1" si="10"/>
        <v>00:17:38,860</v>
      </c>
      <c r="E328" t="str">
        <f t="shared" ca="1" si="11"/>
        <v>00:17:40,060</v>
      </c>
    </row>
    <row r="329" spans="1:5" x14ac:dyDescent="0.3">
      <c r="A329">
        <f ca="1">OFFSET(srt_raw!$A$1,(ROW()-1)*4+COLUMN()-1,0)</f>
        <v>329</v>
      </c>
      <c r="B329" t="str">
        <f ca="1">OFFSET(srt_raw!$A$1,(ROW()-1)*4+COLUMN()-1,0)</f>
        <v>00:17:41,580 --&gt; 00:17:42,380</v>
      </c>
      <c r="C329" t="str">
        <f ca="1">OFFSET(srt_raw!$A$1,(ROW()-1)*4+COLUMN()-1,0)</f>
        <v>试想一下，</v>
      </c>
      <c r="D329" t="str">
        <f t="shared" ca="1" si="10"/>
        <v>00:17:41,580</v>
      </c>
      <c r="E329" t="str">
        <f t="shared" ca="1" si="11"/>
        <v>00:17:42,380</v>
      </c>
    </row>
    <row r="330" spans="1:5" x14ac:dyDescent="0.3">
      <c r="A330">
        <f ca="1">OFFSET(srt_raw!$A$1,(ROW()-1)*4+COLUMN()-1,0)</f>
        <v>330</v>
      </c>
      <c r="B330" t="str">
        <f ca="1">OFFSET(srt_raw!$A$1,(ROW()-1)*4+COLUMN()-1,0)</f>
        <v>00:17:42,380 --&gt; 00:17:48,140</v>
      </c>
      <c r="C330" t="str">
        <f ca="1">OFFSET(srt_raw!$A$1,(ROW()-1)*4+COLUMN()-1,0)</f>
        <v>如果有一个多项式QX满足QXPX等于1modFX，</v>
      </c>
      <c r="D330" t="str">
        <f t="shared" ca="1" si="10"/>
        <v>00:17:42,380</v>
      </c>
      <c r="E330" t="str">
        <f t="shared" ca="1" si="11"/>
        <v>00:17:48,140</v>
      </c>
    </row>
    <row r="331" spans="1:5" x14ac:dyDescent="0.3">
      <c r="A331">
        <f ca="1">OFFSET(srt_raw!$A$1,(ROW()-1)*4+COLUMN()-1,0)</f>
        <v>331</v>
      </c>
      <c r="B331" t="str">
        <f ca="1">OFFSET(srt_raw!$A$1,(ROW()-1)*4+COLUMN()-1,0)</f>
        <v>00:17:48,140 --&gt; 00:17:51,980</v>
      </c>
      <c r="C331" t="str">
        <f ca="1">OFFSET(srt_raw!$A$1,(ROW()-1)*4+COLUMN()-1,0)</f>
        <v>这里的FX就是前面提到的多项式FNX，</v>
      </c>
      <c r="D331" t="str">
        <f t="shared" ca="1" si="10"/>
        <v>00:17:48,140</v>
      </c>
      <c r="E331" t="str">
        <f t="shared" ca="1" si="11"/>
        <v>00:17:51,980</v>
      </c>
    </row>
    <row r="332" spans="1:5" x14ac:dyDescent="0.3">
      <c r="A332">
        <f ca="1">OFFSET(srt_raw!$A$1,(ROW()-1)*4+COLUMN()-1,0)</f>
        <v>332</v>
      </c>
      <c r="B332" t="str">
        <f ca="1">OFFSET(srt_raw!$A$1,(ROW()-1)*4+COLUMN()-1,0)</f>
        <v>00:17:53,500 --&gt; 00:17:59,180</v>
      </c>
      <c r="C332" t="str">
        <f ca="1">OFFSET(srt_raw!$A$1,(ROW()-1)*4+COLUMN()-1,0)</f>
        <v>那么将式子两边同时乘以QH便有X等于QHY，</v>
      </c>
      <c r="D332" t="str">
        <f t="shared" ca="1" si="10"/>
        <v>00:17:53,500</v>
      </c>
      <c r="E332" t="str">
        <f t="shared" ca="1" si="11"/>
        <v>00:17:59,180</v>
      </c>
    </row>
    <row r="333" spans="1:5" x14ac:dyDescent="0.3">
      <c r="A333">
        <f ca="1">OFFSET(srt_raw!$A$1,(ROW()-1)*4+COLUMN()-1,0)</f>
        <v>333</v>
      </c>
      <c r="B333" t="str">
        <f ca="1">OFFSET(srt_raw!$A$1,(ROW()-1)*4+COLUMN()-1,0)</f>
        <v>00:17:59,740 --&gt; 00:18:01,900</v>
      </c>
      <c r="C333" t="str">
        <f ca="1">OFFSET(srt_raw!$A$1,(ROW()-1)*4+COLUMN()-1,0)</f>
        <v>这样我们就能立即求出X。</v>
      </c>
      <c r="D333" t="str">
        <f t="shared" ca="1" si="10"/>
        <v>00:17:59,740</v>
      </c>
      <c r="E333" t="str">
        <f t="shared" ca="1" si="11"/>
        <v>00:18:01,900</v>
      </c>
    </row>
    <row r="334" spans="1:5" x14ac:dyDescent="0.3">
      <c r="A334">
        <f ca="1">OFFSET(srt_raw!$A$1,(ROW()-1)*4+COLUMN()-1,0)</f>
        <v>334</v>
      </c>
      <c r="B334" t="str">
        <f ca="1">OFFSET(srt_raw!$A$1,(ROW()-1)*4+COLUMN()-1,0)</f>
        <v>00:18:03,340 --&gt; 00:18:08,300</v>
      </c>
      <c r="C334" t="str">
        <f ca="1">OFFSET(srt_raw!$A$1,(ROW()-1)*4+COLUMN()-1,0)</f>
        <v>我们把这样的多项式QX称之为PX的逆多项式，</v>
      </c>
      <c r="D334" t="str">
        <f t="shared" ca="1" si="10"/>
        <v>00:18:03,340</v>
      </c>
      <c r="E334" t="str">
        <f t="shared" ca="1" si="11"/>
        <v>00:18:08,300</v>
      </c>
    </row>
    <row r="335" spans="1:5" x14ac:dyDescent="0.3">
      <c r="A335">
        <f ca="1">OFFSET(srt_raw!$A$1,(ROW()-1)*4+COLUMN()-1,0)</f>
        <v>335</v>
      </c>
      <c r="B335" t="str">
        <f ca="1">OFFSET(srt_raw!$A$1,(ROW()-1)*4+COLUMN()-1,0)</f>
        <v>00:18:08,300 --&gt; 00:18:11,220</v>
      </c>
      <c r="C335" t="str">
        <f ca="1">OFFSET(srt_raw!$A$1,(ROW()-1)*4+COLUMN()-1,0)</f>
        <v>那么如何求出逆多项式QX呢？</v>
      </c>
      <c r="D335" t="str">
        <f t="shared" ca="1" si="10"/>
        <v>00:18:08,300</v>
      </c>
      <c r="E335" t="str">
        <f t="shared" ca="1" si="11"/>
        <v>00:18:11,220</v>
      </c>
    </row>
    <row r="336" spans="1:5" x14ac:dyDescent="0.3">
      <c r="A336">
        <f ca="1">OFFSET(srt_raw!$A$1,(ROW()-1)*4+COLUMN()-1,0)</f>
        <v>336</v>
      </c>
      <c r="B336" t="str">
        <f ca="1">OFFSET(srt_raw!$A$1,(ROW()-1)*4+COLUMN()-1,0)</f>
        <v>00:18:12,620 --&gt; 00:18:15,100</v>
      </c>
      <c r="C336" t="str">
        <f ca="1">OFFSET(srt_raw!$A$1,(ROW()-1)*4+COLUMN()-1,0)</f>
        <v>我们可以使用扩展欧几里德算法，</v>
      </c>
      <c r="D336" t="str">
        <f t="shared" ca="1" si="10"/>
        <v>00:18:12,620</v>
      </c>
      <c r="E336" t="str">
        <f t="shared" ca="1" si="11"/>
        <v>00:18:15,100</v>
      </c>
    </row>
    <row r="337" spans="1:5" x14ac:dyDescent="0.3">
      <c r="A337">
        <f ca="1">OFFSET(srt_raw!$A$1,(ROW()-1)*4+COLUMN()-1,0)</f>
        <v>337</v>
      </c>
      <c r="B337" t="str">
        <f ca="1">OFFSET(srt_raw!$A$1,(ROW()-1)*4+COLUMN()-1,0)</f>
        <v>00:18:15,180 --&gt; 00:18:18,460</v>
      </c>
      <c r="C337" t="str">
        <f ca="1">OFFSET(srt_raw!$A$1,(ROW()-1)*4+COLUMN()-1,0)</f>
        <v>通过FX和PX来求取QX。</v>
      </c>
      <c r="D337" t="str">
        <f t="shared" ca="1" si="10"/>
        <v>00:18:15,180</v>
      </c>
      <c r="E337" t="str">
        <f t="shared" ca="1" si="11"/>
        <v>00:18:18,460</v>
      </c>
    </row>
    <row r="338" spans="1:5" x14ac:dyDescent="0.3">
      <c r="A338">
        <f ca="1">OFFSET(srt_raw!$A$1,(ROW()-1)*4+COLUMN()-1,0)</f>
        <v>338</v>
      </c>
      <c r="B338" t="str">
        <f ca="1">OFFSET(srt_raw!$A$1,(ROW()-1)*4+COLUMN()-1,0)</f>
        <v>00:18:20,140 --&gt; 00:18:25,460</v>
      </c>
      <c r="C338" t="str">
        <f ca="1">OFFSET(srt_raw!$A$1,(ROW()-1)*4+COLUMN()-1,0)</f>
        <v>这里我们同时定义一个零多项式OX和单位多项式EX，</v>
      </c>
      <c r="D338" t="str">
        <f t="shared" ca="1" si="10"/>
        <v>00:18:20,140</v>
      </c>
      <c r="E338" t="str">
        <f t="shared" ca="1" si="11"/>
        <v>00:18:25,460</v>
      </c>
    </row>
    <row r="339" spans="1:5" x14ac:dyDescent="0.3">
      <c r="A339">
        <f ca="1">OFFSET(srt_raw!$A$1,(ROW()-1)*4+COLUMN()-1,0)</f>
        <v>339</v>
      </c>
      <c r="B339" t="str">
        <f ca="1">OFFSET(srt_raw!$A$1,(ROW()-1)*4+COLUMN()-1,0)</f>
        <v>00:18:25,460 --&gt; 00:18:28,220</v>
      </c>
      <c r="C339" t="str">
        <f ca="1">OFFSET(srt_raw!$A$1,(ROW()-1)*4+COLUMN()-1,0)</f>
        <v>在对FX和PX操作的同时，</v>
      </c>
      <c r="D339" t="str">
        <f t="shared" ca="1" si="10"/>
        <v>00:18:25,460</v>
      </c>
      <c r="E339" t="str">
        <f t="shared" ca="1" si="11"/>
        <v>00:18:28,220</v>
      </c>
    </row>
    <row r="340" spans="1:5" x14ac:dyDescent="0.3">
      <c r="A340">
        <f ca="1">OFFSET(srt_raw!$A$1,(ROW()-1)*4+COLUMN()-1,0)</f>
        <v>340</v>
      </c>
      <c r="B340" t="str">
        <f ca="1">OFFSET(srt_raw!$A$1,(ROW()-1)*4+COLUMN()-1,0)</f>
        <v>00:18:28,220 --&gt; 00:18:32,660</v>
      </c>
      <c r="C340" t="str">
        <f ca="1">OFFSET(srt_raw!$A$1,(ROW()-1)*4+COLUMN()-1,0)</f>
        <v>对OX和EX做相同的操作。</v>
      </c>
      <c r="D340" t="str">
        <f t="shared" ca="1" si="10"/>
        <v>00:18:28,220</v>
      </c>
      <c r="E340" t="str">
        <f t="shared" ca="1" si="11"/>
        <v>00:18:32,660</v>
      </c>
    </row>
    <row r="341" spans="1:5" x14ac:dyDescent="0.3">
      <c r="A341">
        <f ca="1">OFFSET(srt_raw!$A$1,(ROW()-1)*4+COLUMN()-1,0)</f>
        <v>341</v>
      </c>
      <c r="B341" t="str">
        <f ca="1">OFFSET(srt_raw!$A$1,(ROW()-1)*4+COLUMN()-1,0)</f>
        <v>00:18:32,660 --&gt; 00:18:33,900</v>
      </c>
      <c r="C341" t="str">
        <f ca="1">OFFSET(srt_raw!$A$1,(ROW()-1)*4+COLUMN()-1,0)</f>
        <v>类似矩阵求逆，</v>
      </c>
      <c r="D341" t="str">
        <f t="shared" ca="1" si="10"/>
        <v>00:18:32,660</v>
      </c>
      <c r="E341" t="str">
        <f t="shared" ca="1" si="11"/>
        <v>00:18:33,900</v>
      </c>
    </row>
    <row r="342" spans="1:5" x14ac:dyDescent="0.3">
      <c r="A342">
        <f ca="1">OFFSET(srt_raw!$A$1,(ROW()-1)*4+COLUMN()-1,0)</f>
        <v>342</v>
      </c>
      <c r="B342" t="str">
        <f ca="1">OFFSET(srt_raw!$A$1,(ROW()-1)*4+COLUMN()-1,0)</f>
        <v>00:18:33,900 --&gt; 00:18:39,460</v>
      </c>
      <c r="C342" t="str">
        <f ca="1">OFFSET(srt_raw!$A$1,(ROW()-1)*4+COLUMN()-1,0)</f>
        <v>我们的目标是将FX变为零多项式PX变为单位多项式。</v>
      </c>
      <c r="D342" t="str">
        <f t="shared" ca="1" si="10"/>
        <v>00:18:33,900</v>
      </c>
      <c r="E342" t="str">
        <f t="shared" ca="1" si="11"/>
        <v>00:18:39,460</v>
      </c>
    </row>
    <row r="343" spans="1:5" x14ac:dyDescent="0.3">
      <c r="A343">
        <f ca="1">OFFSET(srt_raw!$A$1,(ROW()-1)*4+COLUMN()-1,0)</f>
        <v>343</v>
      </c>
      <c r="B343" t="str">
        <f ca="1">OFFSET(srt_raw!$A$1,(ROW()-1)*4+COLUMN()-1,0)</f>
        <v>00:18:40,980 --&gt; 00:18:42,700</v>
      </c>
      <c r="C343" t="str">
        <f ca="1">OFFSET(srt_raw!$A$1,(ROW()-1)*4+COLUMN()-1,0)</f>
        <v>我们使用辗转相减法，</v>
      </c>
      <c r="D343" t="str">
        <f t="shared" ca="1" si="10"/>
        <v>00:18:40,980</v>
      </c>
      <c r="E343" t="str">
        <f t="shared" ca="1" si="11"/>
        <v>00:18:42,700</v>
      </c>
    </row>
    <row r="344" spans="1:5" x14ac:dyDescent="0.3">
      <c r="A344">
        <f ca="1">OFFSET(srt_raw!$A$1,(ROW()-1)*4+COLUMN()-1,0)</f>
        <v>344</v>
      </c>
      <c r="B344" t="str">
        <f ca="1">OFFSET(srt_raw!$A$1,(ROW()-1)*4+COLUMN()-1,0)</f>
        <v>00:18:42,700 --&gt; 00:18:47,020</v>
      </c>
      <c r="C344" t="str">
        <f ca="1">OFFSET(srt_raw!$A$1,(ROW()-1)*4+COLUMN()-1,0)</f>
        <v>将PX右移使其最高次项和FX对齐，</v>
      </c>
      <c r="D344" t="str">
        <f t="shared" ca="1" si="10"/>
        <v>00:18:42,700</v>
      </c>
      <c r="E344" t="str">
        <f t="shared" ca="1" si="11"/>
        <v>00:18:47,020</v>
      </c>
    </row>
    <row r="345" spans="1:5" x14ac:dyDescent="0.3">
      <c r="A345">
        <f ca="1">OFFSET(srt_raw!$A$1,(ROW()-1)*4+COLUMN()-1,0)</f>
        <v>345</v>
      </c>
      <c r="B345" t="str">
        <f ca="1">OFFSET(srt_raw!$A$1,(ROW()-1)*4+COLUMN()-1,0)</f>
        <v>00:18:47,020 --&gt; 00:18:48,940</v>
      </c>
      <c r="C345" t="str">
        <f ca="1">OFFSET(srt_raw!$A$1,(ROW()-1)*4+COLUMN()-1,0)</f>
        <v>然后叠加到FX上，</v>
      </c>
      <c r="D345" t="str">
        <f t="shared" ca="1" si="10"/>
        <v>00:18:47,020</v>
      </c>
      <c r="E345" t="str">
        <f t="shared" ca="1" si="11"/>
        <v>00:18:48,940</v>
      </c>
    </row>
    <row r="346" spans="1:5" x14ac:dyDescent="0.3">
      <c r="A346">
        <f ca="1">OFFSET(srt_raw!$A$1,(ROW()-1)*4+COLUMN()-1,0)</f>
        <v>346</v>
      </c>
      <c r="B346" t="str">
        <f ca="1">OFFSET(srt_raw!$A$1,(ROW()-1)*4+COLUMN()-1,0)</f>
        <v>00:18:48,940 --&gt; 00:18:52,780</v>
      </c>
      <c r="C346" t="str">
        <f ca="1">OFFSET(srt_raw!$A$1,(ROW()-1)*4+COLUMN()-1,0)</f>
        <v>从而消去FX的最高次项。</v>
      </c>
      <c r="D346" t="str">
        <f t="shared" ca="1" si="10"/>
        <v>00:18:48,940</v>
      </c>
      <c r="E346" t="str">
        <f t="shared" ca="1" si="11"/>
        <v>00:18:52,780</v>
      </c>
    </row>
    <row r="347" spans="1:5" x14ac:dyDescent="0.3">
      <c r="A347">
        <f ca="1">OFFSET(srt_raw!$A$1,(ROW()-1)*4+COLUMN()-1,0)</f>
        <v>347</v>
      </c>
      <c r="B347" t="str">
        <f ca="1">OFFSET(srt_raw!$A$1,(ROW()-1)*4+COLUMN()-1,0)</f>
        <v>00:18:52,780 --&gt; 00:18:53,420</v>
      </c>
      <c r="C347" t="str">
        <f ca="1">OFFSET(srt_raw!$A$1,(ROW()-1)*4+COLUMN()-1,0)</f>
        <v>叠加后，</v>
      </c>
      <c r="D347" t="str">
        <f t="shared" ca="1" si="10"/>
        <v>00:18:52,780</v>
      </c>
      <c r="E347" t="str">
        <f t="shared" ca="1" si="11"/>
        <v>00:18:53,420</v>
      </c>
    </row>
    <row r="348" spans="1:5" x14ac:dyDescent="0.3">
      <c r="A348">
        <f ca="1">OFFSET(srt_raw!$A$1,(ROW()-1)*4+COLUMN()-1,0)</f>
        <v>348</v>
      </c>
      <c r="B348" t="str">
        <f ca="1">OFFSET(srt_raw!$A$1,(ROW()-1)*4+COLUMN()-1,0)</f>
        <v>00:18:53,420 --&gt; 00:18:57,180</v>
      </c>
      <c r="C348" t="str">
        <f ca="1">OFFSET(srt_raw!$A$1,(ROW()-1)*4+COLUMN()-1,0)</f>
        <v>如果FX的最高次数仍旧大于等于PX，</v>
      </c>
      <c r="D348" t="str">
        <f t="shared" ca="1" si="10"/>
        <v>00:18:53,420</v>
      </c>
      <c r="E348" t="str">
        <f t="shared" ca="1" si="11"/>
        <v>00:18:57,180</v>
      </c>
    </row>
    <row r="349" spans="1:5" x14ac:dyDescent="0.3">
      <c r="A349">
        <f ca="1">OFFSET(srt_raw!$A$1,(ROW()-1)*4+COLUMN()-1,0)</f>
        <v>349</v>
      </c>
      <c r="B349" t="str">
        <f ca="1">OFFSET(srt_raw!$A$1,(ROW()-1)*4+COLUMN()-1,0)</f>
        <v>00:18:57,180 --&gt; 00:19:02,020</v>
      </c>
      <c r="C349" t="str">
        <f ca="1">OFFSET(srt_raw!$A$1,(ROW()-1)*4+COLUMN()-1,0)</f>
        <v>则继续右移PX并叠加到FX上。</v>
      </c>
      <c r="D349" t="str">
        <f t="shared" ca="1" si="10"/>
        <v>00:18:57,180</v>
      </c>
      <c r="E349" t="str">
        <f t="shared" ca="1" si="11"/>
        <v>00:19:02,020</v>
      </c>
    </row>
    <row r="350" spans="1:5" x14ac:dyDescent="0.3">
      <c r="A350">
        <f ca="1">OFFSET(srt_raw!$A$1,(ROW()-1)*4+COLUMN()-1,0)</f>
        <v>350</v>
      </c>
      <c r="B350" t="str">
        <f ca="1">OFFSET(srt_raw!$A$1,(ROW()-1)*4+COLUMN()-1,0)</f>
        <v>00:19:02,020 --&gt; 00:19:02,540</v>
      </c>
      <c r="C350" t="str">
        <f ca="1">OFFSET(srt_raw!$A$1,(ROW()-1)*4+COLUMN()-1,0)</f>
        <v>否则，</v>
      </c>
      <c r="D350" t="str">
        <f t="shared" ca="1" si="10"/>
        <v>00:19:02,020</v>
      </c>
      <c r="E350" t="str">
        <f t="shared" ca="1" si="11"/>
        <v>00:19:02,540</v>
      </c>
    </row>
    <row r="351" spans="1:5" x14ac:dyDescent="0.3">
      <c r="A351">
        <f ca="1">OFFSET(srt_raw!$A$1,(ROW()-1)*4+COLUMN()-1,0)</f>
        <v>351</v>
      </c>
      <c r="B351" t="str">
        <f ca="1">OFFSET(srt_raw!$A$1,(ROW()-1)*4+COLUMN()-1,0)</f>
        <v>00:19:02,540 --&gt; 00:19:05,580</v>
      </c>
      <c r="C351" t="str">
        <f ca="1">OFFSET(srt_raw!$A$1,(ROW()-1)*4+COLUMN()-1,0)</f>
        <v>当FX的最高次数小于PX时，</v>
      </c>
      <c r="D351" t="str">
        <f t="shared" ca="1" si="10"/>
        <v>00:19:02,540</v>
      </c>
      <c r="E351" t="str">
        <f t="shared" ca="1" si="11"/>
        <v>00:19:05,580</v>
      </c>
    </row>
    <row r="352" spans="1:5" x14ac:dyDescent="0.3">
      <c r="A352">
        <f ca="1">OFFSET(srt_raw!$A$1,(ROW()-1)*4+COLUMN()-1,0)</f>
        <v>352</v>
      </c>
      <c r="B352" t="str">
        <f ca="1">OFFSET(srt_raw!$A$1,(ROW()-1)*4+COLUMN()-1,0)</f>
        <v>00:19:05,580 --&gt; 00:19:07,740</v>
      </c>
      <c r="C352" t="str">
        <f ca="1">OFFSET(srt_raw!$A$1,(ROW()-1)*4+COLUMN()-1,0)</f>
        <v>将PX和FX互换。</v>
      </c>
      <c r="D352" t="str">
        <f t="shared" ca="1" si="10"/>
        <v>00:19:05,580</v>
      </c>
      <c r="E352" t="str">
        <f t="shared" ca="1" si="11"/>
        <v>00:19:07,740</v>
      </c>
    </row>
    <row r="353" spans="1:5" x14ac:dyDescent="0.3">
      <c r="A353">
        <f ca="1">OFFSET(srt_raw!$A$1,(ROW()-1)*4+COLUMN()-1,0)</f>
        <v>353</v>
      </c>
      <c r="B353" t="str">
        <f ca="1">OFFSET(srt_raw!$A$1,(ROW()-1)*4+COLUMN()-1,0)</f>
        <v>00:19:07,980 --&gt; 00:19:11,940</v>
      </c>
      <c r="C353" t="str">
        <f ca="1">OFFSET(srt_raw!$A$1,(ROW()-1)*4+COLUMN()-1,0)</f>
        <v>使得FX的最高次数始终大于或等于PX，</v>
      </c>
      <c r="D353" t="str">
        <f t="shared" ca="1" si="10"/>
        <v>00:19:07,980</v>
      </c>
      <c r="E353" t="str">
        <f t="shared" ca="1" si="11"/>
        <v>00:19:11,940</v>
      </c>
    </row>
    <row r="354" spans="1:5" x14ac:dyDescent="0.3">
      <c r="A354">
        <f ca="1">OFFSET(srt_raw!$A$1,(ROW()-1)*4+COLUMN()-1,0)</f>
        <v>354</v>
      </c>
      <c r="B354" t="str">
        <f ca="1">OFFSET(srt_raw!$A$1,(ROW()-1)*4+COLUMN()-1,0)</f>
        <v>00:19:11,940 --&gt; 00:19:15,500</v>
      </c>
      <c r="C354" t="str">
        <f ca="1">OFFSET(srt_raw!$A$1,(ROW()-1)*4+COLUMN()-1,0)</f>
        <v>让叠加操作可以继续下去。</v>
      </c>
      <c r="D354" t="str">
        <f t="shared" ca="1" si="10"/>
        <v>00:19:11,940</v>
      </c>
      <c r="E354" t="str">
        <f t="shared" ca="1" si="11"/>
        <v>00:19:15,500</v>
      </c>
    </row>
    <row r="355" spans="1:5" x14ac:dyDescent="0.3">
      <c r="A355">
        <f ca="1">OFFSET(srt_raw!$A$1,(ROW()-1)*4+COLUMN()-1,0)</f>
        <v>355</v>
      </c>
      <c r="B355" t="str">
        <f ca="1">OFFSET(srt_raw!$A$1,(ROW()-1)*4+COLUMN()-1,0)</f>
        <v>00:19:15,500 --&gt; 00:19:16,700</v>
      </c>
      <c r="C355" t="str">
        <f ca="1">OFFSET(srt_raw!$A$1,(ROW()-1)*4+COLUMN()-1,0)</f>
        <v>重复这样的操作，</v>
      </c>
      <c r="D355" t="str">
        <f t="shared" ca="1" si="10"/>
        <v>00:19:15,500</v>
      </c>
      <c r="E355" t="str">
        <f t="shared" ca="1" si="11"/>
        <v>00:19:16,700</v>
      </c>
    </row>
    <row r="356" spans="1:5" x14ac:dyDescent="0.3">
      <c r="A356">
        <f ca="1">OFFSET(srt_raw!$A$1,(ROW()-1)*4+COLUMN()-1,0)</f>
        <v>356</v>
      </c>
      <c r="B356" t="str">
        <f ca="1">OFFSET(srt_raw!$A$1,(ROW()-1)*4+COLUMN()-1,0)</f>
        <v>00:19:16,780 --&gt; 00:19:19,300</v>
      </c>
      <c r="C356" t="str">
        <f ca="1">OFFSET(srt_raw!$A$1,(ROW()-1)*4+COLUMN()-1,0)</f>
        <v>直到FX最终被叠加为零。</v>
      </c>
      <c r="D356" t="str">
        <f t="shared" ca="1" si="10"/>
        <v>00:19:16,780</v>
      </c>
      <c r="E356" t="str">
        <f t="shared" ca="1" si="11"/>
        <v>00:19:19,300</v>
      </c>
    </row>
    <row r="357" spans="1:5" x14ac:dyDescent="0.3">
      <c r="A357">
        <f ca="1">OFFSET(srt_raw!$A$1,(ROW()-1)*4+COLUMN()-1,0)</f>
        <v>357</v>
      </c>
      <c r="B357" t="str">
        <f ca="1">OFFSET(srt_raw!$A$1,(ROW()-1)*4+COLUMN()-1,0)</f>
        <v>00:19:20,780 --&gt; 00:19:24,580</v>
      </c>
      <c r="C357" t="str">
        <f ca="1">OFFSET(srt_raw!$A$1,(ROW()-1)*4+COLUMN()-1,0)</f>
        <v>最后剩下的PX为两个多项式的最大公因子，</v>
      </c>
      <c r="D357" t="str">
        <f t="shared" ca="1" si="10"/>
        <v>00:19:20,780</v>
      </c>
      <c r="E357" t="str">
        <f t="shared" ca="1" si="11"/>
        <v>00:19:24,580</v>
      </c>
    </row>
    <row r="358" spans="1:5" x14ac:dyDescent="0.3">
      <c r="A358">
        <f ca="1">OFFSET(srt_raw!$A$1,(ROW()-1)*4+COLUMN()-1,0)</f>
        <v>358</v>
      </c>
      <c r="B358" t="str">
        <f ca="1">OFFSET(srt_raw!$A$1,(ROW()-1)*4+COLUMN()-1,0)</f>
        <v>00:19:24,700 --&gt; 00:19:25,900</v>
      </c>
      <c r="C358" t="str">
        <f ca="1">OFFSET(srt_raw!$A$1,(ROW()-1)*4+COLUMN()-1,0)</f>
        <v>即为GX。</v>
      </c>
      <c r="D358" t="str">
        <f t="shared" ca="1" si="10"/>
        <v>00:19:24,700</v>
      </c>
      <c r="E358" t="str">
        <f t="shared" ca="1" si="11"/>
        <v>00:19:25,900</v>
      </c>
    </row>
    <row r="359" spans="1:5" x14ac:dyDescent="0.3">
      <c r="A359">
        <f ca="1">OFFSET(srt_raw!$A$1,(ROW()-1)*4+COLUMN()-1,0)</f>
        <v>359</v>
      </c>
      <c r="B359" t="str">
        <f ca="1">OFFSET(srt_raw!$A$1,(ROW()-1)*4+COLUMN()-1,0)</f>
        <v>00:19:25,900 --&gt; 00:19:29,140</v>
      </c>
      <c r="C359" t="str">
        <f ca="1">OFFSET(srt_raw!$A$1,(ROW()-1)*4+COLUMN()-1,0)</f>
        <v>同时剩下的EX为PX的逆，</v>
      </c>
      <c r="D359" t="str">
        <f t="shared" ca="1" si="10"/>
        <v>00:19:25,900</v>
      </c>
      <c r="E359" t="str">
        <f t="shared" ca="1" si="11"/>
        <v>00:19:29,140</v>
      </c>
    </row>
    <row r="360" spans="1:5" x14ac:dyDescent="0.3">
      <c r="A360">
        <f ca="1">OFFSET(srt_raw!$A$1,(ROW()-1)*4+COLUMN()-1,0)</f>
        <v>360</v>
      </c>
      <c r="B360" t="str">
        <f ca="1">OFFSET(srt_raw!$A$1,(ROW()-1)*4+COLUMN()-1,0)</f>
        <v>00:19:29,140 --&gt; 00:19:30,460</v>
      </c>
      <c r="C360" t="str">
        <f ca="1">OFFSET(srt_raw!$A$1,(ROW()-1)*4+COLUMN()-1,0)</f>
        <v>也就是QX。</v>
      </c>
      <c r="D360" t="str">
        <f t="shared" ca="1" si="10"/>
        <v>00:19:29,140</v>
      </c>
      <c r="E360" t="str">
        <f t="shared" ca="1" si="11"/>
        <v>00:19:30,460</v>
      </c>
    </row>
    <row r="361" spans="1:5" x14ac:dyDescent="0.3">
      <c r="A361">
        <f ca="1">OFFSET(srt_raw!$A$1,(ROW()-1)*4+COLUMN()-1,0)</f>
        <v>361</v>
      </c>
      <c r="B361" t="str">
        <f ca="1">OFFSET(srt_raw!$A$1,(ROW()-1)*4+COLUMN()-1,0)</f>
        <v>00:19:31,900 --&gt; 00:19:34,220</v>
      </c>
      <c r="C361" t="str">
        <f ca="1">OFFSET(srt_raw!$A$1,(ROW()-1)*4+COLUMN()-1,0)</f>
        <v>我们将QX写成矩阵Q。</v>
      </c>
      <c r="D361" t="str">
        <f t="shared" ca="1" si="10"/>
        <v>00:19:31,900</v>
      </c>
      <c r="E361" t="str">
        <f t="shared" ca="1" si="11"/>
        <v>00:19:34,220</v>
      </c>
    </row>
    <row r="362" spans="1:5" x14ac:dyDescent="0.3">
      <c r="A362">
        <f ca="1">OFFSET(srt_raw!$A$1,(ROW()-1)*4+COLUMN()-1,0)</f>
        <v>362</v>
      </c>
      <c r="B362" t="str">
        <f ca="1">OFFSET(srt_raw!$A$1,(ROW()-1)*4+COLUMN()-1,0)</f>
        <v>00:19:34,820 --&gt; 00:19:38,620</v>
      </c>
      <c r="C362" t="str">
        <f ca="1">OFFSET(srt_raw!$A$1,(ROW()-1)*4+COLUMN()-1,0)</f>
        <v>注意这里的矩阵Q不是前面的完整逆矩阵Q撇，</v>
      </c>
      <c r="D362" t="str">
        <f t="shared" ca="1" si="10"/>
        <v>00:19:34,820</v>
      </c>
      <c r="E362" t="str">
        <f t="shared" ca="1" si="11"/>
        <v>00:19:38,620</v>
      </c>
    </row>
    <row r="363" spans="1:5" x14ac:dyDescent="0.3">
      <c r="A363">
        <f ca="1">OFFSET(srt_raw!$A$1,(ROW()-1)*4+COLUMN()-1,0)</f>
        <v>363</v>
      </c>
      <c r="B363" t="str">
        <f ca="1">OFFSET(srt_raw!$A$1,(ROW()-1)*4+COLUMN()-1,0)</f>
        <v>00:19:38,700 --&gt; 00:19:43,020</v>
      </c>
      <c r="C363" t="str">
        <f ca="1">OFFSET(srt_raw!$A$1,(ROW()-1)*4+COLUMN()-1,0)</f>
        <v>而是把把多个QX拼接起来的结果。</v>
      </c>
      <c r="D363" t="str">
        <f t="shared" ca="1" si="10"/>
        <v>00:19:38,700</v>
      </c>
      <c r="E363" t="str">
        <f t="shared" ca="1" si="11"/>
        <v>00:19:43,020</v>
      </c>
    </row>
    <row r="364" spans="1:5" x14ac:dyDescent="0.3">
      <c r="A364">
        <f ca="1">OFFSET(srt_raw!$A$1,(ROW()-1)*4+COLUMN()-1,0)</f>
        <v>364</v>
      </c>
      <c r="B364" t="str">
        <f ca="1">OFFSET(srt_raw!$A$1,(ROW()-1)*4+COLUMN()-1,0)</f>
        <v>00:19:43,020 --&gt; 00:19:44,980</v>
      </c>
      <c r="C364" t="str">
        <f ca="1">OFFSET(srt_raw!$A$1,(ROW()-1)*4+COLUMN()-1,0)</f>
        <v>现在我们已求得QX，</v>
      </c>
      <c r="D364" t="str">
        <f t="shared" ca="1" si="10"/>
        <v>00:19:43,020</v>
      </c>
      <c r="E364" t="str">
        <f t="shared" ca="1" si="11"/>
        <v>00:19:44,980</v>
      </c>
    </row>
    <row r="365" spans="1:5" x14ac:dyDescent="0.3">
      <c r="A365">
        <f ca="1">OFFSET(srt_raw!$A$1,(ROW()-1)*4+COLUMN()-1,0)</f>
        <v>365</v>
      </c>
      <c r="B365" t="str">
        <f ca="1">OFFSET(srt_raw!$A$1,(ROW()-1)*4+COLUMN()-1,0)</f>
        <v>00:19:45,100 --&gt; 00:19:47,940</v>
      </c>
      <c r="C365" t="str">
        <f ca="1">OFFSET(srt_raw!$A$1,(ROW()-1)*4+COLUMN()-1,0)</f>
        <v>接着我们可以根据QHY的定义，</v>
      </c>
      <c r="D365" t="str">
        <f t="shared" ca="1" si="10"/>
        <v>00:19:45,100</v>
      </c>
      <c r="E365" t="str">
        <f t="shared" ca="1" si="11"/>
        <v>00:19:47,940</v>
      </c>
    </row>
    <row r="366" spans="1:5" x14ac:dyDescent="0.3">
      <c r="A366">
        <f ca="1">OFFSET(srt_raw!$A$1,(ROW()-1)*4+COLUMN()-1,0)</f>
        <v>366</v>
      </c>
      <c r="B366" t="str">
        <f ca="1">OFFSET(srt_raw!$A$1,(ROW()-1)*4+COLUMN()-1,0)</f>
        <v>00:19:47,940 --&gt; 00:19:49,660</v>
      </c>
      <c r="C366" t="str">
        <f ca="1">OFFSET(srt_raw!$A$1,(ROW()-1)*4+COLUMN()-1,0)</f>
        <v>用这个式子来求X。</v>
      </c>
      <c r="D366" t="str">
        <f t="shared" ca="1" si="10"/>
        <v>00:19:47,940</v>
      </c>
      <c r="E366" t="str">
        <f t="shared" ca="1" si="11"/>
        <v>00:19:49,660</v>
      </c>
    </row>
    <row r="367" spans="1:5" x14ac:dyDescent="0.3">
      <c r="A367">
        <f ca="1">OFFSET(srt_raw!$A$1,(ROW()-1)*4+COLUMN()-1,0)</f>
        <v>367</v>
      </c>
      <c r="B367" t="str">
        <f ca="1">OFFSET(srt_raw!$A$1,(ROW()-1)*4+COLUMN()-1,0)</f>
        <v>00:19:51,180 --&gt; 00:19:55,300</v>
      </c>
      <c r="C367" t="str">
        <f ca="1">OFFSET(srt_raw!$A$1,(ROW()-1)*4+COLUMN()-1,0)</f>
        <v>这里我们将Y不断乘以矩阵H进行左右扩散，</v>
      </c>
      <c r="D367" t="str">
        <f t="shared" ca="1" si="10"/>
        <v>00:19:51,180</v>
      </c>
      <c r="E367" t="str">
        <f t="shared" ca="1" si="11"/>
        <v>00:19:55,300</v>
      </c>
    </row>
    <row r="368" spans="1:5" x14ac:dyDescent="0.3">
      <c r="A368">
        <f ca="1">OFFSET(srt_raw!$A$1,(ROW()-1)*4+COLUMN()-1,0)</f>
        <v>368</v>
      </c>
      <c r="B368" t="str">
        <f ca="1">OFFSET(srt_raw!$A$1,(ROW()-1)*4+COLUMN()-1,0)</f>
        <v>00:19:55,300 --&gt; 00:19:57,740</v>
      </c>
      <c r="C368" t="str">
        <f ca="1">OFFSET(srt_raw!$A$1,(ROW()-1)*4+COLUMN()-1,0)</f>
        <v>再根据QX的值进行叠加，</v>
      </c>
      <c r="D368" t="str">
        <f t="shared" ca="1" si="10"/>
        <v>00:19:55,300</v>
      </c>
      <c r="E368" t="str">
        <f t="shared" ca="1" si="11"/>
        <v>00:19:57,740</v>
      </c>
    </row>
    <row r="369" spans="1:5" x14ac:dyDescent="0.3">
      <c r="A369">
        <f ca="1">OFFSET(srt_raw!$A$1,(ROW()-1)*4+COLUMN()-1,0)</f>
        <v>369</v>
      </c>
      <c r="B369" t="str">
        <f ca="1">OFFSET(srt_raw!$A$1,(ROW()-1)*4+COLUMN()-1,0)</f>
        <v>00:19:57,820 --&gt; 00:19:59,140</v>
      </c>
      <c r="C369" t="str">
        <f ca="1">OFFSET(srt_raw!$A$1,(ROW()-1)*4+COLUMN()-1,0)</f>
        <v>从而得到X。</v>
      </c>
      <c r="D369" t="str">
        <f t="shared" ca="1" si="10"/>
        <v>00:19:57,820</v>
      </c>
      <c r="E369" t="str">
        <f t="shared" ca="1" si="11"/>
        <v>00:19:59,140</v>
      </c>
    </row>
    <row r="370" spans="1:5" x14ac:dyDescent="0.3">
      <c r="A370">
        <f ca="1">OFFSET(srt_raw!$A$1,(ROW()-1)*4+COLUMN()-1,0)</f>
        <v>370</v>
      </c>
      <c r="B370" t="str">
        <f ca="1">OFFSET(srt_raw!$A$1,(ROW()-1)*4+COLUMN()-1,0)</f>
        <v>00:20:00,660 --&gt; 00:20:01,420</v>
      </c>
      <c r="C370" t="str">
        <f ca="1">OFFSET(srt_raw!$A$1,(ROW()-1)*4+COLUMN()-1,0)</f>
        <v>另一方面，</v>
      </c>
      <c r="D370" t="str">
        <f t="shared" ca="1" si="10"/>
        <v>00:20:00,660</v>
      </c>
      <c r="E370" t="str">
        <f t="shared" ca="1" si="11"/>
        <v>00:20:01,420</v>
      </c>
    </row>
    <row r="371" spans="1:5" x14ac:dyDescent="0.3">
      <c r="A371">
        <f ca="1">OFFSET(srt_raw!$A$1,(ROW()-1)*4+COLUMN()-1,0)</f>
        <v>371</v>
      </c>
      <c r="B371" t="str">
        <f ca="1">OFFSET(srt_raw!$A$1,(ROW()-1)*4+COLUMN()-1,0)</f>
        <v>00:20:01,420 --&gt; 00:20:04,180</v>
      </c>
      <c r="C371" t="str">
        <f ca="1">OFFSET(srt_raw!$A$1,(ROW()-1)*4+COLUMN()-1,0)</f>
        <v>由于QH就是B的逆矩阵Q撇，</v>
      </c>
      <c r="D371" t="str">
        <f t="shared" ca="1" si="10"/>
        <v>00:20:01,420</v>
      </c>
      <c r="E371" t="str">
        <f t="shared" ca="1" si="11"/>
        <v>00:20:04,180</v>
      </c>
    </row>
    <row r="372" spans="1:5" x14ac:dyDescent="0.3">
      <c r="A372">
        <f ca="1">OFFSET(srt_raw!$A$1,(ROW()-1)*4+COLUMN()-1,0)</f>
        <v>372</v>
      </c>
      <c r="B372" t="str">
        <f ca="1">OFFSET(srt_raw!$A$1,(ROW()-1)*4+COLUMN()-1,0)</f>
        <v>00:20:04,300 --&gt; 00:20:07,820</v>
      </c>
      <c r="C372" t="str">
        <f ca="1">OFFSET(srt_raw!$A$1,(ROW()-1)*4+COLUMN()-1,0)</f>
        <v>并且可以证明Q撇也满足十字偶校验约束，</v>
      </c>
      <c r="D372" t="str">
        <f t="shared" ca="1" si="10"/>
        <v>00:20:04,300</v>
      </c>
      <c r="E372" t="str">
        <f t="shared" ca="1" si="11"/>
        <v>00:20:07,820</v>
      </c>
    </row>
    <row r="373" spans="1:5" x14ac:dyDescent="0.3">
      <c r="A373">
        <f ca="1">OFFSET(srt_raw!$A$1,(ROW()-1)*4+COLUMN()-1,0)</f>
        <v>373</v>
      </c>
      <c r="B373" t="str">
        <f ca="1">OFFSET(srt_raw!$A$1,(ROW()-1)*4+COLUMN()-1,0)</f>
        <v>00:20:09,260 --&gt; 00:20:13,660</v>
      </c>
      <c r="C373" t="str">
        <f ca="1">OFFSET(srt_raw!$A$1,(ROW()-1)*4+COLUMN()-1,0)</f>
        <v>因此我们也可以通过KQ求出逆矩阵Q撇的第一行，</v>
      </c>
      <c r="D373" t="str">
        <f t="shared" ca="1" si="10"/>
        <v>00:20:09,260</v>
      </c>
      <c r="E373" t="str">
        <f t="shared" ca="1" si="11"/>
        <v>00:20:13,660</v>
      </c>
    </row>
    <row r="374" spans="1:5" x14ac:dyDescent="0.3">
      <c r="A374">
        <f ca="1">OFFSET(srt_raw!$A$1,(ROW()-1)*4+COLUMN()-1,0)</f>
        <v>374</v>
      </c>
      <c r="B374" t="str">
        <f ca="1">OFFSET(srt_raw!$A$1,(ROW()-1)*4+COLUMN()-1,0)</f>
        <v>00:20:13,900 --&gt; 00:20:16,500</v>
      </c>
      <c r="C374" t="str">
        <f ca="1">OFFSET(srt_raw!$A$1,(ROW()-1)*4+COLUMN()-1,0)</f>
        <v>再通过递推公式求得完整的Q撇，</v>
      </c>
      <c r="D374" t="str">
        <f t="shared" ca="1" si="10"/>
        <v>00:20:13,900</v>
      </c>
      <c r="E374" t="str">
        <f t="shared" ca="1" si="11"/>
        <v>00:20:16,500</v>
      </c>
    </row>
    <row r="375" spans="1:5" x14ac:dyDescent="0.3">
      <c r="A375">
        <f ca="1">OFFSET(srt_raw!$A$1,(ROW()-1)*4+COLUMN()-1,0)</f>
        <v>375</v>
      </c>
      <c r="B375" t="str">
        <f ca="1">OFFSET(srt_raw!$A$1,(ROW()-1)*4+COLUMN()-1,0)</f>
        <v>00:20:16,780 --&gt; 00:20:20,660</v>
      </c>
      <c r="C375" t="str">
        <f ca="1">OFFSET(srt_raw!$A$1,(ROW()-1)*4+COLUMN()-1,0)</f>
        <v>最后再和Y相乘求得X，</v>
      </c>
      <c r="D375" t="str">
        <f t="shared" ca="1" si="10"/>
        <v>00:20:16,780</v>
      </c>
      <c r="E375" t="str">
        <f t="shared" ca="1" si="11"/>
        <v>00:20:20,660</v>
      </c>
    </row>
    <row r="376" spans="1:5" x14ac:dyDescent="0.3">
      <c r="A376">
        <f ca="1">OFFSET(srt_raw!$A$1,(ROW()-1)*4+COLUMN()-1,0)</f>
        <v>376</v>
      </c>
      <c r="B376" t="str">
        <f ca="1">OFFSET(srt_raw!$A$1,(ROW()-1)*4+COLUMN()-1,0)</f>
        <v>00:20:20,660 --&gt; 00:20:23,180</v>
      </c>
      <c r="C376" t="str">
        <f ca="1">OFFSET(srt_raw!$A$1,(ROW()-1)*4+COLUMN()-1,0)</f>
        <v>两种方法求得的X是相同的，</v>
      </c>
      <c r="D376" t="str">
        <f t="shared" ca="1" si="10"/>
        <v>00:20:20,660</v>
      </c>
      <c r="E376" t="str">
        <f t="shared" ca="1" si="11"/>
        <v>00:20:23,180</v>
      </c>
    </row>
    <row r="377" spans="1:5" x14ac:dyDescent="0.3">
      <c r="A377">
        <f ca="1">OFFSET(srt_raw!$A$1,(ROW()-1)*4+COLUMN()-1,0)</f>
        <v>377</v>
      </c>
      <c r="B377" t="str">
        <f ca="1">OFFSET(srt_raw!$A$1,(ROW()-1)*4+COLUMN()-1,0)</f>
        <v>00:20:23,180 --&gt; 00:20:27,060</v>
      </c>
      <c r="C377" t="str">
        <f ca="1">OFFSET(srt_raw!$A$1,(ROW()-1)*4+COLUMN()-1,0)</f>
        <v>有兴趣的小伙伴可以自行证明，</v>
      </c>
      <c r="D377" t="str">
        <f t="shared" ca="1" si="10"/>
        <v>00:20:23,180</v>
      </c>
      <c r="E377" t="str">
        <f t="shared" ca="1" si="11"/>
        <v>00:20:27,060</v>
      </c>
    </row>
    <row r="378" spans="1:5" x14ac:dyDescent="0.3">
      <c r="A378">
        <f ca="1">OFFSET(srt_raw!$A$1,(ROW()-1)*4+COLUMN()-1,0)</f>
        <v>378</v>
      </c>
      <c r="B378" t="str">
        <f ca="1">OFFSET(srt_raw!$A$1,(ROW()-1)*4+COLUMN()-1,0)</f>
        <v>00:20:27,060 --&gt; 00:20:29,780</v>
      </c>
      <c r="C378" t="str">
        <f ca="1">OFFSET(srt_raw!$A$1,(ROW()-1)*4+COLUMN()-1,0)</f>
        <v>不过整个求解的过程中有一个问题。</v>
      </c>
      <c r="D378" t="str">
        <f t="shared" ca="1" si="10"/>
        <v>00:20:27,060</v>
      </c>
      <c r="E378" t="str">
        <f t="shared" ca="1" si="11"/>
        <v>00:20:29,780</v>
      </c>
    </row>
    <row r="379" spans="1:5" x14ac:dyDescent="0.3">
      <c r="A379">
        <f ca="1">OFFSET(srt_raw!$A$1,(ROW()-1)*4+COLUMN()-1,0)</f>
        <v>379</v>
      </c>
      <c r="B379" t="str">
        <f ca="1">OFFSET(srt_raw!$A$1,(ROW()-1)*4+COLUMN()-1,0)</f>
        <v>00:20:30,020 --&gt; 00:20:36,380</v>
      </c>
      <c r="C379" t="str">
        <f ca="1">OFFSET(srt_raw!$A$1,(ROW()-1)*4+COLUMN()-1,0)</f>
        <v>那就是我们假设满足等于的多项式存在，</v>
      </c>
      <c r="D379" t="str">
        <f t="shared" ca="1" si="10"/>
        <v>00:20:30,020</v>
      </c>
      <c r="E379" t="str">
        <f t="shared" ca="1" si="11"/>
        <v>00:20:36,380</v>
      </c>
    </row>
    <row r="380" spans="1:5" x14ac:dyDescent="0.3">
      <c r="A380">
        <f ca="1">OFFSET(srt_raw!$A$1,(ROW()-1)*4+COLUMN()-1,0)</f>
        <v>380</v>
      </c>
      <c r="B380" t="str">
        <f ca="1">OFFSET(srt_raw!$A$1,(ROW()-1)*4+COLUMN()-1,0)</f>
        <v>00:20:37,820 --&gt; 00:20:40,380</v>
      </c>
      <c r="C380" t="str">
        <f ca="1">OFFSET(srt_raw!$A$1,(ROW()-1)*4+COLUMN()-1,0)</f>
        <v>如果这样的多项式不存在，</v>
      </c>
      <c r="D380" t="str">
        <f t="shared" ca="1" si="10"/>
        <v>00:20:37,820</v>
      </c>
      <c r="E380" t="str">
        <f t="shared" ca="1" si="11"/>
        <v>00:20:40,380</v>
      </c>
    </row>
    <row r="381" spans="1:5" x14ac:dyDescent="0.3">
      <c r="A381">
        <f ca="1">OFFSET(srt_raw!$A$1,(ROW()-1)*4+COLUMN()-1,0)</f>
        <v>381</v>
      </c>
      <c r="B381" t="str">
        <f ca="1">OFFSET(srt_raw!$A$1,(ROW()-1)*4+COLUMN()-1,0)</f>
        <v>00:20:40,380 --&gt; 00:20:43,140</v>
      </c>
      <c r="C381" t="str">
        <f ca="1">OFFSET(srt_raw!$A$1,(ROW()-1)*4+COLUMN()-1,0)</f>
        <v>我们又当如何呢？</v>
      </c>
      <c r="D381" t="str">
        <f t="shared" ca="1" si="10"/>
        <v>00:20:40,380</v>
      </c>
      <c r="E381" t="str">
        <f t="shared" ca="1" si="11"/>
        <v>00:20:43,140</v>
      </c>
    </row>
    <row r="382" spans="1:5" x14ac:dyDescent="0.3">
      <c r="A382">
        <f ca="1">OFFSET(srt_raw!$A$1,(ROW()-1)*4+COLUMN()-1,0)</f>
        <v>382</v>
      </c>
      <c r="B382" t="str">
        <f ca="1">OFFSET(srt_raw!$A$1,(ROW()-1)*4+COLUMN()-1,0)</f>
        <v>00:20:43,140 --&gt; 00:20:45,500</v>
      </c>
      <c r="C382" t="str">
        <f ca="1">OFFSET(srt_raw!$A$1,(ROW()-1)*4+COLUMN()-1,0)</f>
        <v>在上集视频解的数量章节中，</v>
      </c>
      <c r="D382" t="str">
        <f t="shared" ca="1" si="10"/>
        <v>00:20:43,140</v>
      </c>
      <c r="E382" t="str">
        <f t="shared" ca="1" si="11"/>
        <v>00:20:45,500</v>
      </c>
    </row>
    <row r="383" spans="1:5" x14ac:dyDescent="0.3">
      <c r="A383">
        <f ca="1">OFFSET(srt_raw!$A$1,(ROW()-1)*4+COLUMN()-1,0)</f>
        <v>383</v>
      </c>
      <c r="B383" t="str">
        <f ca="1">OFFSET(srt_raw!$A$1,(ROW()-1)*4+COLUMN()-1,0)</f>
        <v>00:20:45,500 --&gt; 00:20:47,620</v>
      </c>
      <c r="C383" t="str">
        <f ca="1">OFFSET(srt_raw!$A$1,(ROW()-1)*4+COLUMN()-1,0)</f>
        <v>我们提到了公式R撇N，</v>
      </c>
      <c r="D383" t="str">
        <f t="shared" ca="1" si="10"/>
        <v>00:20:45,500</v>
      </c>
      <c r="E383" t="str">
        <f t="shared" ca="1" si="11"/>
        <v>00:20:47,620</v>
      </c>
    </row>
    <row r="384" spans="1:5" x14ac:dyDescent="0.3">
      <c r="A384">
        <f ca="1">OFFSET(srt_raw!$A$1,(ROW()-1)*4+COLUMN()-1,0)</f>
        <v>384</v>
      </c>
      <c r="B384" t="str">
        <f ca="1">OFFSET(srt_raw!$A$1,(ROW()-1)*4+COLUMN()-1,0)</f>
        <v>00:20:49,180 --&gt; 00:20:52,220</v>
      </c>
      <c r="C384" t="str">
        <f ca="1">OFFSET(srt_raw!$A$1,(ROW()-1)*4+COLUMN()-1,0)</f>
        <v>这里GCD表示最大公因子，</v>
      </c>
      <c r="D384" t="str">
        <f t="shared" ca="1" si="10"/>
        <v>00:20:49,180</v>
      </c>
      <c r="E384" t="str">
        <f t="shared" ca="1" si="11"/>
        <v>00:20:52,220</v>
      </c>
    </row>
    <row r="385" spans="1:5" x14ac:dyDescent="0.3">
      <c r="A385">
        <f ca="1">OFFSET(srt_raw!$A$1,(ROW()-1)*4+COLUMN()-1,0)</f>
        <v>385</v>
      </c>
      <c r="B385" t="str">
        <f ca="1">OFFSET(srt_raw!$A$1,(ROW()-1)*4+COLUMN()-1,0)</f>
        <v>00:20:52,220 --&gt; 00:20:57,340</v>
      </c>
      <c r="C385" t="str">
        <f ca="1">OFFSET(srt_raw!$A$1,(ROW()-1)*4+COLUMN()-1,0)</f>
        <v>不难发现这里的GCDFC就是前面扩展欧几里德算法中的G。</v>
      </c>
      <c r="D385" t="str">
        <f t="shared" ca="1" si="10"/>
        <v>00:20:52,220</v>
      </c>
      <c r="E385" t="str">
        <f t="shared" ca="1" si="11"/>
        <v>00:20:57,340</v>
      </c>
    </row>
    <row r="386" spans="1:5" x14ac:dyDescent="0.3">
      <c r="A386">
        <f ca="1">OFFSET(srt_raw!$A$1,(ROW()-1)*4+COLUMN()-1,0)</f>
        <v>386</v>
      </c>
      <c r="B386" t="str">
        <f ca="1">OFFSET(srt_raw!$A$1,(ROW()-1)*4+COLUMN()-1,0)</f>
        <v>00:20:58,940 --&gt; 00:20:59,460</v>
      </c>
      <c r="C386" t="str">
        <f ca="1">OFFSET(srt_raw!$A$1,(ROW()-1)*4+COLUMN()-1,0)</f>
        <v>同时，</v>
      </c>
      <c r="D386" t="str">
        <f t="shared" ref="D386:D449" ca="1" si="12">LEFT(B386,12)</f>
        <v>00:20:58,940</v>
      </c>
      <c r="E386" t="str">
        <f t="shared" ref="E386:E449" ca="1" si="13">RIGHT(B386,12)</f>
        <v>00:20:59,460</v>
      </c>
    </row>
    <row r="387" spans="1:5" x14ac:dyDescent="0.3">
      <c r="A387">
        <f ca="1">OFFSET(srt_raw!$A$1,(ROW()-1)*4+COLUMN()-1,0)</f>
        <v>387</v>
      </c>
      <c r="B387" t="str">
        <f ca="1">OFFSET(srt_raw!$A$1,(ROW()-1)*4+COLUMN()-1,0)</f>
        <v>00:20:59,460 --&gt; 00:21:01,180</v>
      </c>
      <c r="C387" t="str">
        <f ca="1">OFFSET(srt_raw!$A$1,(ROW()-1)*4+COLUMN()-1,0)</f>
        <v>由于F等于C加P，</v>
      </c>
      <c r="D387" t="str">
        <f t="shared" ca="1" si="12"/>
        <v>00:20:59,460</v>
      </c>
      <c r="E387" t="str">
        <f t="shared" ca="1" si="13"/>
        <v>00:21:01,180</v>
      </c>
    </row>
    <row r="388" spans="1:5" x14ac:dyDescent="0.3">
      <c r="A388">
        <f ca="1">OFFSET(srt_raw!$A$1,(ROW()-1)*4+COLUMN()-1,0)</f>
        <v>388</v>
      </c>
      <c r="B388" t="str">
        <f ca="1">OFFSET(srt_raw!$A$1,(ROW()-1)*4+COLUMN()-1,0)</f>
        <v>00:21:01,260 --&gt; 00:21:06,660</v>
      </c>
      <c r="C388" t="str">
        <f ca="1">OFFSET(srt_raw!$A$1,(ROW()-1)*4+COLUMN()-1,0)</f>
        <v>因此GCDFC和GCDFP是相等的。</v>
      </c>
      <c r="D388" t="str">
        <f t="shared" ca="1" si="12"/>
        <v>00:21:01,260</v>
      </c>
      <c r="E388" t="str">
        <f t="shared" ca="1" si="13"/>
        <v>00:21:06,660</v>
      </c>
    </row>
    <row r="389" spans="1:5" x14ac:dyDescent="0.3">
      <c r="A389">
        <f ca="1">OFFSET(srt_raw!$A$1,(ROW()-1)*4+COLUMN()-1,0)</f>
        <v>389</v>
      </c>
      <c r="B389" t="str">
        <f ca="1">OFFSET(srt_raw!$A$1,(ROW()-1)*4+COLUMN()-1,0)</f>
        <v>00:21:06,660 --&gt; 00:21:11,500</v>
      </c>
      <c r="C389" t="str">
        <f ca="1">OFFSET(srt_raw!$A$1,(ROW()-1)*4+COLUMN()-1,0)</f>
        <v>这里DEG表示最高次数R撇代表矩阵B丢失的值，</v>
      </c>
      <c r="D389" t="str">
        <f t="shared" ca="1" si="12"/>
        <v>00:21:06,660</v>
      </c>
      <c r="E389" t="str">
        <f t="shared" ca="1" si="13"/>
        <v>00:21:11,500</v>
      </c>
    </row>
    <row r="390" spans="1:5" x14ac:dyDescent="0.3">
      <c r="A390">
        <f ca="1">OFFSET(srt_raw!$A$1,(ROW()-1)*4+COLUMN()-1,0)</f>
        <v>390</v>
      </c>
      <c r="B390" t="str">
        <f ca="1">OFFSET(srt_raw!$A$1,(ROW()-1)*4+COLUMN()-1,0)</f>
        <v>00:21:11,580 --&gt; 00:21:18,700</v>
      </c>
      <c r="C390" t="str">
        <f ca="1">OFFSET(srt_raw!$A$1,(ROW()-1)*4+COLUMN()-1,0)</f>
        <v>也就是N减二R撇的值决定了解的数量及二的二撇次方。</v>
      </c>
      <c r="D390" t="str">
        <f t="shared" ca="1" si="12"/>
        <v>00:21:11,580</v>
      </c>
      <c r="E390" t="str">
        <f t="shared" ca="1" si="13"/>
        <v>00:21:18,700</v>
      </c>
    </row>
    <row r="391" spans="1:5" x14ac:dyDescent="0.3">
      <c r="A391">
        <f ca="1">OFFSET(srt_raw!$A$1,(ROW()-1)*4+COLUMN()-1,0)</f>
        <v>391</v>
      </c>
      <c r="B391" t="str">
        <f ca="1">OFFSET(srt_raw!$A$1,(ROW()-1)*4+COLUMN()-1,0)</f>
        <v>00:21:18,700 --&gt; 00:21:21,740</v>
      </c>
      <c r="C391" t="str">
        <f ca="1">OFFSET(srt_raw!$A$1,(ROW()-1)*4+COLUMN()-1,0)</f>
        <v>将GX写成矩阵的形式记为G，</v>
      </c>
      <c r="D391" t="str">
        <f t="shared" ca="1" si="12"/>
        <v>00:21:18,700</v>
      </c>
      <c r="E391" t="str">
        <f t="shared" ca="1" si="13"/>
        <v>00:21:21,740</v>
      </c>
    </row>
    <row r="392" spans="1:5" x14ac:dyDescent="0.3">
      <c r="A392">
        <f ca="1">OFFSET(srt_raw!$A$1,(ROW()-1)*4+COLUMN()-1,0)</f>
        <v>392</v>
      </c>
      <c r="B392" t="str">
        <f ca="1">OFFSET(srt_raw!$A$1,(ROW()-1)*4+COLUMN()-1,0)</f>
        <v>00:21:23,180 --&gt; 00:21:27,820</v>
      </c>
      <c r="C392" t="str">
        <f ca="1">OFFSET(srt_raw!$A$1,(ROW()-1)*4+COLUMN()-1,0)</f>
        <v>不难注意到只有当矩阵B为可逆矩阵时GX等于1。</v>
      </c>
      <c r="D392" t="str">
        <f t="shared" ca="1" si="12"/>
        <v>00:21:23,180</v>
      </c>
      <c r="E392" t="str">
        <f t="shared" ca="1" si="13"/>
        <v>00:21:27,820</v>
      </c>
    </row>
    <row r="393" spans="1:5" x14ac:dyDescent="0.3">
      <c r="A393">
        <f ca="1">OFFSET(srt_raw!$A$1,(ROW()-1)*4+COLUMN()-1,0)</f>
        <v>393</v>
      </c>
      <c r="B393" t="str">
        <f ca="1">OFFSET(srt_raw!$A$1,(ROW()-1)*4+COLUMN()-1,0)</f>
        <v>00:21:28,060 --&gt; 00:21:32,540</v>
      </c>
      <c r="C393" t="str">
        <f ca="1">OFFSET(srt_raw!$A$1,(ROW()-1)*4+COLUMN()-1,0)</f>
        <v>并且GX的最高次数为2撇等于n减2等于0，</v>
      </c>
      <c r="D393" t="str">
        <f t="shared" ca="1" si="12"/>
        <v>00:21:28,060</v>
      </c>
      <c r="E393" t="str">
        <f t="shared" ca="1" si="13"/>
        <v>00:21:32,540</v>
      </c>
    </row>
    <row r="394" spans="1:5" x14ac:dyDescent="0.3">
      <c r="A394">
        <f ca="1">OFFSET(srt_raw!$A$1,(ROW()-1)*4+COLUMN()-1,0)</f>
        <v>394</v>
      </c>
      <c r="B394" t="str">
        <f ca="1">OFFSET(srt_raw!$A$1,(ROW()-1)*4+COLUMN()-1,0)</f>
        <v>00:21:34,220 --&gt; 00:21:36,140</v>
      </c>
      <c r="C394" t="str">
        <f ca="1">OFFSET(srt_raw!$A$1,(ROW()-1)*4+COLUMN()-1,0)</f>
        <v>例如当N等于5时，</v>
      </c>
      <c r="D394" t="str">
        <f t="shared" ca="1" si="12"/>
        <v>00:21:34,220</v>
      </c>
      <c r="E394" t="str">
        <f t="shared" ca="1" si="13"/>
        <v>00:21:36,140</v>
      </c>
    </row>
    <row r="395" spans="1:5" x14ac:dyDescent="0.3">
      <c r="A395">
        <f ca="1">OFFSET(srt_raw!$A$1,(ROW()-1)*4+COLUMN()-1,0)</f>
        <v>395</v>
      </c>
      <c r="B395" t="str">
        <f ca="1">OFFSET(srt_raw!$A$1,(ROW()-1)*4+COLUMN()-1,0)</f>
        <v>00:21:36,220 --&gt; 00:21:42,860</v>
      </c>
      <c r="C395" t="str">
        <f ca="1">OFFSET(srt_raw!$A$1,(ROW()-1)*4+COLUMN()-1,0)</f>
        <v>高斯消元后的B的尾逆矩阵Q撇和单位矩阵一撇矩阵是这样的，</v>
      </c>
      <c r="D395" t="str">
        <f t="shared" ca="1" si="12"/>
        <v>00:21:36,220</v>
      </c>
      <c r="E395" t="str">
        <f t="shared" ca="1" si="13"/>
        <v>00:21:42,860</v>
      </c>
    </row>
    <row r="396" spans="1:5" x14ac:dyDescent="0.3">
      <c r="A396">
        <f ca="1">OFFSET(srt_raw!$A$1,(ROW()-1)*4+COLUMN()-1,0)</f>
        <v>396</v>
      </c>
      <c r="B396" t="str">
        <f ca="1">OFFSET(srt_raw!$A$1,(ROW()-1)*4+COLUMN()-1,0)</f>
        <v>00:21:42,860 --&gt; 00:21:44,660</v>
      </c>
      <c r="C396" t="str">
        <f ca="1">OFFSET(srt_raw!$A$1,(ROW()-1)*4+COLUMN()-1,0)</f>
        <v>这里矩阵B不可逆，</v>
      </c>
      <c r="D396" t="str">
        <f t="shared" ca="1" si="12"/>
        <v>00:21:42,860</v>
      </c>
      <c r="E396" t="str">
        <f t="shared" ca="1" si="13"/>
        <v>00:21:44,660</v>
      </c>
    </row>
    <row r="397" spans="1:5" x14ac:dyDescent="0.3">
      <c r="A397">
        <f ca="1">OFFSET(srt_raw!$A$1,(ROW()-1)*4+COLUMN()-1,0)</f>
        <v>397</v>
      </c>
      <c r="B397" t="str">
        <f ca="1">OFFSET(srt_raw!$A$1,(ROW()-1)*4+COLUMN()-1,0)</f>
        <v>00:21:44,660 --&gt; 00:21:46,220</v>
      </c>
      <c r="C397" t="str">
        <f ca="1">OFFSET(srt_raw!$A$1,(ROW()-1)*4+COLUMN()-1,0)</f>
        <v>其质为2等于3，</v>
      </c>
      <c r="D397" t="str">
        <f t="shared" ca="1" si="12"/>
        <v>00:21:44,660</v>
      </c>
      <c r="E397" t="str">
        <f t="shared" ca="1" si="13"/>
        <v>00:21:46,220</v>
      </c>
    </row>
    <row r="398" spans="1:5" x14ac:dyDescent="0.3">
      <c r="A398">
        <f ca="1">OFFSET(srt_raw!$A$1,(ROW()-1)*4+COLUMN()-1,0)</f>
        <v>398</v>
      </c>
      <c r="B398" t="str">
        <f ca="1">OFFSET(srt_raw!$A$1,(ROW()-1)*4+COLUMN()-1,0)</f>
        <v>00:21:46,700 --&gt; 00:21:48,300</v>
      </c>
      <c r="C398" t="str">
        <f ca="1">OFFSET(srt_raw!$A$1,(ROW()-1)*4+COLUMN()-1,0)</f>
        <v>我们以R乘2为界，</v>
      </c>
      <c r="D398" t="str">
        <f t="shared" ca="1" si="12"/>
        <v>00:21:46,700</v>
      </c>
      <c r="E398" t="str">
        <f t="shared" ca="1" si="13"/>
        <v>00:21:48,300</v>
      </c>
    </row>
    <row r="399" spans="1:5" x14ac:dyDescent="0.3">
      <c r="A399">
        <f ca="1">OFFSET(srt_raw!$A$1,(ROW()-1)*4+COLUMN()-1,0)</f>
        <v>399</v>
      </c>
      <c r="B399" t="str">
        <f ca="1">OFFSET(srt_raw!$A$1,(ROW()-1)*4+COLUMN()-1,0)</f>
        <v>00:21:48,300 --&gt; 00:21:49,820</v>
      </c>
      <c r="C399" t="str">
        <f ca="1">OFFSET(srt_raw!$A$1,(ROW()-1)*4+COLUMN()-1,0)</f>
        <v>将矩阵分为4块，</v>
      </c>
      <c r="D399" t="str">
        <f t="shared" ca="1" si="12"/>
        <v>00:21:48,300</v>
      </c>
      <c r="E399" t="str">
        <f t="shared" ca="1" si="13"/>
        <v>00:21:49,820</v>
      </c>
    </row>
    <row r="400" spans="1:5" x14ac:dyDescent="0.3">
      <c r="A400">
        <f ca="1">OFFSET(srt_raw!$A$1,(ROW()-1)*4+COLUMN()-1,0)</f>
        <v>400</v>
      </c>
      <c r="B400" t="str">
        <f ca="1">OFFSET(srt_raw!$A$1,(ROW()-1)*4+COLUMN()-1,0)</f>
        <v>00:21:49,820 --&gt; 00:21:53,060</v>
      </c>
      <c r="C400" t="str">
        <f ca="1">OFFSET(srt_raw!$A$1,(ROW()-1)*4+COLUMN()-1,0)</f>
        <v>则会有这些结论，</v>
      </c>
      <c r="D400" t="str">
        <f t="shared" ca="1" si="12"/>
        <v>00:21:49,820</v>
      </c>
      <c r="E400" t="str">
        <f t="shared" ca="1" si="13"/>
        <v>00:21:53,060</v>
      </c>
    </row>
    <row r="401" spans="1:5" x14ac:dyDescent="0.3">
      <c r="A401">
        <f ca="1">OFFSET(srt_raw!$A$1,(ROW()-1)*4+COLUMN()-1,0)</f>
        <v>401</v>
      </c>
      <c r="B401" t="str">
        <f ca="1">OFFSET(srt_raw!$A$1,(ROW()-1)*4+COLUMN()-1,0)</f>
        <v>00:21:53,060 --&gt; 00:21:56,500</v>
      </c>
      <c r="C401" t="str">
        <f ca="1">OFFSET(srt_raw!$A$1,(ROW()-1)*4+COLUMN()-1,0)</f>
        <v>1矩阵B左上角R乘2的子矩阵满质。</v>
      </c>
      <c r="D401" t="str">
        <f t="shared" ca="1" si="12"/>
        <v>00:21:53,060</v>
      </c>
      <c r="E401" t="str">
        <f t="shared" ca="1" si="13"/>
        <v>00:21:56,500</v>
      </c>
    </row>
    <row r="402" spans="1:5" x14ac:dyDescent="0.3">
      <c r="A402">
        <f ca="1">OFFSET(srt_raw!$A$1,(ROW()-1)*4+COLUMN()-1,0)</f>
        <v>402</v>
      </c>
      <c r="B402" t="str">
        <f ca="1">OFFSET(srt_raw!$A$1,(ROW()-1)*4+COLUMN()-1,0)</f>
        <v>00:21:56,700 --&gt; 00:22:02,740</v>
      </c>
      <c r="C402" t="str">
        <f ca="1">OFFSET(srt_raw!$A$1,(ROW()-1)*4+COLUMN()-1,0)</f>
        <v>并且和Q撇左上角R乘二的子矩阵互为逆矩阵，</v>
      </c>
      <c r="D402" t="str">
        <f t="shared" ca="1" si="12"/>
        <v>00:21:56,700</v>
      </c>
      <c r="E402" t="str">
        <f t="shared" ca="1" si="13"/>
        <v>00:22:02,740</v>
      </c>
    </row>
    <row r="403" spans="1:5" x14ac:dyDescent="0.3">
      <c r="A403">
        <f ca="1">OFFSET(srt_raw!$A$1,(ROW()-1)*4+COLUMN()-1,0)</f>
        <v>403</v>
      </c>
      <c r="B403" t="str">
        <f ca="1">OFFSET(srt_raw!$A$1,(ROW()-1)*4+COLUMN()-1,0)</f>
        <v>00:22:02,740 --&gt; 00:22:06,780</v>
      </c>
      <c r="C403" t="str">
        <f ca="1">OFFSET(srt_raw!$A$1,(ROW()-1)*4+COLUMN()-1,0)</f>
        <v>二Q撇右下角和一撇左上角为单位矩阵，</v>
      </c>
      <c r="D403" t="str">
        <f t="shared" ca="1" si="12"/>
        <v>00:22:02,740</v>
      </c>
      <c r="E403" t="str">
        <f t="shared" ca="1" si="13"/>
        <v>00:22:06,780</v>
      </c>
    </row>
    <row r="404" spans="1:5" x14ac:dyDescent="0.3">
      <c r="A404">
        <f ca="1">OFFSET(srt_raw!$A$1,(ROW()-1)*4+COLUMN()-1,0)</f>
        <v>404</v>
      </c>
      <c r="B404" t="str">
        <f ca="1">OFFSET(srt_raw!$A$1,(ROW()-1)*4+COLUMN()-1,0)</f>
        <v>00:22:06,780 --&gt; 00:22:11,620</v>
      </c>
      <c r="C404" t="str">
        <f ca="1">OFFSET(srt_raw!$A$1,(ROW()-1)*4+COLUMN()-1,0)</f>
        <v>Q撇右上角和一撇下方为零矩阵，</v>
      </c>
      <c r="D404" t="str">
        <f t="shared" ca="1" si="12"/>
        <v>00:22:06,780</v>
      </c>
      <c r="E404" t="str">
        <f t="shared" ca="1" si="13"/>
        <v>00:22:11,620</v>
      </c>
    </row>
    <row r="405" spans="1:5" x14ac:dyDescent="0.3">
      <c r="A405">
        <f ca="1">OFFSET(srt_raw!$A$1,(ROW()-1)*4+COLUMN()-1,0)</f>
        <v>405</v>
      </c>
      <c r="B405" t="str">
        <f ca="1">OFFSET(srt_raw!$A$1,(ROW()-1)*4+COLUMN()-1,0)</f>
        <v>00:22:11,620 --&gt; 00:22:16,700</v>
      </c>
      <c r="C405" t="str">
        <f ca="1">OFFSET(srt_raw!$A$1,(ROW()-1)*4+COLUMN()-1,0)</f>
        <v>三Q撇左下角W二和一撇右上角的静默操作相同，</v>
      </c>
      <c r="D405" t="str">
        <f t="shared" ca="1" si="12"/>
        <v>00:22:11,620</v>
      </c>
      <c r="E405" t="str">
        <f t="shared" ca="1" si="13"/>
        <v>00:22:16,700</v>
      </c>
    </row>
    <row r="406" spans="1:5" x14ac:dyDescent="0.3">
      <c r="A406">
        <f ca="1">OFFSET(srt_raw!$A$1,(ROW()-1)*4+COLUMN()-1,0)</f>
        <v>406</v>
      </c>
      <c r="B406" t="str">
        <f ca="1">OFFSET(srt_raw!$A$1,(ROW()-1)*4+COLUMN()-1,0)</f>
        <v>00:22:16,700 --&gt; 00:22:23,580</v>
      </c>
      <c r="C406" t="str">
        <f ca="1">OFFSET(srt_raw!$A$1,(ROW()-1)*4+COLUMN()-1,0)</f>
        <v>并且其值等于Q撇左上角乘以B右上角或者B左下角乘以Q撇左上角</v>
      </c>
      <c r="D406" t="str">
        <f t="shared" ca="1" si="12"/>
        <v>00:22:16,700</v>
      </c>
      <c r="E406" t="str">
        <f t="shared" ca="1" si="13"/>
        <v>00:22:23,580</v>
      </c>
    </row>
    <row r="407" spans="1:5" x14ac:dyDescent="0.3">
      <c r="A407">
        <f ca="1">OFFSET(srt_raw!$A$1,(ROW()-1)*4+COLUMN()-1,0)</f>
        <v>407</v>
      </c>
      <c r="B407" t="str">
        <f ca="1">OFFSET(srt_raw!$A$1,(ROW()-1)*4+COLUMN()-1,0)</f>
        <v>00:22:23,580 --&gt; 00:22:23,620</v>
      </c>
      <c r="C407" t="str">
        <f ca="1">OFFSET(srt_raw!$A$1,(ROW()-1)*4+COLUMN()-1,0)</f>
        <v>。</v>
      </c>
      <c r="D407" t="str">
        <f t="shared" ca="1" si="12"/>
        <v>00:22:23,580</v>
      </c>
      <c r="E407" t="str">
        <f t="shared" ca="1" si="13"/>
        <v>00:22:23,620</v>
      </c>
    </row>
    <row r="408" spans="1:5" x14ac:dyDescent="0.3">
      <c r="A408">
        <f ca="1">OFFSET(srt_raw!$A$1,(ROW()-1)*4+COLUMN()-1,0)</f>
        <v>408</v>
      </c>
      <c r="B408" t="str">
        <f ca="1">OFFSET(srt_raw!$A$1,(ROW()-1)*4+COLUMN()-1,0)</f>
        <v>00:22:25,340 --&gt; 00:22:28,260</v>
      </c>
      <c r="C408" t="str">
        <f ca="1">OFFSET(srt_raw!$A$1,(ROW()-1)*4+COLUMN()-1,0)</f>
        <v>这些性质可以通过分块矩阵乘法，</v>
      </c>
      <c r="D408" t="str">
        <f t="shared" ca="1" si="12"/>
        <v>00:22:25,340</v>
      </c>
      <c r="E408" t="str">
        <f t="shared" ca="1" si="13"/>
        <v>00:22:28,260</v>
      </c>
    </row>
    <row r="409" spans="1:5" x14ac:dyDescent="0.3">
      <c r="A409">
        <f ca="1">OFFSET(srt_raw!$A$1,(ROW()-1)*4+COLUMN()-1,0)</f>
        <v>409</v>
      </c>
      <c r="B409" t="str">
        <f ca="1">OFFSET(srt_raw!$A$1,(ROW()-1)*4+COLUMN()-1,0)</f>
        <v>00:22:28,260 --&gt; 00:22:31,580</v>
      </c>
      <c r="C409" t="str">
        <f ca="1">OFFSET(srt_raw!$A$1,(ROW()-1)*4+COLUMN()-1,0)</f>
        <v>结合高斯消元法和矩阵B的对称性得出，</v>
      </c>
      <c r="D409" t="str">
        <f t="shared" ca="1" si="12"/>
        <v>00:22:28,260</v>
      </c>
      <c r="E409" t="str">
        <f t="shared" ca="1" si="13"/>
        <v>00:22:31,580</v>
      </c>
    </row>
    <row r="410" spans="1:5" x14ac:dyDescent="0.3">
      <c r="A410">
        <f ca="1">OFFSET(srt_raw!$A$1,(ROW()-1)*4+COLUMN()-1,0)</f>
        <v>410</v>
      </c>
      <c r="B410" t="str">
        <f ca="1">OFFSET(srt_raw!$A$1,(ROW()-1)*4+COLUMN()-1,0)</f>
        <v>00:22:31,740 --&gt; 00:22:34,260</v>
      </c>
      <c r="C410" t="str">
        <f ca="1">OFFSET(srt_raw!$A$1,(ROW()-1)*4+COLUMN()-1,0)</f>
        <v>有兴趣的小伙伴可以自行证明，</v>
      </c>
      <c r="D410" t="str">
        <f t="shared" ca="1" si="12"/>
        <v>00:22:31,740</v>
      </c>
      <c r="E410" t="str">
        <f t="shared" ca="1" si="13"/>
        <v>00:22:34,260</v>
      </c>
    </row>
    <row r="411" spans="1:5" x14ac:dyDescent="0.3">
      <c r="A411">
        <f ca="1">OFFSET(srt_raw!$A$1,(ROW()-1)*4+COLUMN()-1,0)</f>
        <v>411</v>
      </c>
      <c r="B411" t="str">
        <f ca="1">OFFSET(srt_raw!$A$1,(ROW()-1)*4+COLUMN()-1,0)</f>
        <v>00:22:35,740 --&gt; 00:22:38,900</v>
      </c>
      <c r="C411" t="str">
        <f ca="1">OFFSET(srt_raw!$A$1,(ROW()-1)*4+COLUMN()-1,0)</f>
        <v>可以发现Q撇不满足十四偶校验约束，</v>
      </c>
      <c r="D411" t="str">
        <f t="shared" ca="1" si="12"/>
        <v>00:22:35,740</v>
      </c>
      <c r="E411" t="str">
        <f t="shared" ca="1" si="13"/>
        <v>00:22:38,900</v>
      </c>
    </row>
    <row r="412" spans="1:5" x14ac:dyDescent="0.3">
      <c r="A412">
        <f ca="1">OFFSET(srt_raw!$A$1,(ROW()-1)*4+COLUMN()-1,0)</f>
        <v>412</v>
      </c>
      <c r="B412" t="str">
        <f ca="1">OFFSET(srt_raw!$A$1,(ROW()-1)*4+COLUMN()-1,0)</f>
        <v>00:22:38,900 --&gt; 00:22:41,060</v>
      </c>
      <c r="C412" t="str">
        <f ca="1">OFFSET(srt_raw!$A$1,(ROW()-1)*4+COLUMN()-1,0)</f>
        <v>因而无法通过公式递推求得，</v>
      </c>
      <c r="D412" t="str">
        <f t="shared" ca="1" si="12"/>
        <v>00:22:38,900</v>
      </c>
      <c r="E412" t="str">
        <f t="shared" ca="1" si="13"/>
        <v>00:22:41,060</v>
      </c>
    </row>
    <row r="413" spans="1:5" x14ac:dyDescent="0.3">
      <c r="A413">
        <f ca="1">OFFSET(srt_raw!$A$1,(ROW()-1)*4+COLUMN()-1,0)</f>
        <v>413</v>
      </c>
      <c r="B413" t="str">
        <f ca="1">OFFSET(srt_raw!$A$1,(ROW()-1)*4+COLUMN()-1,0)</f>
        <v>00:22:41,740 --&gt; 00:22:45,620</v>
      </c>
      <c r="C413" t="str">
        <f ca="1">OFFSET(srt_raw!$A$1,(ROW()-1)*4+COLUMN()-1,0)</f>
        <v>并且使用Q撇第一行求得的X也不是原方程的解，</v>
      </c>
      <c r="D413" t="str">
        <f t="shared" ca="1" si="12"/>
        <v>00:22:41,740</v>
      </c>
      <c r="E413" t="str">
        <f t="shared" ca="1" si="13"/>
        <v>00:22:45,620</v>
      </c>
    </row>
    <row r="414" spans="1:5" x14ac:dyDescent="0.3">
      <c r="A414">
        <f ca="1">OFFSET(srt_raw!$A$1,(ROW()-1)*4+COLUMN()-1,0)</f>
        <v>414</v>
      </c>
      <c r="B414" t="str">
        <f ca="1">OFFSET(srt_raw!$A$1,(ROW()-1)*4+COLUMN()-1,0)</f>
        <v>00:22:47,100 --&gt; 00:22:53,660</v>
      </c>
      <c r="C414" t="str">
        <f ca="1">OFFSET(srt_raw!$A$1,(ROW()-1)*4+COLUMN()-1,0)</f>
        <v>如果我们令Q撇第一行为QX并且和PX相乘得到的GX不为一，</v>
      </c>
      <c r="D414" t="str">
        <f t="shared" ca="1" si="12"/>
        <v>00:22:47,100</v>
      </c>
      <c r="E414" t="str">
        <f t="shared" ca="1" si="13"/>
        <v>00:22:53,660</v>
      </c>
    </row>
    <row r="415" spans="1:5" x14ac:dyDescent="0.3">
      <c r="A415">
        <f ca="1">OFFSET(srt_raw!$A$1,(ROW()-1)*4+COLUMN()-1,0)</f>
        <v>415</v>
      </c>
      <c r="B415" t="str">
        <f ca="1">OFFSET(srt_raw!$A$1,(ROW()-1)*4+COLUMN()-1,0)</f>
        <v>00:22:53,660 --&gt; 00:22:54,980</v>
      </c>
      <c r="C415" t="str">
        <f ca="1">OFFSET(srt_raw!$A$1,(ROW()-1)*4+COLUMN()-1,0)</f>
        <v>最高次数为四。</v>
      </c>
      <c r="D415" t="str">
        <f t="shared" ca="1" si="12"/>
        <v>00:22:53,660</v>
      </c>
      <c r="E415" t="str">
        <f t="shared" ca="1" si="13"/>
        <v>00:22:54,980</v>
      </c>
    </row>
    <row r="416" spans="1:5" x14ac:dyDescent="0.3">
      <c r="A416">
        <f ca="1">OFFSET(srt_raw!$A$1,(ROW()-1)*4+COLUMN()-1,0)</f>
        <v>416</v>
      </c>
      <c r="B416" t="str">
        <f ca="1">OFFSET(srt_raw!$A$1,(ROW()-1)*4+COLUMN()-1,0)</f>
        <v>00:22:56,380 --&gt; 00:22:57,100</v>
      </c>
      <c r="C416" t="str">
        <f ca="1">OFFSET(srt_raw!$A$1,(ROW()-1)*4+COLUMN()-1,0)</f>
        <v>另一方面，</v>
      </c>
      <c r="D416" t="str">
        <f t="shared" ca="1" si="12"/>
        <v>00:22:56,380</v>
      </c>
      <c r="E416" t="str">
        <f t="shared" ca="1" si="13"/>
        <v>00:22:57,100</v>
      </c>
    </row>
    <row r="417" spans="1:5" x14ac:dyDescent="0.3">
      <c r="A417">
        <f ca="1">OFFSET(srt_raw!$A$1,(ROW()-1)*4+COLUMN()-1,0)</f>
        <v>417</v>
      </c>
      <c r="B417" t="str">
        <f ca="1">OFFSET(srt_raw!$A$1,(ROW()-1)*4+COLUMN()-1,0)</f>
        <v>00:22:57,100 --&gt; 00:22:59,820</v>
      </c>
      <c r="C417" t="str">
        <f ca="1">OFFSET(srt_raw!$A$1,(ROW()-1)*4+COLUMN()-1,0)</f>
        <v>如果我们直接使用扩展欧几里德法，</v>
      </c>
      <c r="D417" t="str">
        <f t="shared" ca="1" si="12"/>
        <v>00:22:57,100</v>
      </c>
      <c r="E417" t="str">
        <f t="shared" ca="1" si="13"/>
        <v>00:22:59,820</v>
      </c>
    </row>
    <row r="418" spans="1:5" x14ac:dyDescent="0.3">
      <c r="A418">
        <f ca="1">OFFSET(srt_raw!$A$1,(ROW()-1)*4+COLUMN()-1,0)</f>
        <v>418</v>
      </c>
      <c r="B418" t="str">
        <f ca="1">OFFSET(srt_raw!$A$1,(ROW()-1)*4+COLUMN()-1,0)</f>
        <v>00:22:59,820 --&gt; 00:23:02,540</v>
      </c>
      <c r="C418" t="str">
        <f ca="1">OFFSET(srt_raw!$A$1,(ROW()-1)*4+COLUMN()-1,0)</f>
        <v>通过PX和FX进行求解，</v>
      </c>
      <c r="D418" t="str">
        <f t="shared" ca="1" si="12"/>
        <v>00:22:59,820</v>
      </c>
      <c r="E418" t="str">
        <f t="shared" ca="1" si="13"/>
        <v>00:23:02,540</v>
      </c>
    </row>
    <row r="419" spans="1:5" x14ac:dyDescent="0.3">
      <c r="A419">
        <f ca="1">OFFSET(srt_raw!$A$1,(ROW()-1)*4+COLUMN()-1,0)</f>
        <v>419</v>
      </c>
      <c r="B419" t="str">
        <f ca="1">OFFSET(srt_raw!$A$1,(ROW()-1)*4+COLUMN()-1,0)</f>
        <v>00:23:02,620 --&gt; 00:23:06,100</v>
      </c>
      <c r="C419" t="str">
        <f ca="1">OFFSET(srt_raw!$A$1,(ROW()-1)*4+COLUMN()-1,0)</f>
        <v>得到的GX也不唯一。</v>
      </c>
      <c r="D419" t="str">
        <f t="shared" ca="1" si="12"/>
        <v>00:23:02,620</v>
      </c>
      <c r="E419" t="str">
        <f t="shared" ca="1" si="13"/>
        <v>00:23:06,100</v>
      </c>
    </row>
    <row r="420" spans="1:5" x14ac:dyDescent="0.3">
      <c r="A420">
        <f ca="1">OFFSET(srt_raw!$A$1,(ROW()-1)*4+COLUMN()-1,0)</f>
        <v>420</v>
      </c>
      <c r="B420" t="str">
        <f ca="1">OFFSET(srt_raw!$A$1,(ROW()-1)*4+COLUMN()-1,0)</f>
        <v>00:23:06,100 --&gt; 00:23:08,980</v>
      </c>
      <c r="C420" t="str">
        <f ca="1">OFFSET(srt_raw!$A$1,(ROW()-1)*4+COLUMN()-1,0)</f>
        <v>将求得的QX和PX相乘，</v>
      </c>
      <c r="D420" t="str">
        <f t="shared" ca="1" si="12"/>
        <v>00:23:06,100</v>
      </c>
      <c r="E420" t="str">
        <f t="shared" ca="1" si="13"/>
        <v>00:23:08,980</v>
      </c>
    </row>
    <row r="421" spans="1:5" x14ac:dyDescent="0.3">
      <c r="A421">
        <f ca="1">OFFSET(srt_raw!$A$1,(ROW()-1)*4+COLUMN()-1,0)</f>
        <v>421</v>
      </c>
      <c r="B421" t="str">
        <f ca="1">OFFSET(srt_raw!$A$1,(ROW()-1)*4+COLUMN()-1,0)</f>
        <v>00:23:08,980 --&gt; 00:23:11,060</v>
      </c>
      <c r="C421" t="str">
        <f ca="1">OFFSET(srt_raw!$A$1,(ROW()-1)*4+COLUMN()-1,0)</f>
        <v>得到刚才求得的GX，</v>
      </c>
      <c r="D421" t="str">
        <f t="shared" ca="1" si="12"/>
        <v>00:23:08,980</v>
      </c>
      <c r="E421" t="str">
        <f t="shared" ca="1" si="13"/>
        <v>00:23:11,060</v>
      </c>
    </row>
    <row r="422" spans="1:5" x14ac:dyDescent="0.3">
      <c r="A422">
        <f ca="1">OFFSET(srt_raw!$A$1,(ROW()-1)*4+COLUMN()-1,0)</f>
        <v>422</v>
      </c>
      <c r="B422" t="str">
        <f ca="1">OFFSET(srt_raw!$A$1,(ROW()-1)*4+COLUMN()-1,0)</f>
        <v>00:23:11,060 --&gt; 00:23:12,460</v>
      </c>
      <c r="C422" t="str">
        <f ca="1">OFFSET(srt_raw!$A$1,(ROW()-1)*4+COLUMN()-1,0)</f>
        <v>其最高次数为2。</v>
      </c>
      <c r="D422" t="str">
        <f t="shared" ca="1" si="12"/>
        <v>00:23:11,060</v>
      </c>
      <c r="E422" t="str">
        <f t="shared" ca="1" si="13"/>
        <v>00:23:12,460</v>
      </c>
    </row>
    <row r="423" spans="1:5" x14ac:dyDescent="0.3">
      <c r="A423">
        <f ca="1">OFFSET(srt_raw!$A$1,(ROW()-1)*4+COLUMN()-1,0)</f>
        <v>423</v>
      </c>
      <c r="B423" t="str">
        <f ca="1">OFFSET(srt_raw!$A$1,(ROW()-1)*4+COLUMN()-1,0)</f>
        <v>00:23:13,980 --&gt; 00:23:16,140</v>
      </c>
      <c r="C423" t="str">
        <f ca="1">OFFSET(srt_raw!$A$1,(ROW()-1)*4+COLUMN()-1,0)</f>
        <v>这里我们计算QHY，</v>
      </c>
      <c r="D423" t="str">
        <f t="shared" ca="1" si="12"/>
        <v>00:23:13,980</v>
      </c>
      <c r="E423" t="str">
        <f t="shared" ca="1" si="13"/>
        <v>00:23:16,140</v>
      </c>
    </row>
    <row r="424" spans="1:5" x14ac:dyDescent="0.3">
      <c r="A424">
        <f ca="1">OFFSET(srt_raw!$A$1,(ROW()-1)*4+COLUMN()-1,0)</f>
        <v>424</v>
      </c>
      <c r="B424" t="str">
        <f ca="1">OFFSET(srt_raw!$A$1,(ROW()-1)*4+COLUMN()-1,0)</f>
        <v>00:23:16,220 --&gt; 00:23:20,140</v>
      </c>
      <c r="C424" t="str">
        <f ca="1">OFFSET(srt_raw!$A$1,(ROW()-1)*4+COLUMN()-1,0)</f>
        <v>发现求得的X也不是正确解。</v>
      </c>
      <c r="D424" t="str">
        <f t="shared" ca="1" si="12"/>
        <v>00:23:16,220</v>
      </c>
      <c r="E424" t="str">
        <f t="shared" ca="1" si="13"/>
        <v>00:23:20,140</v>
      </c>
    </row>
    <row r="425" spans="1:5" x14ac:dyDescent="0.3">
      <c r="A425">
        <f ca="1">OFFSET(srt_raw!$A$1,(ROW()-1)*4+COLUMN()-1,0)</f>
        <v>425</v>
      </c>
      <c r="B425" t="str">
        <f ca="1">OFFSET(srt_raw!$A$1,(ROW()-1)*4+COLUMN()-1,0)</f>
        <v>00:23:20,140 --&gt; 00:23:23,700</v>
      </c>
      <c r="C425" t="str">
        <f ca="1">OFFSET(srt_raw!$A$1,(ROW()-1)*4+COLUMN()-1,0)</f>
        <v>两种方法求得的QX和GX都不相同。</v>
      </c>
      <c r="D425" t="str">
        <f t="shared" ca="1" si="12"/>
        <v>00:23:20,140</v>
      </c>
      <c r="E425" t="str">
        <f t="shared" ca="1" si="13"/>
        <v>00:23:23,700</v>
      </c>
    </row>
    <row r="426" spans="1:5" x14ac:dyDescent="0.3">
      <c r="A426">
        <f ca="1">OFFSET(srt_raw!$A$1,(ROW()-1)*4+COLUMN()-1,0)</f>
        <v>426</v>
      </c>
      <c r="B426" t="str">
        <f ca="1">OFFSET(srt_raw!$A$1,(ROW()-1)*4+COLUMN()-1,0)</f>
        <v>00:23:23,980 --&gt; 00:23:25,580</v>
      </c>
      <c r="C426" t="str">
        <f ca="1">OFFSET(srt_raw!$A$1,(ROW()-1)*4+COLUMN()-1,0)</f>
        <v>GX都不唯一，</v>
      </c>
      <c r="D426" t="str">
        <f t="shared" ca="1" si="12"/>
        <v>00:23:23,980</v>
      </c>
      <c r="E426" t="str">
        <f t="shared" ca="1" si="13"/>
        <v>00:23:25,580</v>
      </c>
    </row>
    <row r="427" spans="1:5" x14ac:dyDescent="0.3">
      <c r="A427">
        <f ca="1">OFFSET(srt_raw!$A$1,(ROW()-1)*4+COLUMN()-1,0)</f>
        <v>427</v>
      </c>
      <c r="B427" t="str">
        <f ca="1">OFFSET(srt_raw!$A$1,(ROW()-1)*4+COLUMN()-1,0)</f>
        <v>00:23:25,580 --&gt; 00:23:29,820</v>
      </c>
      <c r="C427" t="str">
        <f ca="1">OFFSET(srt_raw!$A$1,(ROW()-1)*4+COLUMN()-1,0)</f>
        <v>并且QHY也都不是正确解。</v>
      </c>
      <c r="D427" t="str">
        <f t="shared" ca="1" si="12"/>
        <v>00:23:25,580</v>
      </c>
      <c r="E427" t="str">
        <f t="shared" ca="1" si="13"/>
        <v>00:23:29,820</v>
      </c>
    </row>
    <row r="428" spans="1:5" x14ac:dyDescent="0.3">
      <c r="A428">
        <f ca="1">OFFSET(srt_raw!$A$1,(ROW()-1)*4+COLUMN()-1,0)</f>
        <v>428</v>
      </c>
      <c r="B428" t="str">
        <f ca="1">OFFSET(srt_raw!$A$1,(ROW()-1)*4+COLUMN()-1,0)</f>
        <v>00:23:29,820 --&gt; 00:23:30,460</v>
      </c>
      <c r="C428" t="str">
        <f ca="1">OFFSET(srt_raw!$A$1,(ROW()-1)*4+COLUMN()-1,0)</f>
        <v>因此，</v>
      </c>
      <c r="D428" t="str">
        <f t="shared" ca="1" si="12"/>
        <v>00:23:29,820</v>
      </c>
      <c r="E428" t="str">
        <f t="shared" ca="1" si="13"/>
        <v>00:23:30,460</v>
      </c>
    </row>
    <row r="429" spans="1:5" x14ac:dyDescent="0.3">
      <c r="A429">
        <f ca="1">OFFSET(srt_raw!$A$1,(ROW()-1)*4+COLUMN()-1,0)</f>
        <v>429</v>
      </c>
      <c r="B429" t="str">
        <f ca="1">OFFSET(srt_raw!$A$1,(ROW()-1)*4+COLUMN()-1,0)</f>
        <v>00:23:30,460 --&gt; 00:23:32,140</v>
      </c>
      <c r="C429" t="str">
        <f ca="1">OFFSET(srt_raw!$A$1,(ROW()-1)*4+COLUMN()-1,0)</f>
        <v>如果GX不唯一，</v>
      </c>
      <c r="D429" t="str">
        <f t="shared" ca="1" si="12"/>
        <v>00:23:30,460</v>
      </c>
      <c r="E429" t="str">
        <f t="shared" ca="1" si="13"/>
        <v>00:23:32,140</v>
      </c>
    </row>
    <row r="430" spans="1:5" x14ac:dyDescent="0.3">
      <c r="A430">
        <f ca="1">OFFSET(srt_raw!$A$1,(ROW()-1)*4+COLUMN()-1,0)</f>
        <v>430</v>
      </c>
      <c r="B430" t="str">
        <f ca="1">OFFSET(srt_raw!$A$1,(ROW()-1)*4+COLUMN()-1,0)</f>
        <v>00:23:32,140 --&gt; 00:23:39,860</v>
      </c>
      <c r="C430" t="str">
        <f ca="1">OFFSET(srt_raw!$A$1,(ROW()-1)*4+COLUMN()-1,0)</f>
        <v>则QX不满足QXPX等于EmodFX或者说满足QXPX等于E</v>
      </c>
      <c r="D430" t="str">
        <f t="shared" ca="1" si="12"/>
        <v>00:23:32,140</v>
      </c>
      <c r="E430" t="str">
        <f t="shared" ca="1" si="13"/>
        <v>00:23:39,860</v>
      </c>
    </row>
    <row r="431" spans="1:5" x14ac:dyDescent="0.3">
      <c r="A431">
        <f ca="1">OFFSET(srt_raw!$A$1,(ROW()-1)*4+COLUMN()-1,0)</f>
        <v>431</v>
      </c>
      <c r="B431" t="str">
        <f ca="1">OFFSET(srt_raw!$A$1,(ROW()-1)*4+COLUMN()-1,0)</f>
        <v>00:23:39,860 --&gt; 00:23:42,020</v>
      </c>
      <c r="C431" t="str">
        <f ca="1">OFFSET(srt_raw!$A$1,(ROW()-1)*4+COLUMN()-1,0)</f>
        <v>modFX的QX不存在。</v>
      </c>
      <c r="D431" t="str">
        <f t="shared" ca="1" si="12"/>
        <v>00:23:39,860</v>
      </c>
      <c r="E431" t="str">
        <f t="shared" ca="1" si="13"/>
        <v>00:23:42,020</v>
      </c>
    </row>
    <row r="432" spans="1:5" x14ac:dyDescent="0.3">
      <c r="A432">
        <f ca="1">OFFSET(srt_raw!$A$1,(ROW()-1)*4+COLUMN()-1,0)</f>
        <v>432</v>
      </c>
      <c r="B432" t="str">
        <f ca="1">OFFSET(srt_raw!$A$1,(ROW()-1)*4+COLUMN()-1,0)</f>
        <v>00:23:43,500 --&gt; 00:23:43,980</v>
      </c>
      <c r="C432" t="str">
        <f ca="1">OFFSET(srt_raw!$A$1,(ROW()-1)*4+COLUMN()-1,0)</f>
        <v>那么，</v>
      </c>
      <c r="D432" t="str">
        <f t="shared" ca="1" si="12"/>
        <v>00:23:43,500</v>
      </c>
      <c r="E432" t="str">
        <f t="shared" ca="1" si="13"/>
        <v>00:23:43,980</v>
      </c>
    </row>
    <row r="433" spans="1:5" x14ac:dyDescent="0.3">
      <c r="A433">
        <f ca="1">OFFSET(srt_raw!$A$1,(ROW()-1)*4+COLUMN()-1,0)</f>
        <v>433</v>
      </c>
      <c r="B433" t="str">
        <f ca="1">OFFSET(srt_raw!$A$1,(ROW()-1)*4+COLUMN()-1,0)</f>
        <v>00:23:43,980 --&gt; 00:23:45,500</v>
      </c>
      <c r="C433" t="str">
        <f ca="1">OFFSET(srt_raw!$A$1,(ROW()-1)*4+COLUMN()-1,0)</f>
        <v>对于不可逆的矩阵B，</v>
      </c>
      <c r="D433" t="str">
        <f t="shared" ca="1" si="12"/>
        <v>00:23:43,980</v>
      </c>
      <c r="E433" t="str">
        <f t="shared" ca="1" si="13"/>
        <v>00:23:45,500</v>
      </c>
    </row>
    <row r="434" spans="1:5" x14ac:dyDescent="0.3">
      <c r="A434">
        <f ca="1">OFFSET(srt_raw!$A$1,(ROW()-1)*4+COLUMN()-1,0)</f>
        <v>434</v>
      </c>
      <c r="B434" t="str">
        <f ca="1">OFFSET(srt_raw!$A$1,(ROW()-1)*4+COLUMN()-1,0)</f>
        <v>00:23:45,580 --&gt; 00:23:48,220</v>
      </c>
      <c r="C434" t="str">
        <f ca="1">OFFSET(srt_raw!$A$1,(ROW()-1)*4+COLUMN()-1,0)</f>
        <v>我们又有什么方法可以求出正确的解呢？</v>
      </c>
      <c r="D434" t="str">
        <f t="shared" ca="1" si="12"/>
        <v>00:23:45,580</v>
      </c>
      <c r="E434" t="str">
        <f t="shared" ca="1" si="13"/>
        <v>00:23:48,220</v>
      </c>
    </row>
    <row r="435" spans="1:5" x14ac:dyDescent="0.3">
      <c r="A435">
        <f ca="1">OFFSET(srt_raw!$A$1,(ROW()-1)*4+COLUMN()-1,0)</f>
        <v>435</v>
      </c>
      <c r="B435" t="str">
        <f ca="1">OFFSET(srt_raw!$A$1,(ROW()-1)*4+COLUMN()-1,0)</f>
        <v>00:23:49,660 --&gt; 00:23:51,580</v>
      </c>
      <c r="C435" t="str">
        <f ca="1">OFFSET(srt_raw!$A$1,(ROW()-1)*4+COLUMN()-1,0)</f>
        <v>在刚才的首行求逆法中，</v>
      </c>
      <c r="D435" t="str">
        <f t="shared" ca="1" si="12"/>
        <v>00:23:49,660</v>
      </c>
      <c r="E435" t="str">
        <f t="shared" ca="1" si="13"/>
        <v>00:23:51,580</v>
      </c>
    </row>
    <row r="436" spans="1:5" x14ac:dyDescent="0.3">
      <c r="A436">
        <f ca="1">OFFSET(srt_raw!$A$1,(ROW()-1)*4+COLUMN()-1,0)</f>
        <v>436</v>
      </c>
      <c r="B436" t="str">
        <f ca="1">OFFSET(srt_raw!$A$1,(ROW()-1)*4+COLUMN()-1,0)</f>
        <v>00:23:51,580 --&gt; 00:23:52,660</v>
      </c>
      <c r="C436" t="str">
        <f ca="1">OFFSET(srt_raw!$A$1,(ROW()-1)*4+COLUMN()-1,0)</f>
        <v>我们有这些公式。</v>
      </c>
      <c r="D436" t="str">
        <f t="shared" ca="1" si="12"/>
        <v>00:23:51,580</v>
      </c>
      <c r="E436" t="str">
        <f t="shared" ca="1" si="13"/>
        <v>00:23:52,660</v>
      </c>
    </row>
    <row r="437" spans="1:5" x14ac:dyDescent="0.3">
      <c r="A437">
        <f ca="1">OFFSET(srt_raw!$A$1,(ROW()-1)*4+COLUMN()-1,0)</f>
        <v>437</v>
      </c>
      <c r="B437" t="str">
        <f ca="1">OFFSET(srt_raw!$A$1,(ROW()-1)*4+COLUMN()-1,0)</f>
        <v>00:23:54,140 --&gt; 00:24:02,780</v>
      </c>
      <c r="C437" t="str">
        <f ca="1">OFFSET(srt_raw!$A$1,(ROW()-1)*4+COLUMN()-1,0)</f>
        <v>现在我们定义多项是Q撇X满足Q撇XPX等于GXmodFX其中</v>
      </c>
      <c r="D437" t="str">
        <f t="shared" ca="1" si="12"/>
        <v>00:23:54,140</v>
      </c>
      <c r="E437" t="str">
        <f t="shared" ca="1" si="13"/>
        <v>00:24:02,780</v>
      </c>
    </row>
    <row r="438" spans="1:5" x14ac:dyDescent="0.3">
      <c r="A438">
        <f ca="1">OFFSET(srt_raw!$A$1,(ROW()-1)*4+COLUMN()-1,0)</f>
        <v>438</v>
      </c>
      <c r="B438" t="str">
        <f ca="1">OFFSET(srt_raw!$A$1,(ROW()-1)*4+COLUMN()-1,0)</f>
        <v>00:24:02,860 --&gt; 00:24:11,140</v>
      </c>
      <c r="C438" t="str">
        <f ca="1">OFFSET(srt_raw!$A$1,(ROW()-1)*4+COLUMN()-1,0)</f>
        <v>GX也就是刚才提到的最大公因子Q撇X就是刚才求得的QX由于原</v>
      </c>
      <c r="D438" t="str">
        <f t="shared" ca="1" si="12"/>
        <v>00:24:02,860</v>
      </c>
      <c r="E438" t="str">
        <f t="shared" ca="1" si="13"/>
        <v>00:24:11,140</v>
      </c>
    </row>
    <row r="439" spans="1:5" x14ac:dyDescent="0.3">
      <c r="A439">
        <f ca="1">OFFSET(srt_raw!$A$1,(ROW()-1)*4+COLUMN()-1,0)</f>
        <v>439</v>
      </c>
      <c r="B439" t="str">
        <f ca="1">OFFSET(srt_raw!$A$1,(ROW()-1)*4+COLUMN()-1,0)</f>
        <v>00:24:11,140 --&gt; 00:24:13,180</v>
      </c>
      <c r="C439" t="str">
        <f ca="1">OFFSET(srt_raw!$A$1,(ROW()-1)*4+COLUMN()-1,0)</f>
        <v>本求得的X并不是最终解，</v>
      </c>
      <c r="D439" t="str">
        <f t="shared" ca="1" si="12"/>
        <v>00:24:11,140</v>
      </c>
      <c r="E439" t="str">
        <f t="shared" ca="1" si="13"/>
        <v>00:24:13,180</v>
      </c>
    </row>
    <row r="440" spans="1:5" x14ac:dyDescent="0.3">
      <c r="A440">
        <f ca="1">OFFSET(srt_raw!$A$1,(ROW()-1)*4+COLUMN()-1,0)</f>
        <v>440</v>
      </c>
      <c r="B440" t="str">
        <f ca="1">OFFSET(srt_raw!$A$1,(ROW()-1)*4+COLUMN()-1,0)</f>
        <v>00:24:13,260 --&gt; 00:24:17,500</v>
      </c>
      <c r="C440" t="str">
        <f ca="1">OFFSET(srt_raw!$A$1,(ROW()-1)*4+COLUMN()-1,0)</f>
        <v>我们将其重命名为Z即Z等于Q撇HY。</v>
      </c>
      <c r="D440" t="str">
        <f t="shared" ca="1" si="12"/>
        <v>00:24:13,260</v>
      </c>
      <c r="E440" t="str">
        <f t="shared" ca="1" si="13"/>
        <v>00:24:17,500</v>
      </c>
    </row>
    <row r="441" spans="1:5" x14ac:dyDescent="0.3">
      <c r="A441">
        <f ca="1">OFFSET(srt_raw!$A$1,(ROW()-1)*4+COLUMN()-1,0)</f>
        <v>441</v>
      </c>
      <c r="B441" t="str">
        <f ca="1">OFFSET(srt_raw!$A$1,(ROW()-1)*4+COLUMN()-1,0)</f>
        <v>00:24:19,340 --&gt; 00:24:19,860</v>
      </c>
      <c r="C441" t="str">
        <f ca="1">OFFSET(srt_raw!$A$1,(ROW()-1)*4+COLUMN()-1,0)</f>
        <v>同时，</v>
      </c>
      <c r="D441" t="str">
        <f t="shared" ca="1" si="12"/>
        <v>00:24:19,340</v>
      </c>
      <c r="E441" t="str">
        <f t="shared" ca="1" si="13"/>
        <v>00:24:19,860</v>
      </c>
    </row>
    <row r="442" spans="1:5" x14ac:dyDescent="0.3">
      <c r="A442">
        <f ca="1">OFFSET(srt_raw!$A$1,(ROW()-1)*4+COLUMN()-1,0)</f>
        <v>442</v>
      </c>
      <c r="B442" t="str">
        <f ca="1">OFFSET(srt_raw!$A$1,(ROW()-1)*4+COLUMN()-1,0)</f>
        <v>00:24:19,860 --&gt; 00:24:23,140</v>
      </c>
      <c r="C442" t="str">
        <f ca="1">OFFSET(srt_raw!$A$1,(ROW()-1)*4+COLUMN()-1,0)</f>
        <v>我们定义Q撇X的逆多项式P撇X，</v>
      </c>
      <c r="D442" t="str">
        <f t="shared" ca="1" si="12"/>
        <v>00:24:19,860</v>
      </c>
      <c r="E442" t="str">
        <f t="shared" ca="1" si="13"/>
        <v>00:24:23,140</v>
      </c>
    </row>
    <row r="443" spans="1:5" x14ac:dyDescent="0.3">
      <c r="A443">
        <f ca="1">OFFSET(srt_raw!$A$1,(ROW()-1)*4+COLUMN()-1,0)</f>
        <v>443</v>
      </c>
      <c r="B443" t="str">
        <f ca="1">OFFSET(srt_raw!$A$1,(ROW()-1)*4+COLUMN()-1,0)</f>
        <v>00:24:23,140 --&gt; 00:24:24,180</v>
      </c>
      <c r="C443" t="str">
        <f ca="1">OFFSET(srt_raw!$A$1,(ROW()-1)*4+COLUMN()-1,0)</f>
        <v>即Q撇X，</v>
      </c>
      <c r="D443" t="str">
        <f t="shared" ca="1" si="12"/>
        <v>00:24:23,140</v>
      </c>
      <c r="E443" t="str">
        <f t="shared" ca="1" si="13"/>
        <v>00:24:24,180</v>
      </c>
    </row>
    <row r="444" spans="1:5" x14ac:dyDescent="0.3">
      <c r="A444">
        <f ca="1">OFFSET(srt_raw!$A$1,(ROW()-1)*4+COLUMN()-1,0)</f>
        <v>444</v>
      </c>
      <c r="B444" t="str">
        <f ca="1">OFFSET(srt_raw!$A$1,(ROW()-1)*4+COLUMN()-1,0)</f>
        <v>00:24:24,180 --&gt; 00:24:26,540</v>
      </c>
      <c r="C444" t="str">
        <f ca="1">OFFSET(srt_raw!$A$1,(ROW()-1)*4+COLUMN()-1,0)</f>
        <v>P撇X等于1modFX。</v>
      </c>
      <c r="D444" t="str">
        <f t="shared" ca="1" si="12"/>
        <v>00:24:24,180</v>
      </c>
      <c r="E444" t="str">
        <f t="shared" ca="1" si="13"/>
        <v>00:24:26,540</v>
      </c>
    </row>
    <row r="445" spans="1:5" x14ac:dyDescent="0.3">
      <c r="A445">
        <f ca="1">OFFSET(srt_raw!$A$1,(ROW()-1)*4+COLUMN()-1,0)</f>
        <v>445</v>
      </c>
      <c r="B445" t="str">
        <f ca="1">OFFSET(srt_raw!$A$1,(ROW()-1)*4+COLUMN()-1,0)</f>
        <v>00:24:28,060 --&gt; 00:24:29,740</v>
      </c>
      <c r="C445" t="str">
        <f ca="1">OFFSET(srt_raw!$A$1,(ROW()-1)*4+COLUMN()-1,0)</f>
        <v>我们不难推出这些式子，</v>
      </c>
      <c r="D445" t="str">
        <f t="shared" ca="1" si="12"/>
        <v>00:24:28,060</v>
      </c>
      <c r="E445" t="str">
        <f t="shared" ca="1" si="13"/>
        <v>00:24:29,740</v>
      </c>
    </row>
    <row r="446" spans="1:5" x14ac:dyDescent="0.3">
      <c r="A446">
        <f ca="1">OFFSET(srt_raw!$A$1,(ROW()-1)*4+COLUMN()-1,0)</f>
        <v>446</v>
      </c>
      <c r="B446" t="str">
        <f ca="1">OFFSET(srt_raw!$A$1,(ROW()-1)*4+COLUMN()-1,0)</f>
        <v>00:24:30,220 --&gt; 00:24:36,140</v>
      </c>
      <c r="C446" t="str">
        <f ca="1">OFFSET(srt_raw!$A$1,(ROW()-1)*4+COLUMN()-1,0)</f>
        <v>为了方便表示这里将modFX的部分省去整理后，</v>
      </c>
      <c r="D446" t="str">
        <f t="shared" ca="1" si="12"/>
        <v>00:24:30,220</v>
      </c>
      <c r="E446" t="str">
        <f t="shared" ca="1" si="13"/>
        <v>00:24:36,140</v>
      </c>
    </row>
    <row r="447" spans="1:5" x14ac:dyDescent="0.3">
      <c r="A447">
        <f ca="1">OFFSET(srt_raw!$A$1,(ROW()-1)*4+COLUMN()-1,0)</f>
        <v>447</v>
      </c>
      <c r="B447" t="str">
        <f ca="1">OFFSET(srt_raw!$A$1,(ROW()-1)*4+COLUMN()-1,0)</f>
        <v>00:24:36,140 --&gt; 00:24:37,700</v>
      </c>
      <c r="C447" t="str">
        <f ca="1">OFFSET(srt_raw!$A$1,(ROW()-1)*4+COLUMN()-1,0)</f>
        <v>我们可以得到这些式子。</v>
      </c>
      <c r="D447" t="str">
        <f t="shared" ca="1" si="12"/>
        <v>00:24:36,140</v>
      </c>
      <c r="E447" t="str">
        <f t="shared" ca="1" si="13"/>
        <v>00:24:37,700</v>
      </c>
    </row>
    <row r="448" spans="1:5" x14ac:dyDescent="0.3">
      <c r="A448">
        <f ca="1">OFFSET(srt_raw!$A$1,(ROW()-1)*4+COLUMN()-1,0)</f>
        <v>448</v>
      </c>
      <c r="B448" t="str">
        <f ca="1">OFFSET(srt_raw!$A$1,(ROW()-1)*4+COLUMN()-1,0)</f>
        <v>00:24:39,180 --&gt; 00:24:43,540</v>
      </c>
      <c r="C448" t="str">
        <f ca="1">OFFSET(srt_raw!$A$1,(ROW()-1)*4+COLUMN()-1,0)</f>
        <v>最终我们得到了C等于GHX这里，</v>
      </c>
      <c r="D448" t="str">
        <f t="shared" ca="1" si="12"/>
        <v>00:24:39,180</v>
      </c>
      <c r="E448" t="str">
        <f t="shared" ca="1" si="13"/>
        <v>00:24:43,540</v>
      </c>
    </row>
    <row r="449" spans="1:5" x14ac:dyDescent="0.3">
      <c r="A449">
        <f ca="1">OFFSET(srt_raw!$A$1,(ROW()-1)*4+COLUMN()-1,0)</f>
        <v>449</v>
      </c>
      <c r="B449" t="str">
        <f ca="1">OFFSET(srt_raw!$A$1,(ROW()-1)*4+COLUMN()-1,0)</f>
        <v>00:24:43,540 --&gt; 00:24:45,020</v>
      </c>
      <c r="C449" t="str">
        <f ca="1">OFFSET(srt_raw!$A$1,(ROW()-1)*4+COLUMN()-1,0)</f>
        <v>如果GX等于1，</v>
      </c>
      <c r="D449" t="str">
        <f t="shared" ca="1" si="12"/>
        <v>00:24:43,540</v>
      </c>
      <c r="E449" t="str">
        <f t="shared" ca="1" si="13"/>
        <v>00:24:45,020</v>
      </c>
    </row>
    <row r="450" spans="1:5" x14ac:dyDescent="0.3">
      <c r="A450">
        <f ca="1">OFFSET(srt_raw!$A$1,(ROW()-1)*4+COLUMN()-1,0)</f>
        <v>450</v>
      </c>
      <c r="B450" t="str">
        <f ca="1">OFFSET(srt_raw!$A$1,(ROW()-1)*4+COLUMN()-1,0)</f>
        <v>00:24:45,180 --&gt; 00:24:46,620</v>
      </c>
      <c r="C450" t="str">
        <f ca="1">OFFSET(srt_raw!$A$1,(ROW()-1)*4+COLUMN()-1,0)</f>
        <v>则会有右边这些式子。</v>
      </c>
      <c r="D450" t="str">
        <f t="shared" ref="D450:D513" ca="1" si="14">LEFT(B450,12)</f>
        <v>00:24:45,180</v>
      </c>
      <c r="E450" t="str">
        <f t="shared" ref="E450:E513" ca="1" si="15">RIGHT(B450,12)</f>
        <v>00:24:46,620</v>
      </c>
    </row>
    <row r="451" spans="1:5" x14ac:dyDescent="0.3">
      <c r="A451">
        <f ca="1">OFFSET(srt_raw!$A$1,(ROW()-1)*4+COLUMN()-1,0)</f>
        <v>451</v>
      </c>
      <c r="B451" t="str">
        <f ca="1">OFFSET(srt_raw!$A$1,(ROW()-1)*4+COLUMN()-1,0)</f>
        <v>00:24:48,380 --&gt; 00:24:50,540</v>
      </c>
      <c r="C451" t="str">
        <f ca="1">OFFSET(srt_raw!$A$1,(ROW()-1)*4+COLUMN()-1,0)</f>
        <v>前面使用的扩展欧几里得法中，</v>
      </c>
      <c r="D451" t="str">
        <f t="shared" ca="1" si="14"/>
        <v>00:24:48,380</v>
      </c>
      <c r="E451" t="str">
        <f t="shared" ca="1" si="15"/>
        <v>00:24:50,540</v>
      </c>
    </row>
    <row r="452" spans="1:5" x14ac:dyDescent="0.3">
      <c r="A452">
        <f ca="1">OFFSET(srt_raw!$A$1,(ROW()-1)*4+COLUMN()-1,0)</f>
        <v>452</v>
      </c>
      <c r="B452" t="str">
        <f ca="1">OFFSET(srt_raw!$A$1,(ROW()-1)*4+COLUMN()-1,0)</f>
        <v>00:24:50,540 --&gt; 00:24:53,300</v>
      </c>
      <c r="C452" t="str">
        <f ca="1">OFFSET(srt_raw!$A$1,(ROW()-1)*4+COLUMN()-1,0)</f>
        <v>我们已求得Q撇X和GX，</v>
      </c>
      <c r="D452" t="str">
        <f t="shared" ca="1" si="14"/>
        <v>00:24:50,540</v>
      </c>
      <c r="E452" t="str">
        <f t="shared" ca="1" si="15"/>
        <v>00:24:53,300</v>
      </c>
    </row>
    <row r="453" spans="1:5" x14ac:dyDescent="0.3">
      <c r="A453">
        <f ca="1">OFFSET(srt_raw!$A$1,(ROW()-1)*4+COLUMN()-1,0)</f>
        <v>453</v>
      </c>
      <c r="B453" t="str">
        <f ca="1">OFFSET(srt_raw!$A$1,(ROW()-1)*4+COLUMN()-1,0)</f>
        <v>00:24:53,820 --&gt; 00:24:58,140</v>
      </c>
      <c r="C453" t="str">
        <f ca="1">OFFSET(srt_raw!$A$1,(ROW()-1)*4+COLUMN()-1,0)</f>
        <v>因此接下来只需要使用GX和Z即可求得X。</v>
      </c>
      <c r="D453" t="str">
        <f t="shared" ca="1" si="14"/>
        <v>00:24:53,820</v>
      </c>
      <c r="E453" t="str">
        <f t="shared" ca="1" si="15"/>
        <v>00:24:58,140</v>
      </c>
    </row>
    <row r="454" spans="1:5" x14ac:dyDescent="0.3">
      <c r="A454">
        <f ca="1">OFFSET(srt_raw!$A$1,(ROW()-1)*4+COLUMN()-1,0)</f>
        <v>454</v>
      </c>
      <c r="B454" t="str">
        <f ca="1">OFFSET(srt_raw!$A$1,(ROW()-1)*4+COLUMN()-1,0)</f>
        <v>00:24:59,660 --&gt; 00:25:03,020</v>
      </c>
      <c r="C454" t="str">
        <f ca="1">OFFSET(srt_raw!$A$1,(ROW()-1)*4+COLUMN()-1,0)</f>
        <v>前者我们有公式Z等于Q撇HY，</v>
      </c>
      <c r="D454" t="str">
        <f t="shared" ca="1" si="14"/>
        <v>00:24:59,660</v>
      </c>
      <c r="E454" t="str">
        <f t="shared" ca="1" si="15"/>
        <v>00:25:03,020</v>
      </c>
    </row>
    <row r="455" spans="1:5" x14ac:dyDescent="0.3">
      <c r="A455">
        <f ca="1">OFFSET(srt_raw!$A$1,(ROW()-1)*4+COLUMN()-1,0)</f>
        <v>455</v>
      </c>
      <c r="B455" t="str">
        <f ca="1">OFFSET(srt_raw!$A$1,(ROW()-1)*4+COLUMN()-1,0)</f>
        <v>00:25:03,500 --&gt; 00:25:05,300</v>
      </c>
      <c r="C455" t="str">
        <f ca="1">OFFSET(srt_raw!$A$1,(ROW()-1)*4+COLUMN()-1,0)</f>
        <v>我们不断让Y乘以H，</v>
      </c>
      <c r="D455" t="str">
        <f t="shared" ca="1" si="14"/>
        <v>00:25:03,500</v>
      </c>
      <c r="E455" t="str">
        <f t="shared" ca="1" si="15"/>
        <v>00:25:05,300</v>
      </c>
    </row>
    <row r="456" spans="1:5" x14ac:dyDescent="0.3">
      <c r="A456">
        <f ca="1">OFFSET(srt_raw!$A$1,(ROW()-1)*4+COLUMN()-1,0)</f>
        <v>456</v>
      </c>
      <c r="B456" t="str">
        <f ca="1">OFFSET(srt_raw!$A$1,(ROW()-1)*4+COLUMN()-1,0)</f>
        <v>00:25:05,420 --&gt; 00:25:08,620</v>
      </c>
      <c r="C456" t="str">
        <f ca="1">OFFSET(srt_raw!$A$1,(ROW()-1)*4+COLUMN()-1,0)</f>
        <v>然后使用向量乘以矩阵的方法求得Z。</v>
      </c>
      <c r="D456" t="str">
        <f t="shared" ca="1" si="14"/>
        <v>00:25:05,420</v>
      </c>
      <c r="E456" t="str">
        <f t="shared" ca="1" si="15"/>
        <v>00:25:08,620</v>
      </c>
    </row>
    <row r="457" spans="1:5" x14ac:dyDescent="0.3">
      <c r="A457">
        <f ca="1">OFFSET(srt_raw!$A$1,(ROW()-1)*4+COLUMN()-1,0)</f>
        <v>457</v>
      </c>
      <c r="B457" t="str">
        <f ca="1">OFFSET(srt_raw!$A$1,(ROW()-1)*4+COLUMN()-1,0)</f>
        <v>00:25:10,140 --&gt; 00:25:13,980</v>
      </c>
      <c r="C457" t="str">
        <f ca="1">OFFSET(srt_raw!$A$1,(ROW()-1)*4+COLUMN()-1,0)</f>
        <v>现在我们有公式Z等于GHX，</v>
      </c>
      <c r="D457" t="str">
        <f t="shared" ca="1" si="14"/>
        <v>00:25:10,140</v>
      </c>
      <c r="E457" t="str">
        <f t="shared" ca="1" si="15"/>
        <v>00:25:13,980</v>
      </c>
    </row>
    <row r="458" spans="1:5" x14ac:dyDescent="0.3">
      <c r="A458">
        <f ca="1">OFFSET(srt_raw!$A$1,(ROW()-1)*4+COLUMN()-1,0)</f>
        <v>458</v>
      </c>
      <c r="B458" t="str">
        <f ca="1">OFFSET(srt_raw!$A$1,(ROW()-1)*4+COLUMN()-1,0)</f>
        <v>00:25:13,980 --&gt; 00:25:15,740</v>
      </c>
      <c r="C458" t="str">
        <f ca="1">OFFSET(srt_raw!$A$1,(ROW()-1)*4+COLUMN()-1,0)</f>
        <v>由于需要求得的是X，</v>
      </c>
      <c r="D458" t="str">
        <f t="shared" ca="1" si="14"/>
        <v>00:25:13,980</v>
      </c>
      <c r="E458" t="str">
        <f t="shared" ca="1" si="15"/>
        <v>00:25:15,740</v>
      </c>
    </row>
    <row r="459" spans="1:5" x14ac:dyDescent="0.3">
      <c r="A459">
        <f ca="1">OFFSET(srt_raw!$A$1,(ROW()-1)*4+COLUMN()-1,0)</f>
        <v>459</v>
      </c>
      <c r="B459" t="str">
        <f ca="1">OFFSET(srt_raw!$A$1,(ROW()-1)*4+COLUMN()-1,0)</f>
        <v>00:25:15,820 --&gt; 00:25:18,220</v>
      </c>
      <c r="C459" t="str">
        <f ca="1">OFFSET(srt_raw!$A$1,(ROW()-1)*4+COLUMN()-1,0)</f>
        <v>因此不能再使用这个方法来求解。</v>
      </c>
      <c r="D459" t="str">
        <f t="shared" ca="1" si="14"/>
        <v>00:25:15,820</v>
      </c>
      <c r="E459" t="str">
        <f t="shared" ca="1" si="15"/>
        <v>00:25:18,220</v>
      </c>
    </row>
    <row r="460" spans="1:5" x14ac:dyDescent="0.3">
      <c r="A460">
        <f ca="1">OFFSET(srt_raw!$A$1,(ROW()-1)*4+COLUMN()-1,0)</f>
        <v>460</v>
      </c>
      <c r="B460" t="str">
        <f ca="1">OFFSET(srt_raw!$A$1,(ROW()-1)*4+COLUMN()-1,0)</f>
        <v>00:25:19,740 --&gt; 00:25:23,300</v>
      </c>
      <c r="C460" t="str">
        <f ca="1">OFFSET(srt_raw!$A$1,(ROW()-1)*4+COLUMN()-1,0)</f>
        <v>这次我们需要用反向叠加法来求X，</v>
      </c>
      <c r="D460" t="str">
        <f t="shared" ca="1" si="14"/>
        <v>00:25:19,740</v>
      </c>
      <c r="E460" t="str">
        <f t="shared" ca="1" si="15"/>
        <v>00:25:23,300</v>
      </c>
    </row>
    <row r="461" spans="1:5" x14ac:dyDescent="0.3">
      <c r="A461">
        <f ca="1">OFFSET(srt_raw!$A$1,(ROW()-1)*4+COLUMN()-1,0)</f>
        <v>461</v>
      </c>
      <c r="B461" t="str">
        <f ca="1">OFFSET(srt_raw!$A$1,(ROW()-1)*4+COLUMN()-1,0)</f>
        <v>00:25:23,300 --&gt; 00:25:26,740</v>
      </c>
      <c r="C461" t="str">
        <f ca="1">OFFSET(srt_raw!$A$1,(ROW()-1)*4+COLUMN()-1,0)</f>
        <v>让我们以N等于5为例。</v>
      </c>
      <c r="D461" t="str">
        <f t="shared" ca="1" si="14"/>
        <v>00:25:23,300</v>
      </c>
      <c r="E461" t="str">
        <f t="shared" ca="1" si="15"/>
        <v>00:25:26,740</v>
      </c>
    </row>
    <row r="462" spans="1:5" x14ac:dyDescent="0.3">
      <c r="A462">
        <f ca="1">OFFSET(srt_raw!$A$1,(ROW()-1)*4+COLUMN()-1,0)</f>
        <v>462</v>
      </c>
      <c r="B462" t="str">
        <f ca="1">OFFSET(srt_raw!$A$1,(ROW()-1)*4+COLUMN()-1,0)</f>
        <v>00:25:26,740 --&gt; 00:25:31,380</v>
      </c>
      <c r="C462" t="str">
        <f ca="1">OFFSET(srt_raw!$A$1,(ROW()-1)*4+COLUMN()-1,0)</f>
        <v>首先我们需要使用类似生成矩阵B的方法生成GH，</v>
      </c>
      <c r="D462" t="str">
        <f t="shared" ca="1" si="14"/>
        <v>00:25:26,740</v>
      </c>
      <c r="E462" t="str">
        <f t="shared" ca="1" si="15"/>
        <v>00:25:31,380</v>
      </c>
    </row>
    <row r="463" spans="1:5" x14ac:dyDescent="0.3">
      <c r="A463">
        <f ca="1">OFFSET(srt_raw!$A$1,(ROW()-1)*4+COLUMN()-1,0)</f>
        <v>463</v>
      </c>
      <c r="B463" t="str">
        <f ca="1">OFFSET(srt_raw!$A$1,(ROW()-1)*4+COLUMN()-1,0)</f>
        <v>00:25:31,380 --&gt; 00:25:32,900</v>
      </c>
      <c r="C463" t="str">
        <f ca="1">OFFSET(srt_raw!$A$1,(ROW()-1)*4+COLUMN()-1,0)</f>
        <v>这里即为矩阵D，</v>
      </c>
      <c r="D463" t="str">
        <f t="shared" ca="1" si="14"/>
        <v>00:25:31,380</v>
      </c>
      <c r="E463" t="str">
        <f t="shared" ca="1" si="15"/>
        <v>00:25:32,900</v>
      </c>
    </row>
    <row r="464" spans="1:5" x14ac:dyDescent="0.3">
      <c r="A464">
        <f ca="1">OFFSET(srt_raw!$A$1,(ROW()-1)*4+COLUMN()-1,0)</f>
        <v>464</v>
      </c>
      <c r="B464" t="str">
        <f ca="1">OFFSET(srt_raw!$A$1,(ROW()-1)*4+COLUMN()-1,0)</f>
        <v>00:25:32,900 --&gt; 00:25:34,660</v>
      </c>
      <c r="C464" t="str">
        <f ca="1">OFFSET(srt_raw!$A$1,(ROW()-1)*4+COLUMN()-1,0)</f>
        <v>其质与矩阵B相同。</v>
      </c>
      <c r="D464" t="str">
        <f t="shared" ca="1" si="14"/>
        <v>00:25:32,900</v>
      </c>
      <c r="E464" t="str">
        <f t="shared" ca="1" si="15"/>
        <v>00:25:34,660</v>
      </c>
    </row>
    <row r="465" spans="1:5" x14ac:dyDescent="0.3">
      <c r="A465">
        <f ca="1">OFFSET(srt_raw!$A$1,(ROW()-1)*4+COLUMN()-1,0)</f>
        <v>465</v>
      </c>
      <c r="B465" t="str">
        <f ca="1">OFFSET(srt_raw!$A$1,(ROW()-1)*4+COLUMN()-1,0)</f>
        <v>00:25:36,460 --&gt; 00:25:38,460</v>
      </c>
      <c r="C465" t="str">
        <f ca="1">OFFSET(srt_raw!$A$1,(ROW()-1)*4+COLUMN()-1,0)</f>
        <v>一创建N个单位向量，</v>
      </c>
      <c r="D465" t="str">
        <f t="shared" ca="1" si="14"/>
        <v>00:25:36,460</v>
      </c>
      <c r="E465" t="str">
        <f t="shared" ca="1" si="15"/>
        <v>00:25:38,460</v>
      </c>
    </row>
    <row r="466" spans="1:5" x14ac:dyDescent="0.3">
      <c r="A466">
        <f ca="1">OFFSET(srt_raw!$A$1,(ROW()-1)*4+COLUMN()-1,0)</f>
        <v>466</v>
      </c>
      <c r="B466" t="str">
        <f ca="1">OFFSET(srt_raw!$A$1,(ROW()-1)*4+COLUMN()-1,0)</f>
        <v>00:25:38,540 --&gt; 00:25:40,380</v>
      </c>
      <c r="C466" t="str">
        <f ca="1">OFFSET(srt_raw!$A$1,(ROW()-1)*4+COLUMN()-1,0)</f>
        <v>也就是矩阵D的第一行。</v>
      </c>
      <c r="D466" t="str">
        <f t="shared" ca="1" si="14"/>
        <v>00:25:38,540</v>
      </c>
      <c r="E466" t="str">
        <f t="shared" ca="1" si="15"/>
        <v>00:25:40,380</v>
      </c>
    </row>
    <row r="467" spans="1:5" x14ac:dyDescent="0.3">
      <c r="A467">
        <f ca="1">OFFSET(srt_raw!$A$1,(ROW()-1)*4+COLUMN()-1,0)</f>
        <v>467</v>
      </c>
      <c r="B467" t="str">
        <f ca="1">OFFSET(srt_raw!$A$1,(ROW()-1)*4+COLUMN()-1,0)</f>
        <v>00:25:40,860 --&gt; 00:25:42,540</v>
      </c>
      <c r="C467" t="str">
        <f ca="1">OFFSET(srt_raw!$A$1,(ROW()-1)*4+COLUMN()-1,0)</f>
        <v>这里和矩阵B相同，</v>
      </c>
      <c r="D467" t="str">
        <f t="shared" ca="1" si="14"/>
        <v>00:25:40,860</v>
      </c>
      <c r="E467" t="str">
        <f t="shared" ca="1" si="15"/>
        <v>00:25:42,540</v>
      </c>
    </row>
    <row r="468" spans="1:5" x14ac:dyDescent="0.3">
      <c r="A468">
        <f ca="1">OFFSET(srt_raw!$A$1,(ROW()-1)*4+COLUMN()-1,0)</f>
        <v>468</v>
      </c>
      <c r="B468" t="str">
        <f ca="1">OFFSET(srt_raw!$A$1,(ROW()-1)*4+COLUMN()-1,0)</f>
        <v>00:25:42,540 --&gt; 00:25:43,980</v>
      </c>
      <c r="C468" t="str">
        <f ca="1">OFFSET(srt_raw!$A$1,(ROW()-1)*4+COLUMN()-1,0)</f>
        <v>一共有N个向量。</v>
      </c>
      <c r="D468" t="str">
        <f t="shared" ca="1" si="14"/>
        <v>00:25:42,540</v>
      </c>
      <c r="E468" t="str">
        <f t="shared" ca="1" si="15"/>
        <v>00:25:43,980</v>
      </c>
    </row>
    <row r="469" spans="1:5" x14ac:dyDescent="0.3">
      <c r="A469">
        <f ca="1">OFFSET(srt_raw!$A$1,(ROW()-1)*4+COLUMN()-1,0)</f>
        <v>469</v>
      </c>
      <c r="B469" t="str">
        <f ca="1">OFFSET(srt_raw!$A$1,(ROW()-1)*4+COLUMN()-1,0)</f>
        <v>00:25:45,900 --&gt; 00:25:50,460</v>
      </c>
      <c r="C469" t="str">
        <f ca="1">OFFSET(srt_raw!$A$1,(ROW()-1)*4+COLUMN()-1,0)</f>
        <v>二使用矩阵H将每个矩阵地的第一行扩散到后续的行，</v>
      </c>
      <c r="D469" t="str">
        <f t="shared" ca="1" si="14"/>
        <v>00:25:45,900</v>
      </c>
      <c r="E469" t="str">
        <f t="shared" ca="1" si="15"/>
        <v>00:25:50,460</v>
      </c>
    </row>
    <row r="470" spans="1:5" x14ac:dyDescent="0.3">
      <c r="A470">
        <f ca="1">OFFSET(srt_raw!$A$1,(ROW()-1)*4+COLUMN()-1,0)</f>
        <v>470</v>
      </c>
      <c r="B470" t="str">
        <f ca="1">OFFSET(srt_raw!$A$1,(ROW()-1)*4+COLUMN()-1,0)</f>
        <v>00:25:52,380 --&gt; 00:25:57,260</v>
      </c>
      <c r="C470" t="str">
        <f ca="1">OFFSET(srt_raw!$A$1,(ROW()-1)*4+COLUMN()-1,0)</f>
        <v>三根据多项式GX将每个矩阵地的对应行叠加起来，</v>
      </c>
      <c r="D470" t="str">
        <f t="shared" ca="1" si="14"/>
        <v>00:25:52,380</v>
      </c>
      <c r="E470" t="str">
        <f t="shared" ca="1" si="15"/>
        <v>00:25:57,260</v>
      </c>
    </row>
    <row r="471" spans="1:5" x14ac:dyDescent="0.3">
      <c r="A471">
        <f ca="1">OFFSET(srt_raw!$A$1,(ROW()-1)*4+COLUMN()-1,0)</f>
        <v>471</v>
      </c>
      <c r="B471" t="str">
        <f ca="1">OFFSET(srt_raw!$A$1,(ROW()-1)*4+COLUMN()-1,0)</f>
        <v>00:25:57,260 --&gt; 00:26:00,140</v>
      </c>
      <c r="C471" t="str">
        <f ca="1">OFFSET(srt_raw!$A$1,(ROW()-1)*4+COLUMN()-1,0)</f>
        <v>叠加完的行共同构成一个新的矩阵地，</v>
      </c>
      <c r="D471" t="str">
        <f t="shared" ca="1" si="14"/>
        <v>00:25:57,260</v>
      </c>
      <c r="E471" t="str">
        <f t="shared" ca="1" si="15"/>
        <v>00:26:00,140</v>
      </c>
    </row>
    <row r="472" spans="1:5" x14ac:dyDescent="0.3">
      <c r="A472">
        <f ca="1">OFFSET(srt_raw!$A$1,(ROW()-1)*4+COLUMN()-1,0)</f>
        <v>472</v>
      </c>
      <c r="B472" t="str">
        <f ca="1">OFFSET(srt_raw!$A$1,(ROW()-1)*4+COLUMN()-1,0)</f>
        <v>00:26:01,660 --&gt; 00:26:04,780</v>
      </c>
      <c r="C472" t="str">
        <f ca="1">OFFSET(srt_raw!$A$1,(ROW()-1)*4+COLUMN()-1,0)</f>
        <v>可以发现这里的步骤和首行叠加法类似，</v>
      </c>
      <c r="D472" t="str">
        <f t="shared" ca="1" si="14"/>
        <v>00:26:01,660</v>
      </c>
      <c r="E472" t="str">
        <f t="shared" ca="1" si="15"/>
        <v>00:26:04,780</v>
      </c>
    </row>
    <row r="473" spans="1:5" x14ac:dyDescent="0.3">
      <c r="A473">
        <f ca="1">OFFSET(srt_raw!$A$1,(ROW()-1)*4+COLUMN()-1,0)</f>
        <v>473</v>
      </c>
      <c r="B473" t="str">
        <f ca="1">OFFSET(srt_raw!$A$1,(ROW()-1)*4+COLUMN()-1,0)</f>
        <v>00:26:04,940 --&gt; 00:26:06,820</v>
      </c>
      <c r="C473" t="str">
        <f ca="1">OFFSET(srt_raw!$A$1,(ROW()-1)*4+COLUMN()-1,0)</f>
        <v>共有N个矩阵要生成，</v>
      </c>
      <c r="D473" t="str">
        <f t="shared" ca="1" si="14"/>
        <v>00:26:04,940</v>
      </c>
      <c r="E473" t="str">
        <f t="shared" ca="1" si="15"/>
        <v>00:26:06,820</v>
      </c>
    </row>
    <row r="474" spans="1:5" x14ac:dyDescent="0.3">
      <c r="A474">
        <f ca="1">OFFSET(srt_raw!$A$1,(ROW()-1)*4+COLUMN()-1,0)</f>
        <v>474</v>
      </c>
      <c r="B474" t="str">
        <f ca="1">OFFSET(srt_raw!$A$1,(ROW()-1)*4+COLUMN()-1,0)</f>
        <v>00:26:06,820 --&gt; 00:26:11,020</v>
      </c>
      <c r="C474" t="str">
        <f ca="1">OFFSET(srt_raw!$A$1,(ROW()-1)*4+COLUMN()-1,0)</f>
        <v>时间复杂度是ON的三次方，</v>
      </c>
      <c r="D474" t="str">
        <f t="shared" ca="1" si="14"/>
        <v>00:26:06,820</v>
      </c>
      <c r="E474" t="str">
        <f t="shared" ca="1" si="15"/>
        <v>00:26:11,020</v>
      </c>
    </row>
    <row r="475" spans="1:5" x14ac:dyDescent="0.3">
      <c r="A475">
        <f ca="1">OFFSET(srt_raw!$A$1,(ROW()-1)*4+COLUMN()-1,0)</f>
        <v>475</v>
      </c>
      <c r="B475" t="str">
        <f ca="1">OFFSET(srt_raw!$A$1,(ROW()-1)*4+COLUMN()-1,0)</f>
        <v>00:26:11,020 --&gt; 00:26:13,060</v>
      </c>
      <c r="C475" t="str">
        <f ca="1">OFFSET(srt_raw!$A$1,(ROW()-1)*4+COLUMN()-1,0)</f>
        <v>不过聪明的你一定能想到。</v>
      </c>
      <c r="D475" t="str">
        <f t="shared" ca="1" si="14"/>
        <v>00:26:11,020</v>
      </c>
      <c r="E475" t="str">
        <f t="shared" ca="1" si="15"/>
        <v>00:26:13,060</v>
      </c>
    </row>
    <row r="476" spans="1:5" x14ac:dyDescent="0.3">
      <c r="A476">
        <f ca="1">OFFSET(srt_raw!$A$1,(ROW()-1)*4+COLUMN()-1,0)</f>
        <v>476</v>
      </c>
      <c r="B476" t="str">
        <f ca="1">OFFSET(srt_raw!$A$1,(ROW()-1)*4+COLUMN()-1,0)</f>
        <v>00:26:13,260 --&gt; 00:26:16,140</v>
      </c>
      <c r="C476" t="str">
        <f ca="1">OFFSET(srt_raw!$A$1,(ROW()-1)*4+COLUMN()-1,0)</f>
        <v>通过生成矩阵法调换矩阵的行以后，</v>
      </c>
      <c r="D476" t="str">
        <f t="shared" ca="1" si="14"/>
        <v>00:26:13,260</v>
      </c>
      <c r="E476" t="str">
        <f t="shared" ca="1" si="15"/>
        <v>00:26:16,140</v>
      </c>
    </row>
    <row r="477" spans="1:5" x14ac:dyDescent="0.3">
      <c r="A477">
        <f ca="1">OFFSET(srt_raw!$A$1,(ROW()-1)*4+COLUMN()-1,0)</f>
        <v>477</v>
      </c>
      <c r="B477" t="str">
        <f ca="1">OFFSET(srt_raw!$A$1,(ROW()-1)*4+COLUMN()-1,0)</f>
        <v>00:26:16,140 --&gt; 00:26:18,940</v>
      </c>
      <c r="C477" t="str">
        <f ca="1">OFFSET(srt_raw!$A$1,(ROW()-1)*4+COLUMN()-1,0)</f>
        <v>这些矩阵也都满足十字偶校验约束，</v>
      </c>
      <c r="D477" t="str">
        <f t="shared" ca="1" si="14"/>
        <v>00:26:16,140</v>
      </c>
      <c r="E477" t="str">
        <f t="shared" ca="1" si="15"/>
        <v>00:26:18,940</v>
      </c>
    </row>
    <row r="478" spans="1:5" x14ac:dyDescent="0.3">
      <c r="A478">
        <f ca="1">OFFSET(srt_raw!$A$1,(ROW()-1)*4+COLUMN()-1,0)</f>
        <v>478</v>
      </c>
      <c r="B478" t="str">
        <f ca="1">OFFSET(srt_raw!$A$1,(ROW()-1)*4+COLUMN()-1,0)</f>
        <v>00:26:20,460 --&gt; 00:26:23,380</v>
      </c>
      <c r="C478" t="str">
        <f ca="1">OFFSET(srt_raw!$A$1,(ROW()-1)*4+COLUMN()-1,0)</f>
        <v>因此我们同样只需要生成第一个矩阵，</v>
      </c>
      <c r="D478" t="str">
        <f t="shared" ca="1" si="14"/>
        <v>00:26:20,460</v>
      </c>
      <c r="E478" t="str">
        <f t="shared" ca="1" si="15"/>
        <v>00:26:23,380</v>
      </c>
    </row>
    <row r="479" spans="1:5" x14ac:dyDescent="0.3">
      <c r="A479">
        <f ca="1">OFFSET(srt_raw!$A$1,(ROW()-1)*4+COLUMN()-1,0)</f>
        <v>479</v>
      </c>
      <c r="B479" t="str">
        <f ca="1">OFFSET(srt_raw!$A$1,(ROW()-1)*4+COLUMN()-1,0)</f>
        <v>00:26:23,580 --&gt; 00:26:25,580</v>
      </c>
      <c r="C479" t="str">
        <f ca="1">OFFSET(srt_raw!$A$1,(ROW()-1)*4+COLUMN()-1,0)</f>
        <v>然后递推即可得到矩阵地，</v>
      </c>
      <c r="D479" t="str">
        <f t="shared" ca="1" si="14"/>
        <v>00:26:23,580</v>
      </c>
      <c r="E479" t="str">
        <f t="shared" ca="1" si="15"/>
        <v>00:26:25,580</v>
      </c>
    </row>
    <row r="480" spans="1:5" x14ac:dyDescent="0.3">
      <c r="A480">
        <f ca="1">OFFSET(srt_raw!$A$1,(ROW()-1)*4+COLUMN()-1,0)</f>
        <v>480</v>
      </c>
      <c r="B480" t="str">
        <f ca="1">OFFSET(srt_raw!$A$1,(ROW()-1)*4+COLUMN()-1,0)</f>
        <v>00:26:25,900 --&gt; 00:26:30,300</v>
      </c>
      <c r="C480" t="str">
        <f ca="1">OFFSET(srt_raw!$A$1,(ROW()-1)*4+COLUMN()-1,0)</f>
        <v>时间复杂度降位了ON的二次方，</v>
      </c>
      <c r="D480" t="str">
        <f t="shared" ca="1" si="14"/>
        <v>00:26:25,900</v>
      </c>
      <c r="E480" t="str">
        <f t="shared" ca="1" si="15"/>
        <v>00:26:30,300</v>
      </c>
    </row>
    <row r="481" spans="1:5" x14ac:dyDescent="0.3">
      <c r="A481">
        <f ca="1">OFFSET(srt_raw!$A$1,(ROW()-1)*4+COLUMN()-1,0)</f>
        <v>481</v>
      </c>
      <c r="B481" t="str">
        <f ca="1">OFFSET(srt_raw!$A$1,(ROW()-1)*4+COLUMN()-1,0)</f>
        <v>00:26:30,300 --&gt; 00:26:32,380</v>
      </c>
      <c r="C481" t="str">
        <f ca="1">OFFSET(srt_raw!$A$1,(ROW()-1)*4+COLUMN()-1,0)</f>
        <v>在生成第一个矩阵的过程中，</v>
      </c>
      <c r="D481" t="str">
        <f t="shared" ca="1" si="14"/>
        <v>00:26:30,300</v>
      </c>
      <c r="E481" t="str">
        <f t="shared" ca="1" si="15"/>
        <v>00:26:32,380</v>
      </c>
    </row>
    <row r="482" spans="1:5" x14ac:dyDescent="0.3">
      <c r="A482">
        <f ca="1">OFFSET(srt_raw!$A$1,(ROW()-1)*4+COLUMN()-1,0)</f>
        <v>482</v>
      </c>
      <c r="B482" t="str">
        <f ca="1">OFFSET(srt_raw!$A$1,(ROW()-1)*4+COLUMN()-1,0)</f>
        <v>00:26:32,380 --&gt; 00:26:36,060</v>
      </c>
      <c r="C482" t="str">
        <f ca="1">OFFSET(srt_raw!$A$1,(ROW()-1)*4+COLUMN()-1,0)</f>
        <v>每行乘以矩阵H的结果就是刚才的矩阵K，</v>
      </c>
      <c r="D482" t="str">
        <f t="shared" ca="1" si="14"/>
        <v>00:26:32,380</v>
      </c>
      <c r="E482" t="str">
        <f t="shared" ca="1" si="15"/>
        <v>00:26:36,060</v>
      </c>
    </row>
    <row r="483" spans="1:5" x14ac:dyDescent="0.3">
      <c r="A483">
        <f ca="1">OFFSET(srt_raw!$A$1,(ROW()-1)*4+COLUMN()-1,0)</f>
        <v>483</v>
      </c>
      <c r="B483" t="str">
        <f ca="1">OFFSET(srt_raw!$A$1,(ROW()-1)*4+COLUMN()-1,0)</f>
        <v>00:26:37,580 --&gt; 00:26:40,980</v>
      </c>
      <c r="C483" t="str">
        <f ca="1">OFFSET(srt_raw!$A$1,(ROW()-1)*4+COLUMN()-1,0)</f>
        <v>因此只需要将GX和K直接相乘。</v>
      </c>
      <c r="D483" t="str">
        <f t="shared" ca="1" si="14"/>
        <v>00:26:37,580</v>
      </c>
      <c r="E483" t="str">
        <f t="shared" ca="1" si="15"/>
        <v>00:26:40,980</v>
      </c>
    </row>
    <row r="484" spans="1:5" x14ac:dyDescent="0.3">
      <c r="A484">
        <f ca="1">OFFSET(srt_raw!$A$1,(ROW()-1)*4+COLUMN()-1,0)</f>
        <v>484</v>
      </c>
      <c r="B484" t="str">
        <f ca="1">OFFSET(srt_raw!$A$1,(ROW()-1)*4+COLUMN()-1,0)</f>
        <v>00:26:41,180 --&gt; 00:26:43,340</v>
      </c>
      <c r="C484" t="str">
        <f ca="1">OFFSET(srt_raw!$A$1,(ROW()-1)*4+COLUMN()-1,0)</f>
        <v>即可得到第一个矩阵的最后一行，</v>
      </c>
      <c r="D484" t="str">
        <f t="shared" ca="1" si="14"/>
        <v>00:26:41,180</v>
      </c>
      <c r="E484" t="str">
        <f t="shared" ca="1" si="15"/>
        <v>00:26:43,340</v>
      </c>
    </row>
    <row r="485" spans="1:5" x14ac:dyDescent="0.3">
      <c r="A485">
        <f ca="1">OFFSET(srt_raw!$A$1,(ROW()-1)*4+COLUMN()-1,0)</f>
        <v>485</v>
      </c>
      <c r="B485" t="str">
        <f ca="1">OFFSET(srt_raw!$A$1,(ROW()-1)*4+COLUMN()-1,0)</f>
        <v>00:26:43,500 --&gt; 00:26:45,020</v>
      </c>
      <c r="C485" t="str">
        <f ca="1">OFFSET(srt_raw!$A$1,(ROW()-1)*4+COLUMN()-1,0)</f>
        <v>即矩阵地的第一行。</v>
      </c>
      <c r="D485" t="str">
        <f t="shared" ca="1" si="14"/>
        <v>00:26:43,500</v>
      </c>
      <c r="E485" t="str">
        <f t="shared" ca="1" si="15"/>
        <v>00:26:45,020</v>
      </c>
    </row>
    <row r="486" spans="1:5" x14ac:dyDescent="0.3">
      <c r="A486">
        <f ca="1">OFFSET(srt_raw!$A$1,(ROW()-1)*4+COLUMN()-1,0)</f>
        <v>486</v>
      </c>
      <c r="B486" t="str">
        <f ca="1">OFFSET(srt_raw!$A$1,(ROW()-1)*4+COLUMN()-1,0)</f>
        <v>00:26:46,540 --&gt; 00:26:51,340</v>
      </c>
      <c r="C486" t="str">
        <f ca="1">OFFSET(srt_raw!$A$1,(ROW()-1)*4+COLUMN()-1,0)</f>
        <v>然后我们就可以使用十字偶校验约束的递推关系求得之后的行。</v>
      </c>
      <c r="D486" t="str">
        <f t="shared" ca="1" si="14"/>
        <v>00:26:46,540</v>
      </c>
      <c r="E486" t="str">
        <f t="shared" ca="1" si="15"/>
        <v>00:26:51,340</v>
      </c>
    </row>
    <row r="487" spans="1:5" x14ac:dyDescent="0.3">
      <c r="A487">
        <f ca="1">OFFSET(srt_raw!$A$1,(ROW()-1)*4+COLUMN()-1,0)</f>
        <v>487</v>
      </c>
      <c r="B487" t="str">
        <f ca="1">OFFSET(srt_raw!$A$1,(ROW()-1)*4+COLUMN()-1,0)</f>
        <v>00:26:52,860 --&gt; 00:26:55,580</v>
      </c>
      <c r="C487" t="str">
        <f ca="1">OFFSET(srt_raw!$A$1,(ROW()-1)*4+COLUMN()-1,0)</f>
        <v>由于矩阵地是由矩阵H生成的，</v>
      </c>
      <c r="D487" t="str">
        <f t="shared" ca="1" si="14"/>
        <v>00:26:52,860</v>
      </c>
      <c r="E487" t="str">
        <f t="shared" ca="1" si="15"/>
        <v>00:26:55,580</v>
      </c>
    </row>
    <row r="488" spans="1:5" x14ac:dyDescent="0.3">
      <c r="A488">
        <f ca="1">OFFSET(srt_raw!$A$1,(ROW()-1)*4+COLUMN()-1,0)</f>
        <v>488</v>
      </c>
      <c r="B488" t="str">
        <f ca="1">OFFSET(srt_raw!$A$1,(ROW()-1)*4+COLUMN()-1,0)</f>
        <v>00:26:55,580 --&gt; 00:26:58,020</v>
      </c>
      <c r="C488" t="str">
        <f ca="1">OFFSET(srt_raw!$A$1,(ROW()-1)*4+COLUMN()-1,0)</f>
        <v>因此具有以下这些性质。</v>
      </c>
      <c r="D488" t="str">
        <f t="shared" ca="1" si="14"/>
        <v>00:26:55,580</v>
      </c>
      <c r="E488" t="str">
        <f t="shared" ca="1" si="15"/>
        <v>00:26:58,020</v>
      </c>
    </row>
    <row r="489" spans="1:5" x14ac:dyDescent="0.3">
      <c r="A489">
        <f ca="1">OFFSET(srt_raw!$A$1,(ROW()-1)*4+COLUMN()-1,0)</f>
        <v>489</v>
      </c>
      <c r="B489" t="str">
        <f ca="1">OFFSET(srt_raw!$A$1,(ROW()-1)*4+COLUMN()-1,0)</f>
        <v>00:26:58,020 --&gt; 00:26:59,260</v>
      </c>
      <c r="C489" t="str">
        <f ca="1">OFFSET(srt_raw!$A$1,(ROW()-1)*4+COLUMN()-1,0)</f>
        <v>这里N等于5，</v>
      </c>
      <c r="D489" t="str">
        <f t="shared" ca="1" si="14"/>
        <v>00:26:58,020</v>
      </c>
      <c r="E489" t="str">
        <f t="shared" ca="1" si="15"/>
        <v>00:26:59,260</v>
      </c>
    </row>
    <row r="490" spans="1:5" x14ac:dyDescent="0.3">
      <c r="A490">
        <f ca="1">OFFSET(srt_raw!$A$1,(ROW()-1)*4+COLUMN()-1,0)</f>
        <v>490</v>
      </c>
      <c r="B490" t="str">
        <f ca="1">OFFSET(srt_raw!$A$1,(ROW()-1)*4+COLUMN()-1,0)</f>
        <v>00:26:59,660 --&gt; 00:27:00,820</v>
      </c>
      <c r="C490" t="str">
        <f ca="1">OFFSET(srt_raw!$A$1,(ROW()-1)*4+COLUMN()-1,0)</f>
        <v>R等于3，</v>
      </c>
      <c r="D490" t="str">
        <f t="shared" ca="1" si="14"/>
        <v>00:26:59,660</v>
      </c>
      <c r="E490" t="str">
        <f t="shared" ca="1" si="15"/>
        <v>00:27:00,820</v>
      </c>
    </row>
    <row r="491" spans="1:5" x14ac:dyDescent="0.3">
      <c r="A491">
        <f ca="1">OFFSET(srt_raw!$A$1,(ROW()-1)*4+COLUMN()-1,0)</f>
        <v>491</v>
      </c>
      <c r="B491" t="str">
        <f ca="1">OFFSET(srt_raw!$A$1,(ROW()-1)*4+COLUMN()-1,0)</f>
        <v>00:27:00,820 --&gt; 00:27:01,580</v>
      </c>
      <c r="C491" t="str">
        <f ca="1">OFFSET(srt_raw!$A$1,(ROW()-1)*4+COLUMN()-1,0)</f>
        <v>2撇等于2。</v>
      </c>
      <c r="D491" t="str">
        <f t="shared" ca="1" si="14"/>
        <v>00:27:00,820</v>
      </c>
      <c r="E491" t="str">
        <f t="shared" ca="1" si="15"/>
        <v>00:27:01,580</v>
      </c>
    </row>
    <row r="492" spans="1:5" x14ac:dyDescent="0.3">
      <c r="A492">
        <f ca="1">OFFSET(srt_raw!$A$1,(ROW()-1)*4+COLUMN()-1,0)</f>
        <v>492</v>
      </c>
      <c r="B492" t="str">
        <f ca="1">OFFSET(srt_raw!$A$1,(ROW()-1)*4+COLUMN()-1,0)</f>
        <v>00:27:03,660 --&gt; 00:27:05,260</v>
      </c>
      <c r="C492" t="str">
        <f ca="1">OFFSET(srt_raw!$A$1,(ROW()-1)*4+COLUMN()-1,0)</f>
        <v>1后2等于3行，</v>
      </c>
      <c r="D492" t="str">
        <f t="shared" ca="1" si="14"/>
        <v>00:27:03,660</v>
      </c>
      <c r="E492" t="str">
        <f t="shared" ca="1" si="15"/>
        <v>00:27:05,260</v>
      </c>
    </row>
    <row r="493" spans="1:5" x14ac:dyDescent="0.3">
      <c r="A493">
        <f ca="1">OFFSET(srt_raw!$A$1,(ROW()-1)*4+COLUMN()-1,0)</f>
        <v>493</v>
      </c>
      <c r="B493" t="str">
        <f ca="1">OFFSET(srt_raw!$A$1,(ROW()-1)*4+COLUMN()-1,0)</f>
        <v>00:27:05,500 --&gt; 00:27:09,820</v>
      </c>
      <c r="C493" t="str">
        <f ca="1">OFFSET(srt_raw!$A$1,(ROW()-1)*4+COLUMN()-1,0)</f>
        <v>第N行最左边的N减2撇负1等于N减3个元素为0。</v>
      </c>
      <c r="D493" t="str">
        <f t="shared" ca="1" si="14"/>
        <v>00:27:05,500</v>
      </c>
      <c r="E493" t="str">
        <f t="shared" ca="1" si="15"/>
        <v>00:27:09,820</v>
      </c>
    </row>
    <row r="494" spans="1:5" x14ac:dyDescent="0.3">
      <c r="A494">
        <f ca="1">OFFSET(srt_raw!$A$1,(ROW()-1)*4+COLUMN()-1,0)</f>
        <v>494</v>
      </c>
      <c r="B494" t="str">
        <f ca="1">OFFSET(srt_raw!$A$1,(ROW()-1)*4+COLUMN()-1,0)</f>
        <v>00:27:11,900 --&gt; 00:27:13,580</v>
      </c>
      <c r="C494" t="str">
        <f ca="1">OFFSET(srt_raw!$A$1,(ROW()-1)*4+COLUMN()-1,0)</f>
        <v>二后二等于三行，</v>
      </c>
      <c r="D494" t="str">
        <f t="shared" ca="1" si="14"/>
        <v>00:27:11,900</v>
      </c>
      <c r="E494" t="str">
        <f t="shared" ca="1" si="15"/>
        <v>00:27:13,580</v>
      </c>
    </row>
    <row r="495" spans="1:5" x14ac:dyDescent="0.3">
      <c r="A495">
        <f ca="1">OFFSET(srt_raw!$A$1,(ROW()-1)*4+COLUMN()-1,0)</f>
        <v>495</v>
      </c>
      <c r="B495" t="str">
        <f ca="1">OFFSET(srt_raw!$A$1,(ROW()-1)*4+COLUMN()-1,0)</f>
        <v>00:27:13,740 --&gt; 00:27:17,500</v>
      </c>
      <c r="C495" t="str">
        <f ca="1">OFFSET(srt_raw!$A$1,(ROW()-1)*4+COLUMN()-1,0)</f>
        <v>第n行dn减二撇等于n减二个元素为一，</v>
      </c>
      <c r="D495" t="str">
        <f t="shared" ca="1" si="14"/>
        <v>00:27:13,740</v>
      </c>
      <c r="E495" t="str">
        <f t="shared" ca="1" si="15"/>
        <v>00:27:17,500</v>
      </c>
    </row>
    <row r="496" spans="1:5" x14ac:dyDescent="0.3">
      <c r="A496">
        <f ca="1">OFFSET(srt_raw!$A$1,(ROW()-1)*4+COLUMN()-1,0)</f>
        <v>496</v>
      </c>
      <c r="B496" t="str">
        <f ca="1">OFFSET(srt_raw!$A$1,(ROW()-1)*4+COLUMN()-1,0)</f>
        <v>00:27:19,260 --&gt; 00:27:21,180</v>
      </c>
      <c r="C496" t="str">
        <f ca="1">OFFSET(srt_raw!$A$1,(ROW()-1)*4+COLUMN()-1,0)</f>
        <v>三后二等于三行，</v>
      </c>
      <c r="D496" t="str">
        <f t="shared" ca="1" si="14"/>
        <v>00:27:19,260</v>
      </c>
      <c r="E496" t="str">
        <f t="shared" ca="1" si="15"/>
        <v>00:27:21,180</v>
      </c>
    </row>
    <row r="497" spans="1:5" x14ac:dyDescent="0.3">
      <c r="A497">
        <f ca="1">OFFSET(srt_raw!$A$1,(ROW()-1)*4+COLUMN()-1,0)</f>
        <v>497</v>
      </c>
      <c r="B497" t="str">
        <f ca="1">OFFSET(srt_raw!$A$1,(ROW()-1)*4+COLUMN()-1,0)</f>
        <v>00:27:21,340 --&gt; 00:27:25,100</v>
      </c>
      <c r="C497" t="str">
        <f ca="1">OFFSET(srt_raw!$A$1,(ROW()-1)*4+COLUMN()-1,0)</f>
        <v>任意一行都不能由别的行叠加及线性无关，</v>
      </c>
      <c r="D497" t="str">
        <f t="shared" ca="1" si="14"/>
        <v>00:27:21,340</v>
      </c>
      <c r="E497" t="str">
        <f t="shared" ca="1" si="15"/>
        <v>00:27:25,100</v>
      </c>
    </row>
    <row r="498" spans="1:5" x14ac:dyDescent="0.3">
      <c r="A498">
        <f ca="1">OFFSET(srt_raw!$A$1,(ROW()-1)*4+COLUMN()-1,0)</f>
        <v>498</v>
      </c>
      <c r="B498" t="str">
        <f ca="1">OFFSET(srt_raw!$A$1,(ROW()-1)*4+COLUMN()-1,0)</f>
        <v>00:27:26,860 --&gt; 00:27:28,780</v>
      </c>
      <c r="C498" t="str">
        <f ca="1">OFFSET(srt_raw!$A$1,(ROW()-1)*4+COLUMN()-1,0)</f>
        <v>四前二撇等于二行，</v>
      </c>
      <c r="D498" t="str">
        <f t="shared" ca="1" si="14"/>
        <v>00:27:26,860</v>
      </c>
      <c r="E498" t="str">
        <f t="shared" ca="1" si="15"/>
        <v>00:27:28,780</v>
      </c>
    </row>
    <row r="499" spans="1:5" x14ac:dyDescent="0.3">
      <c r="A499">
        <f ca="1">OFFSET(srt_raw!$A$1,(ROW()-1)*4+COLUMN()-1,0)</f>
        <v>499</v>
      </c>
      <c r="B499" t="str">
        <f ca="1">OFFSET(srt_raw!$A$1,(ROW()-1)*4+COLUMN()-1,0)</f>
        <v>00:27:28,940 --&gt; 00:27:33,460</v>
      </c>
      <c r="C499" t="str">
        <f ca="1">OFFSET(srt_raw!$A$1,(ROW()-1)*4+COLUMN()-1,0)</f>
        <v>任意一行都可以由后二等于三行叠加，</v>
      </c>
      <c r="D499" t="str">
        <f t="shared" ca="1" si="14"/>
        <v>00:27:28,940</v>
      </c>
      <c r="E499" t="str">
        <f t="shared" ca="1" si="15"/>
        <v>00:27:33,460</v>
      </c>
    </row>
    <row r="500" spans="1:5" x14ac:dyDescent="0.3">
      <c r="A500">
        <f ca="1">OFFSET(srt_raw!$A$1,(ROW()-1)*4+COLUMN()-1,0)</f>
        <v>500</v>
      </c>
      <c r="B500" t="str">
        <f ca="1">OFFSET(srt_raw!$A$1,(ROW()-1)*4+COLUMN()-1,0)</f>
        <v>00:27:33,460 --&gt; 00:27:35,260</v>
      </c>
      <c r="C500" t="str">
        <f ca="1">OFFSET(srt_raw!$A$1,(ROW()-1)*4+COLUMN()-1,0)</f>
        <v>这些性质都不难证明，</v>
      </c>
      <c r="D500" t="str">
        <f t="shared" ca="1" si="14"/>
        <v>00:27:33,460</v>
      </c>
      <c r="E500" t="str">
        <f t="shared" ca="1" si="15"/>
        <v>00:27:35,260</v>
      </c>
    </row>
    <row r="501" spans="1:5" x14ac:dyDescent="0.3">
      <c r="A501">
        <f ca="1">OFFSET(srt_raw!$A$1,(ROW()-1)*4+COLUMN()-1,0)</f>
        <v>501</v>
      </c>
      <c r="B501" t="str">
        <f ca="1">OFFSET(srt_raw!$A$1,(ROW()-1)*4+COLUMN()-1,0)</f>
        <v>00:27:35,260 --&gt; 00:27:37,540</v>
      </c>
      <c r="C501" t="str">
        <f ca="1">OFFSET(srt_raw!$A$1,(ROW()-1)*4+COLUMN()-1,0)</f>
        <v>有兴趣的小伙伴可以自行证明。</v>
      </c>
      <c r="D501" t="str">
        <f t="shared" ca="1" si="14"/>
        <v>00:27:35,260</v>
      </c>
      <c r="E501" t="str">
        <f t="shared" ca="1" si="15"/>
        <v>00:27:37,540</v>
      </c>
    </row>
    <row r="502" spans="1:5" x14ac:dyDescent="0.3">
      <c r="A502">
        <f ca="1">OFFSET(srt_raw!$A$1,(ROW()-1)*4+COLUMN()-1,0)</f>
        <v>502</v>
      </c>
      <c r="B502" t="str">
        <f ca="1">OFFSET(srt_raw!$A$1,(ROW()-1)*4+COLUMN()-1,0)</f>
        <v>00:27:39,100 --&gt; 00:27:42,580</v>
      </c>
      <c r="C502" t="str">
        <f ca="1">OFFSET(srt_raw!$A$1,(ROW()-1)*4+COLUMN()-1,0)</f>
        <v>现在我们有Z等于GHX等于DX，</v>
      </c>
      <c r="D502" t="str">
        <f t="shared" ca="1" si="14"/>
        <v>00:27:39,100</v>
      </c>
      <c r="E502" t="str">
        <f t="shared" ca="1" si="15"/>
        <v>00:27:42,580</v>
      </c>
    </row>
    <row r="503" spans="1:5" x14ac:dyDescent="0.3">
      <c r="A503">
        <f ca="1">OFFSET(srt_raw!$A$1,(ROW()-1)*4+COLUMN()-1,0)</f>
        <v>503</v>
      </c>
      <c r="B503" t="str">
        <f ca="1">OFFSET(srt_raw!$A$1,(ROW()-1)*4+COLUMN()-1,0)</f>
        <v>00:27:43,020 --&gt; 00:27:45,860</v>
      </c>
      <c r="C503" t="str">
        <f ca="1">OFFSET(srt_raw!$A$1,(ROW()-1)*4+COLUMN()-1,0)</f>
        <v>我们可以利用D的性质进行求解。</v>
      </c>
      <c r="D503" t="str">
        <f t="shared" ca="1" si="14"/>
        <v>00:27:43,020</v>
      </c>
      <c r="E503" t="str">
        <f t="shared" ca="1" si="15"/>
        <v>00:27:45,860</v>
      </c>
    </row>
    <row r="504" spans="1:5" x14ac:dyDescent="0.3">
      <c r="A504">
        <f ca="1">OFFSET(srt_raw!$A$1,(ROW()-1)*4+COLUMN()-1,0)</f>
        <v>504</v>
      </c>
      <c r="B504" t="str">
        <f ca="1">OFFSET(srt_raw!$A$1,(ROW()-1)*4+COLUMN()-1,0)</f>
        <v>00:27:45,860 --&gt; 00:27:50,060</v>
      </c>
      <c r="C504" t="str">
        <f ca="1">OFFSET(srt_raw!$A$1,(ROW()-1)*4+COLUMN()-1,0)</f>
        <v>接下来我们需要将Z拆解成矩阵D的若干行的叠加，</v>
      </c>
      <c r="D504" t="str">
        <f t="shared" ca="1" si="14"/>
        <v>00:27:45,860</v>
      </c>
      <c r="E504" t="str">
        <f t="shared" ca="1" si="15"/>
        <v>00:27:50,060</v>
      </c>
    </row>
    <row r="505" spans="1:5" x14ac:dyDescent="0.3">
      <c r="A505">
        <f ca="1">OFFSET(srt_raw!$A$1,(ROW()-1)*4+COLUMN()-1,0)</f>
        <v>505</v>
      </c>
      <c r="B505" t="str">
        <f ca="1">OFFSET(srt_raw!$A$1,(ROW()-1)*4+COLUMN()-1,0)</f>
        <v>00:27:50,140 --&gt; 00:27:53,140</v>
      </c>
      <c r="C505" t="str">
        <f ca="1">OFFSET(srt_raw!$A$1,(ROW()-1)*4+COLUMN()-1,0)</f>
        <v>从而表示出X。</v>
      </c>
      <c r="D505" t="str">
        <f t="shared" ca="1" si="14"/>
        <v>00:27:50,140</v>
      </c>
      <c r="E505" t="str">
        <f t="shared" ca="1" si="15"/>
        <v>00:27:53,140</v>
      </c>
    </row>
    <row r="506" spans="1:5" x14ac:dyDescent="0.3">
      <c r="A506">
        <f ca="1">OFFSET(srt_raw!$A$1,(ROW()-1)*4+COLUMN()-1,0)</f>
        <v>506</v>
      </c>
      <c r="B506" t="str">
        <f ca="1">OFFSET(srt_raw!$A$1,(ROW()-1)*4+COLUMN()-1,0)</f>
        <v>00:27:53,140 --&gt; 00:27:55,700</v>
      </c>
      <c r="C506" t="str">
        <f ca="1">OFFSET(srt_raw!$A$1,(ROW()-1)*4+COLUMN()-1,0)</f>
        <v>由于矩阵D后三行线性无关，</v>
      </c>
      <c r="D506" t="str">
        <f t="shared" ca="1" si="14"/>
        <v>00:27:53,140</v>
      </c>
      <c r="E506" t="str">
        <f t="shared" ca="1" si="15"/>
        <v>00:27:55,700</v>
      </c>
    </row>
    <row r="507" spans="1:5" x14ac:dyDescent="0.3">
      <c r="A507">
        <f ca="1">OFFSET(srt_raw!$A$1,(ROW()-1)*4+COLUMN()-1,0)</f>
        <v>507</v>
      </c>
      <c r="B507" t="str">
        <f ca="1">OFFSET(srt_raw!$A$1,(ROW()-1)*4+COLUMN()-1,0)</f>
        <v>00:27:55,700 --&gt; 00:27:58,660</v>
      </c>
      <c r="C507" t="str">
        <f ca="1">OFFSET(srt_raw!$A$1,(ROW()-1)*4+COLUMN()-1,0)</f>
        <v>因此我们只考虑把后三行叠加起来，</v>
      </c>
      <c r="D507" t="str">
        <f t="shared" ca="1" si="14"/>
        <v>00:27:55,700</v>
      </c>
      <c r="E507" t="str">
        <f t="shared" ca="1" si="15"/>
        <v>00:27:58,660</v>
      </c>
    </row>
    <row r="508" spans="1:5" x14ac:dyDescent="0.3">
      <c r="A508">
        <f ca="1">OFFSET(srt_raw!$A$1,(ROW()-1)*4+COLUMN()-1,0)</f>
        <v>508</v>
      </c>
      <c r="B508" t="str">
        <f ca="1">OFFSET(srt_raw!$A$1,(ROW()-1)*4+COLUMN()-1,0)</f>
        <v>00:27:58,660 --&gt; 00:28:00,060</v>
      </c>
      <c r="C508" t="str">
        <f ca="1">OFFSET(srt_raw!$A$1,(ROW()-1)*4+COLUMN()-1,0)</f>
        <v>不需考虑前二行。</v>
      </c>
      <c r="D508" t="str">
        <f t="shared" ca="1" si="14"/>
        <v>00:27:58,660</v>
      </c>
      <c r="E508" t="str">
        <f t="shared" ca="1" si="15"/>
        <v>00:28:00,060</v>
      </c>
    </row>
    <row r="509" spans="1:5" x14ac:dyDescent="0.3">
      <c r="A509">
        <f ca="1">OFFSET(srt_raw!$A$1,(ROW()-1)*4+COLUMN()-1,0)</f>
        <v>509</v>
      </c>
      <c r="B509" t="str">
        <f ca="1">OFFSET(srt_raw!$A$1,(ROW()-1)*4+COLUMN()-1,0)</f>
        <v>00:28:01,580 --&gt; 00:28:05,740</v>
      </c>
      <c r="C509" t="str">
        <f ca="1">OFFSET(srt_raw!$A$1,(ROW()-1)*4+COLUMN()-1,0)</f>
        <v>这里我们尝试将后三行的若干行叠加到现有的Z上，</v>
      </c>
      <c r="D509" t="str">
        <f t="shared" ca="1" si="14"/>
        <v>00:28:01,580</v>
      </c>
      <c r="E509" t="str">
        <f t="shared" ca="1" si="15"/>
        <v>00:28:05,740</v>
      </c>
    </row>
    <row r="510" spans="1:5" x14ac:dyDescent="0.3">
      <c r="A510">
        <f ca="1">OFFSET(srt_raw!$A$1,(ROW()-1)*4+COLUMN()-1,0)</f>
        <v>510</v>
      </c>
      <c r="B510" t="str">
        <f ca="1">OFFSET(srt_raw!$A$1,(ROW()-1)*4+COLUMN()-1,0)</f>
        <v>00:28:05,740 --&gt; 00:28:06,900</v>
      </c>
      <c r="C510" t="str">
        <f ca="1">OFFSET(srt_raw!$A$1,(ROW()-1)*4+COLUMN()-1,0)</f>
        <v>使其被消去。</v>
      </c>
      <c r="D510" t="str">
        <f t="shared" ca="1" si="14"/>
        <v>00:28:05,740</v>
      </c>
      <c r="E510" t="str">
        <f t="shared" ca="1" si="15"/>
        <v>00:28:06,900</v>
      </c>
    </row>
    <row r="511" spans="1:5" x14ac:dyDescent="0.3">
      <c r="A511">
        <f ca="1">OFFSET(srt_raw!$A$1,(ROW()-1)*4+COLUMN()-1,0)</f>
        <v>511</v>
      </c>
      <c r="B511" t="str">
        <f ca="1">OFFSET(srt_raw!$A$1,(ROW()-1)*4+COLUMN()-1,0)</f>
        <v>00:28:08,460 --&gt; 00:28:11,660</v>
      </c>
      <c r="C511" t="str">
        <f ca="1">OFFSET(srt_raw!$A$1,(ROW()-1)*4+COLUMN()-1,0)</f>
        <v>让我们观察Z的第一个元素和D的后三行，</v>
      </c>
      <c r="D511" t="str">
        <f t="shared" ca="1" si="14"/>
        <v>00:28:08,460</v>
      </c>
      <c r="E511" t="str">
        <f t="shared" ca="1" si="15"/>
        <v>00:28:11,660</v>
      </c>
    </row>
    <row r="512" spans="1:5" x14ac:dyDescent="0.3">
      <c r="A512">
        <f ca="1">OFFSET(srt_raw!$A$1,(ROW()-1)*4+COLUMN()-1,0)</f>
        <v>512</v>
      </c>
      <c r="B512" t="str">
        <f ca="1">OFFSET(srt_raw!$A$1,(ROW()-1)*4+COLUMN()-1,0)</f>
        <v>00:28:12,220 --&gt; 00:28:13,660</v>
      </c>
      <c r="C512" t="str">
        <f ca="1">OFFSET(srt_raw!$A$1,(ROW()-1)*4+COLUMN()-1,0)</f>
        <v>在D的后三行中，</v>
      </c>
      <c r="D512" t="str">
        <f t="shared" ca="1" si="14"/>
        <v>00:28:12,220</v>
      </c>
      <c r="E512" t="str">
        <f t="shared" ca="1" si="15"/>
        <v>00:28:13,660</v>
      </c>
    </row>
    <row r="513" spans="1:5" x14ac:dyDescent="0.3">
      <c r="A513">
        <f ca="1">OFFSET(srt_raw!$A$1,(ROW()-1)*4+COLUMN()-1,0)</f>
        <v>513</v>
      </c>
      <c r="B513" t="str">
        <f ca="1">OFFSET(srt_raw!$A$1,(ROW()-1)*4+COLUMN()-1,0)</f>
        <v>00:28:13,660 --&gt; 00:28:15,380</v>
      </c>
      <c r="C513" t="str">
        <f ca="1">OFFSET(srt_raw!$A$1,(ROW()-1)*4+COLUMN()-1,0)</f>
        <v>第三行的第一个元素为1，</v>
      </c>
      <c r="D513" t="str">
        <f t="shared" ca="1" si="14"/>
        <v>00:28:13,660</v>
      </c>
      <c r="E513" t="str">
        <f t="shared" ca="1" si="15"/>
        <v>00:28:15,380</v>
      </c>
    </row>
    <row r="514" spans="1:5" x14ac:dyDescent="0.3">
      <c r="A514">
        <f ca="1">OFFSET(srt_raw!$A$1,(ROW()-1)*4+COLUMN()-1,0)</f>
        <v>514</v>
      </c>
      <c r="B514" t="str">
        <f ca="1">OFFSET(srt_raw!$A$1,(ROW()-1)*4+COLUMN()-1,0)</f>
        <v>00:28:15,380 --&gt; 00:28:19,100</v>
      </c>
      <c r="C514" t="str">
        <f ca="1">OFFSET(srt_raw!$A$1,(ROW()-1)*4+COLUMN()-1,0)</f>
        <v>Z的第一个元素已经为0，</v>
      </c>
      <c r="D514" t="str">
        <f t="shared" ref="D514:D577" ca="1" si="16">LEFT(B514,12)</f>
        <v>00:28:15,380</v>
      </c>
      <c r="E514" t="str">
        <f t="shared" ref="E514:E577" ca="1" si="17">RIGHT(B514,12)</f>
        <v>00:28:19,100</v>
      </c>
    </row>
    <row r="515" spans="1:5" x14ac:dyDescent="0.3">
      <c r="A515">
        <f ca="1">OFFSET(srt_raw!$A$1,(ROW()-1)*4+COLUMN()-1,0)</f>
        <v>515</v>
      </c>
      <c r="B515" t="str">
        <f ca="1">OFFSET(srt_raw!$A$1,(ROW()-1)*4+COLUMN()-1,0)</f>
        <v>00:28:19,660 --&gt; 00:28:21,100</v>
      </c>
      <c r="C515" t="str">
        <f ca="1">OFFSET(srt_raw!$A$1,(ROW()-1)*4+COLUMN()-1,0)</f>
        <v>如果我们叠加第三行，</v>
      </c>
      <c r="D515" t="str">
        <f t="shared" ca="1" si="16"/>
        <v>00:28:19,660</v>
      </c>
      <c r="E515" t="str">
        <f t="shared" ca="1" si="17"/>
        <v>00:28:21,100</v>
      </c>
    </row>
    <row r="516" spans="1:5" x14ac:dyDescent="0.3">
      <c r="A516">
        <f ca="1">OFFSET(srt_raw!$A$1,(ROW()-1)*4+COLUMN()-1,0)</f>
        <v>516</v>
      </c>
      <c r="B516" t="str">
        <f ca="1">OFFSET(srt_raw!$A$1,(ROW()-1)*4+COLUMN()-1,0)</f>
        <v>00:28:21,180 --&gt; 00:28:23,500</v>
      </c>
      <c r="C516" t="str">
        <f ca="1">OFFSET(srt_raw!$A$1,(ROW()-1)*4+COLUMN()-1,0)</f>
        <v>则Z的第一个元素会变为1，</v>
      </c>
      <c r="D516" t="str">
        <f t="shared" ca="1" si="16"/>
        <v>00:28:21,180</v>
      </c>
      <c r="E516" t="str">
        <f t="shared" ca="1" si="17"/>
        <v>00:28:23,500</v>
      </c>
    </row>
    <row r="517" spans="1:5" x14ac:dyDescent="0.3">
      <c r="A517">
        <f ca="1">OFFSET(srt_raw!$A$1,(ROW()-1)*4+COLUMN()-1,0)</f>
        <v>517</v>
      </c>
      <c r="B517" t="str">
        <f ca="1">OFFSET(srt_raw!$A$1,(ROW()-1)*4+COLUMN()-1,0)</f>
        <v>00:28:23,740 --&gt; 00:28:25,580</v>
      </c>
      <c r="C517" t="str">
        <f ca="1">OFFSET(srt_raw!$A$1,(ROW()-1)*4+COLUMN()-1,0)</f>
        <v>因此不能叠加第三行，</v>
      </c>
      <c r="D517" t="str">
        <f t="shared" ca="1" si="16"/>
        <v>00:28:23,740</v>
      </c>
      <c r="E517" t="str">
        <f t="shared" ca="1" si="17"/>
        <v>00:28:25,580</v>
      </c>
    </row>
    <row r="518" spans="1:5" x14ac:dyDescent="0.3">
      <c r="A518">
        <f ca="1">OFFSET(srt_raw!$A$1,(ROW()-1)*4+COLUMN()-1,0)</f>
        <v>518</v>
      </c>
      <c r="B518" t="str">
        <f ca="1">OFFSET(srt_raw!$A$1,(ROW()-1)*4+COLUMN()-1,0)</f>
        <v>00:28:27,020 --&gt; 00:28:29,020</v>
      </c>
      <c r="C518" t="str">
        <f ca="1">OFFSET(srt_raw!$A$1,(ROW()-1)*4+COLUMN()-1,0)</f>
        <v>我们再看Z的第二个元素，</v>
      </c>
      <c r="D518" t="str">
        <f t="shared" ca="1" si="16"/>
        <v>00:28:27,020</v>
      </c>
      <c r="E518" t="str">
        <f t="shared" ca="1" si="17"/>
        <v>00:28:29,020</v>
      </c>
    </row>
    <row r="519" spans="1:5" x14ac:dyDescent="0.3">
      <c r="A519">
        <f ca="1">OFFSET(srt_raw!$A$1,(ROW()-1)*4+COLUMN()-1,0)</f>
        <v>519</v>
      </c>
      <c r="B519" t="str">
        <f ca="1">OFFSET(srt_raw!$A$1,(ROW()-1)*4+COLUMN()-1,0)</f>
        <v>00:28:29,020 --&gt; 00:28:29,980</v>
      </c>
      <c r="C519" t="str">
        <f ca="1">OFFSET(srt_raw!$A$1,(ROW()-1)*4+COLUMN()-1,0)</f>
        <v>该元素为1，</v>
      </c>
      <c r="D519" t="str">
        <f t="shared" ca="1" si="16"/>
        <v>00:28:29,020</v>
      </c>
      <c r="E519" t="str">
        <f t="shared" ca="1" si="17"/>
        <v>00:28:29,980</v>
      </c>
    </row>
    <row r="520" spans="1:5" x14ac:dyDescent="0.3">
      <c r="A520">
        <f ca="1">OFFSET(srt_raw!$A$1,(ROW()-1)*4+COLUMN()-1,0)</f>
        <v>520</v>
      </c>
      <c r="B520" t="str">
        <f ca="1">OFFSET(srt_raw!$A$1,(ROW()-1)*4+COLUMN()-1,0)</f>
        <v>00:28:30,220 --&gt; 00:28:34,660</v>
      </c>
      <c r="C520" t="str">
        <f ca="1">OFFSET(srt_raw!$A$1,(ROW()-1)*4+COLUMN()-1,0)</f>
        <v>因此我们需要将第四行叠加到Z上，</v>
      </c>
      <c r="D520" t="str">
        <f t="shared" ca="1" si="16"/>
        <v>00:28:30,220</v>
      </c>
      <c r="E520" t="str">
        <f t="shared" ca="1" si="17"/>
        <v>00:28:34,660</v>
      </c>
    </row>
    <row r="521" spans="1:5" x14ac:dyDescent="0.3">
      <c r="A521">
        <f ca="1">OFFSET(srt_raw!$A$1,(ROW()-1)*4+COLUMN()-1,0)</f>
        <v>521</v>
      </c>
      <c r="B521" t="str">
        <f ca="1">OFFSET(srt_raw!$A$1,(ROW()-1)*4+COLUMN()-1,0)</f>
        <v>00:28:34,660 --&gt; 00:28:37,300</v>
      </c>
      <c r="C521" t="str">
        <f ca="1">OFFSET(srt_raw!$A$1,(ROW()-1)*4+COLUMN()-1,0)</f>
        <v>现在Z的第二个元素被消去了。</v>
      </c>
      <c r="D521" t="str">
        <f t="shared" ca="1" si="16"/>
        <v>00:28:34,660</v>
      </c>
      <c r="E521" t="str">
        <f t="shared" ca="1" si="17"/>
        <v>00:28:37,300</v>
      </c>
    </row>
    <row r="522" spans="1:5" x14ac:dyDescent="0.3">
      <c r="A522">
        <f ca="1">OFFSET(srt_raw!$A$1,(ROW()-1)*4+COLUMN()-1,0)</f>
        <v>522</v>
      </c>
      <c r="B522" t="str">
        <f ca="1">OFFSET(srt_raw!$A$1,(ROW()-1)*4+COLUMN()-1,0)</f>
        <v>00:28:37,500 --&gt; 00:28:38,220</v>
      </c>
      <c r="C522" t="str">
        <f ca="1">OFFSET(srt_raw!$A$1,(ROW()-1)*4+COLUMN()-1,0)</f>
        <v>同时，</v>
      </c>
      <c r="D522" t="str">
        <f t="shared" ca="1" si="16"/>
        <v>00:28:37,500</v>
      </c>
      <c r="E522" t="str">
        <f t="shared" ca="1" si="17"/>
        <v>00:28:38,220</v>
      </c>
    </row>
    <row r="523" spans="1:5" x14ac:dyDescent="0.3">
      <c r="A523">
        <f ca="1">OFFSET(srt_raw!$A$1,(ROW()-1)*4+COLUMN()-1,0)</f>
        <v>523</v>
      </c>
      <c r="B523" t="str">
        <f ca="1">OFFSET(srt_raw!$A$1,(ROW()-1)*4+COLUMN()-1,0)</f>
        <v>00:28:38,220 --&gt; 00:28:40,620</v>
      </c>
      <c r="C523" t="str">
        <f ca="1">OFFSET(srt_raw!$A$1,(ROW()-1)*4+COLUMN()-1,0)</f>
        <v>X的第四个元素被标记为一。</v>
      </c>
      <c r="D523" t="str">
        <f t="shared" ca="1" si="16"/>
        <v>00:28:38,220</v>
      </c>
      <c r="E523" t="str">
        <f t="shared" ca="1" si="17"/>
        <v>00:28:40,620</v>
      </c>
    </row>
    <row r="524" spans="1:5" x14ac:dyDescent="0.3">
      <c r="A524">
        <f ca="1">OFFSET(srt_raw!$A$1,(ROW()-1)*4+COLUMN()-1,0)</f>
        <v>524</v>
      </c>
      <c r="B524" t="str">
        <f ca="1">OFFSET(srt_raw!$A$1,(ROW()-1)*4+COLUMN()-1,0)</f>
        <v>00:28:42,060 --&gt; 00:28:44,820</v>
      </c>
      <c r="C524" t="str">
        <f ca="1">OFFSET(srt_raw!$A$1,(ROW()-1)*4+COLUMN()-1,0)</f>
        <v>我们接着看Z的第三个元素，</v>
      </c>
      <c r="D524" t="str">
        <f t="shared" ca="1" si="16"/>
        <v>00:28:42,060</v>
      </c>
      <c r="E524" t="str">
        <f t="shared" ca="1" si="17"/>
        <v>00:28:44,820</v>
      </c>
    </row>
    <row r="525" spans="1:5" x14ac:dyDescent="0.3">
      <c r="A525">
        <f ca="1">OFFSET(srt_raw!$A$1,(ROW()-1)*4+COLUMN()-1,0)</f>
        <v>525</v>
      </c>
      <c r="B525" t="str">
        <f ca="1">OFFSET(srt_raw!$A$1,(ROW()-1)*4+COLUMN()-1,0)</f>
        <v>00:28:44,820 --&gt; 00:28:47,180</v>
      </c>
      <c r="C525" t="str">
        <f ca="1">OFFSET(srt_raw!$A$1,(ROW()-1)*4+COLUMN()-1,0)</f>
        <v>由于Z的第三个元素变为了一，</v>
      </c>
      <c r="D525" t="str">
        <f t="shared" ca="1" si="16"/>
        <v>00:28:44,820</v>
      </c>
      <c r="E525" t="str">
        <f t="shared" ca="1" si="17"/>
        <v>00:28:47,180</v>
      </c>
    </row>
    <row r="526" spans="1:5" x14ac:dyDescent="0.3">
      <c r="A526">
        <f ca="1">OFFSET(srt_raw!$A$1,(ROW()-1)*4+COLUMN()-1,0)</f>
        <v>526</v>
      </c>
      <c r="B526" t="str">
        <f ca="1">OFFSET(srt_raw!$A$1,(ROW()-1)*4+COLUMN()-1,0)</f>
        <v>00:28:47,180 --&gt; 00:28:49,020</v>
      </c>
      <c r="C526" t="str">
        <f ca="1">OFFSET(srt_raw!$A$1,(ROW()-1)*4+COLUMN()-1,0)</f>
        <v>我们需要叠加D的第五行。</v>
      </c>
      <c r="D526" t="str">
        <f t="shared" ca="1" si="16"/>
        <v>00:28:47,180</v>
      </c>
      <c r="E526" t="str">
        <f t="shared" ca="1" si="17"/>
        <v>00:28:49,020</v>
      </c>
    </row>
    <row r="527" spans="1:5" x14ac:dyDescent="0.3">
      <c r="A527">
        <f ca="1">OFFSET(srt_raw!$A$1,(ROW()-1)*4+COLUMN()-1,0)</f>
        <v>527</v>
      </c>
      <c r="B527" t="str">
        <f ca="1">OFFSET(srt_raw!$A$1,(ROW()-1)*4+COLUMN()-1,0)</f>
        <v>00:28:50,540 --&gt; 00:28:52,780</v>
      </c>
      <c r="C527" t="str">
        <f ca="1">OFFSET(srt_raw!$A$1,(ROW()-1)*4+COLUMN()-1,0)</f>
        <v>这次Z被彻底消去了，</v>
      </c>
      <c r="D527" t="str">
        <f t="shared" ca="1" si="16"/>
        <v>00:28:50,540</v>
      </c>
      <c r="E527" t="str">
        <f t="shared" ca="1" si="17"/>
        <v>00:28:52,780</v>
      </c>
    </row>
    <row r="528" spans="1:5" x14ac:dyDescent="0.3">
      <c r="A528">
        <f ca="1">OFFSET(srt_raw!$A$1,(ROW()-1)*4+COLUMN()-1,0)</f>
        <v>528</v>
      </c>
      <c r="B528" t="str">
        <f ca="1">OFFSET(srt_raw!$A$1,(ROW()-1)*4+COLUMN()-1,0)</f>
        <v>00:28:52,780 --&gt; 00:28:53,660</v>
      </c>
      <c r="C528" t="str">
        <f ca="1">OFFSET(srt_raw!$A$1,(ROW()-1)*4+COLUMN()-1,0)</f>
        <v>变为了零，</v>
      </c>
      <c r="D528" t="str">
        <f t="shared" ca="1" si="16"/>
        <v>00:28:52,780</v>
      </c>
      <c r="E528" t="str">
        <f t="shared" ca="1" si="17"/>
        <v>00:28:53,660</v>
      </c>
    </row>
    <row r="529" spans="1:5" x14ac:dyDescent="0.3">
      <c r="A529">
        <f ca="1">OFFSET(srt_raw!$A$1,(ROW()-1)*4+COLUMN()-1,0)</f>
        <v>529</v>
      </c>
      <c r="B529" t="str">
        <f ca="1">OFFSET(srt_raw!$A$1,(ROW()-1)*4+COLUMN()-1,0)</f>
        <v>00:28:53,740 --&gt; 00:28:58,260</v>
      </c>
      <c r="C529" t="str">
        <f ca="1">OFFSET(srt_raw!$A$1,(ROW()-1)*4+COLUMN()-1,0)</f>
        <v>并且X的第五个元素被标记为一。</v>
      </c>
      <c r="D529" t="str">
        <f t="shared" ca="1" si="16"/>
        <v>00:28:53,740</v>
      </c>
      <c r="E529" t="str">
        <f t="shared" ca="1" si="17"/>
        <v>00:28:58,260</v>
      </c>
    </row>
    <row r="530" spans="1:5" x14ac:dyDescent="0.3">
      <c r="A530">
        <f ca="1">OFFSET(srt_raw!$A$1,(ROW()-1)*4+COLUMN()-1,0)</f>
        <v>530</v>
      </c>
      <c r="B530" t="str">
        <f ca="1">OFFSET(srt_raw!$A$1,(ROW()-1)*4+COLUMN()-1,0)</f>
        <v>00:28:58,260 --&gt; 00:28:58,900</v>
      </c>
      <c r="C530" t="str">
        <f ca="1">OFFSET(srt_raw!$A$1,(ROW()-1)*4+COLUMN()-1,0)</f>
        <v>由此，</v>
      </c>
      <c r="D530" t="str">
        <f t="shared" ca="1" si="16"/>
        <v>00:28:58,260</v>
      </c>
      <c r="E530" t="str">
        <f t="shared" ca="1" si="17"/>
        <v>00:28:58,900</v>
      </c>
    </row>
    <row r="531" spans="1:5" x14ac:dyDescent="0.3">
      <c r="A531">
        <f ca="1">OFFSET(srt_raw!$A$1,(ROW()-1)*4+COLUMN()-1,0)</f>
        <v>531</v>
      </c>
      <c r="B531" t="str">
        <f ca="1">OFFSET(srt_raw!$A$1,(ROW()-1)*4+COLUMN()-1,0)</f>
        <v>00:28:58,900 --&gt; 00:29:03,140</v>
      </c>
      <c r="C531" t="str">
        <f ca="1">OFFSET(srt_raw!$A$1,(ROW()-1)*4+COLUMN()-1,0)</f>
        <v>我们通过一次叠加D的后三行将Z的元素依次消去。</v>
      </c>
      <c r="D531" t="str">
        <f t="shared" ca="1" si="16"/>
        <v>00:28:58,900</v>
      </c>
      <c r="E531" t="str">
        <f t="shared" ca="1" si="17"/>
        <v>00:29:03,140</v>
      </c>
    </row>
    <row r="532" spans="1:5" x14ac:dyDescent="0.3">
      <c r="A532">
        <f ca="1">OFFSET(srt_raw!$A$1,(ROW()-1)*4+COLUMN()-1,0)</f>
        <v>532</v>
      </c>
      <c r="B532" t="str">
        <f ca="1">OFFSET(srt_raw!$A$1,(ROW()-1)*4+COLUMN()-1,0)</f>
        <v>00:29:03,700 --&gt; 00:29:06,020</v>
      </c>
      <c r="C532" t="str">
        <f ca="1">OFFSET(srt_raw!$A$1,(ROW()-1)*4+COLUMN()-1,0)</f>
        <v>同时将叠加的行标记为一，</v>
      </c>
      <c r="D532" t="str">
        <f t="shared" ca="1" si="16"/>
        <v>00:29:03,700</v>
      </c>
      <c r="E532" t="str">
        <f t="shared" ca="1" si="17"/>
        <v>00:29:06,020</v>
      </c>
    </row>
    <row r="533" spans="1:5" x14ac:dyDescent="0.3">
      <c r="A533">
        <f ca="1">OFFSET(srt_raw!$A$1,(ROW()-1)*4+COLUMN()-1,0)</f>
        <v>533</v>
      </c>
      <c r="B533" t="str">
        <f ca="1">OFFSET(srt_raw!$A$1,(ROW()-1)*4+COLUMN()-1,0)</f>
        <v>00:29:06,020 --&gt; 00:29:07,780</v>
      </c>
      <c r="C533" t="str">
        <f ca="1">OFFSET(srt_raw!$A$1,(ROW()-1)*4+COLUMN()-1,0)</f>
        <v>也就求得了最终的X。</v>
      </c>
      <c r="D533" t="str">
        <f t="shared" ca="1" si="16"/>
        <v>00:29:06,020</v>
      </c>
      <c r="E533" t="str">
        <f t="shared" ca="1" si="17"/>
        <v>00:29:07,780</v>
      </c>
    </row>
    <row r="534" spans="1:5" x14ac:dyDescent="0.3">
      <c r="A534">
        <f ca="1">OFFSET(srt_raw!$A$1,(ROW()-1)*4+COLUMN()-1,0)</f>
        <v>534</v>
      </c>
      <c r="B534" t="str">
        <f ca="1">OFFSET(srt_raw!$A$1,(ROW()-1)*4+COLUMN()-1,0)</f>
        <v>00:29:09,340 --&gt; 00:29:10,060</v>
      </c>
      <c r="C534" t="str">
        <f ca="1">OFFSET(srt_raw!$A$1,(ROW()-1)*4+COLUMN()-1,0)</f>
        <v>不难发现，</v>
      </c>
      <c r="D534" t="str">
        <f t="shared" ca="1" si="16"/>
        <v>00:29:09,340</v>
      </c>
      <c r="E534" t="str">
        <f t="shared" ca="1" si="17"/>
        <v>00:29:10,060</v>
      </c>
    </row>
    <row r="535" spans="1:5" x14ac:dyDescent="0.3">
      <c r="A535">
        <f ca="1">OFFSET(srt_raw!$A$1,(ROW()-1)*4+COLUMN()-1,0)</f>
        <v>535</v>
      </c>
      <c r="B535" t="str">
        <f ca="1">OFFSET(srt_raw!$A$1,(ROW()-1)*4+COLUMN()-1,0)</f>
        <v>00:29:10,060 --&gt; 00:29:12,260</v>
      </c>
      <c r="C535" t="str">
        <f ca="1">OFFSET(srt_raw!$A$1,(ROW()-1)*4+COLUMN()-1,0)</f>
        <v>这里求得的X是一个特解。</v>
      </c>
      <c r="D535" t="str">
        <f t="shared" ca="1" si="16"/>
        <v>00:29:10,060</v>
      </c>
      <c r="E535" t="str">
        <f t="shared" ca="1" si="17"/>
        <v>00:29:12,260</v>
      </c>
    </row>
    <row r="536" spans="1:5" x14ac:dyDescent="0.3">
      <c r="A536">
        <f ca="1">OFFSET(srt_raw!$A$1,(ROW()-1)*4+COLUMN()-1,0)</f>
        <v>536</v>
      </c>
      <c r="B536" t="str">
        <f ca="1">OFFSET(srt_raw!$A$1,(ROW()-1)*4+COLUMN()-1,0)</f>
        <v>00:29:13,740 --&gt; 00:29:17,660</v>
      </c>
      <c r="C536" t="str">
        <f ca="1">OFFSET(srt_raw!$A$1,(ROW()-1)*4+COLUMN()-1,0)</f>
        <v>由于前二撇行可以表示为后二行的线性叠加，</v>
      </c>
      <c r="D536" t="str">
        <f t="shared" ca="1" si="16"/>
        <v>00:29:13,740</v>
      </c>
      <c r="E536" t="str">
        <f t="shared" ca="1" si="17"/>
        <v>00:29:17,660</v>
      </c>
    </row>
    <row r="537" spans="1:5" x14ac:dyDescent="0.3">
      <c r="A537">
        <f ca="1">OFFSET(srt_raw!$A$1,(ROW()-1)*4+COLUMN()-1,0)</f>
        <v>537</v>
      </c>
      <c r="B537" t="str">
        <f ca="1">OFFSET(srt_raw!$A$1,(ROW()-1)*4+COLUMN()-1,0)</f>
        <v>00:29:17,660 --&gt; 00:29:22,500</v>
      </c>
      <c r="C537" t="str">
        <f ca="1">OFFSET(srt_raw!$A$1,(ROW()-1)*4+COLUMN()-1,0)</f>
        <v>因此我们可以在操作Y之前先将其和前二撇的任意行叠加，</v>
      </c>
      <c r="D537" t="str">
        <f t="shared" ca="1" si="16"/>
        <v>00:29:17,660</v>
      </c>
      <c r="E537" t="str">
        <f t="shared" ca="1" si="17"/>
        <v>00:29:22,500</v>
      </c>
    </row>
    <row r="538" spans="1:5" x14ac:dyDescent="0.3">
      <c r="A538">
        <f ca="1">OFFSET(srt_raw!$A$1,(ROW()-1)*4+COLUMN()-1,0)</f>
        <v>538</v>
      </c>
      <c r="B538" t="str">
        <f ca="1">OFFSET(srt_raw!$A$1,(ROW()-1)*4+COLUMN()-1,0)</f>
        <v>00:29:22,500 --&gt; 00:29:23,700</v>
      </c>
      <c r="C538" t="str">
        <f ca="1">OFFSET(srt_raw!$A$1,(ROW()-1)*4+COLUMN()-1,0)</f>
        <v>然后再求解。</v>
      </c>
      <c r="D538" t="str">
        <f t="shared" ca="1" si="16"/>
        <v>00:29:22,500</v>
      </c>
      <c r="E538" t="str">
        <f t="shared" ca="1" si="17"/>
        <v>00:29:23,700</v>
      </c>
    </row>
    <row r="539" spans="1:5" x14ac:dyDescent="0.3">
      <c r="A539">
        <f ca="1">OFFSET(srt_raw!$A$1,(ROW()-1)*4+COLUMN()-1,0)</f>
        <v>539</v>
      </c>
      <c r="B539" t="str">
        <f ca="1">OFFSET(srt_raw!$A$1,(ROW()-1)*4+COLUMN()-1,0)</f>
        <v>00:29:25,260 --&gt; 00:29:28,140</v>
      </c>
      <c r="C539" t="str">
        <f ca="1">OFFSET(srt_raw!$A$1,(ROW()-1)*4+COLUMN()-1,0)</f>
        <v>由于前二撇行共有二的二撇次方种，</v>
      </c>
      <c r="D539" t="str">
        <f t="shared" ca="1" si="16"/>
        <v>00:29:25,260</v>
      </c>
      <c r="E539" t="str">
        <f t="shared" ca="1" si="17"/>
        <v>00:29:28,140</v>
      </c>
    </row>
    <row r="540" spans="1:5" x14ac:dyDescent="0.3">
      <c r="A540">
        <f ca="1">OFFSET(srt_raw!$A$1,(ROW()-1)*4+COLUMN()-1,0)</f>
        <v>540</v>
      </c>
      <c r="B540" t="str">
        <f ca="1">OFFSET(srt_raw!$A$1,(ROW()-1)*4+COLUMN()-1,0)</f>
        <v>00:29:28,300 --&gt; 00:29:31,260</v>
      </c>
      <c r="C540" t="str">
        <f ca="1">OFFSET(srt_raw!$A$1,(ROW()-1)*4+COLUMN()-1,0)</f>
        <v>因此求得的解也有二的二撇次方种。</v>
      </c>
      <c r="D540" t="str">
        <f t="shared" ca="1" si="16"/>
        <v>00:29:28,300</v>
      </c>
      <c r="E540" t="str">
        <f t="shared" ca="1" si="17"/>
        <v>00:29:31,260</v>
      </c>
    </row>
    <row r="541" spans="1:5" x14ac:dyDescent="0.3">
      <c r="A541">
        <f ca="1">OFFSET(srt_raw!$A$1,(ROW()-1)*4+COLUMN()-1,0)</f>
        <v>541</v>
      </c>
      <c r="B541" t="str">
        <f ca="1">OFFSET(srt_raw!$A$1,(ROW()-1)*4+COLUMN()-1,0)</f>
        <v>00:29:32,780 --&gt; 00:29:33,500</v>
      </c>
      <c r="C541" t="str">
        <f ca="1">OFFSET(srt_raw!$A$1,(ROW()-1)*4+COLUMN()-1,0)</f>
        <v>另一方面。</v>
      </c>
      <c r="D541" t="str">
        <f t="shared" ca="1" si="16"/>
        <v>00:29:32,780</v>
      </c>
      <c r="E541" t="str">
        <f t="shared" ca="1" si="17"/>
        <v>00:29:33,500</v>
      </c>
    </row>
    <row r="542" spans="1:5" x14ac:dyDescent="0.3">
      <c r="A542">
        <f ca="1">OFFSET(srt_raw!$A$1,(ROW()-1)*4+COLUMN()-1,0)</f>
        <v>542</v>
      </c>
      <c r="B542" t="str">
        <f ca="1">OFFSET(srt_raw!$A$1,(ROW()-1)*4+COLUMN()-1,0)</f>
        <v>00:29:33,660 --&gt; 00:29:38,020</v>
      </c>
      <c r="C542" t="str">
        <f ca="1">OFFSET(srt_raw!$A$1,(ROW()-1)*4+COLUMN()-1,0)</f>
        <v>由于矩阵地满足十字偶校验约束表现出高度的对称性，</v>
      </c>
      <c r="D542" t="str">
        <f t="shared" ca="1" si="16"/>
        <v>00:29:33,660</v>
      </c>
      <c r="E542" t="str">
        <f t="shared" ca="1" si="17"/>
        <v>00:29:38,020</v>
      </c>
    </row>
    <row r="543" spans="1:5" x14ac:dyDescent="0.3">
      <c r="A543">
        <f ca="1">OFFSET(srt_raw!$A$1,(ROW()-1)*4+COLUMN()-1,0)</f>
        <v>543</v>
      </c>
      <c r="B543" t="str">
        <f ca="1">OFFSET(srt_raw!$A$1,(ROW()-1)*4+COLUMN()-1,0)</f>
        <v>00:29:38,540 --&gt; 00:29:42,460</v>
      </c>
      <c r="C543" t="str">
        <f ca="1">OFFSET(srt_raw!$A$1,(ROW()-1)*4+COLUMN()-1,0)</f>
        <v>其中行和列的坐标可以互换，</v>
      </c>
      <c r="D543" t="str">
        <f t="shared" ca="1" si="16"/>
        <v>00:29:38,540</v>
      </c>
      <c r="E543" t="str">
        <f t="shared" ca="1" si="17"/>
        <v>00:29:42,460</v>
      </c>
    </row>
    <row r="544" spans="1:5" x14ac:dyDescent="0.3">
      <c r="A544">
        <f ca="1">OFFSET(srt_raw!$A$1,(ROW()-1)*4+COLUMN()-1,0)</f>
        <v>544</v>
      </c>
      <c r="B544" t="str">
        <f ca="1">OFFSET(srt_raw!$A$1,(ROW()-1)*4+COLUMN()-1,0)</f>
        <v>00:29:42,460 --&gt; 00:29:45,020</v>
      </c>
      <c r="C544" t="str">
        <f ca="1">OFFSET(srt_raw!$A$1,(ROW()-1)*4+COLUMN()-1,0)</f>
        <v>因此我们可以同样只叠加前二行，</v>
      </c>
      <c r="D544" t="str">
        <f t="shared" ca="1" si="16"/>
        <v>00:29:42,460</v>
      </c>
      <c r="E544" t="str">
        <f t="shared" ca="1" si="17"/>
        <v>00:29:45,020</v>
      </c>
    </row>
    <row r="545" spans="1:5" x14ac:dyDescent="0.3">
      <c r="A545">
        <f ca="1">OFFSET(srt_raw!$A$1,(ROW()-1)*4+COLUMN()-1,0)</f>
        <v>545</v>
      </c>
      <c r="B545" t="str">
        <f ca="1">OFFSET(srt_raw!$A$1,(ROW()-1)*4+COLUMN()-1,0)</f>
        <v>00:29:45,180 --&gt; 00:29:47,620</v>
      </c>
      <c r="C545" t="str">
        <f ca="1">OFFSET(srt_raw!$A$1,(ROW()-1)*4+COLUMN()-1,0)</f>
        <v>从右往左进行消去。</v>
      </c>
      <c r="D545" t="str">
        <f t="shared" ca="1" si="16"/>
        <v>00:29:45,180</v>
      </c>
      <c r="E545" t="str">
        <f t="shared" ca="1" si="17"/>
        <v>00:29:47,620</v>
      </c>
    </row>
    <row r="546" spans="1:5" x14ac:dyDescent="0.3">
      <c r="A546">
        <f ca="1">OFFSET(srt_raw!$A$1,(ROW()-1)*4+COLUMN()-1,0)</f>
        <v>546</v>
      </c>
      <c r="B546" t="str">
        <f ca="1">OFFSET(srt_raw!$A$1,(ROW()-1)*4+COLUMN()-1,0)</f>
        <v>00:29:47,620 --&gt; 00:29:49,260</v>
      </c>
      <c r="C546" t="str">
        <f ca="1">OFFSET(srt_raw!$A$1,(ROW()-1)*4+COLUMN()-1,0)</f>
        <v>由于效果是相同的，</v>
      </c>
      <c r="D546" t="str">
        <f t="shared" ca="1" si="16"/>
        <v>00:29:47,620</v>
      </c>
      <c r="E546" t="str">
        <f t="shared" ca="1" si="17"/>
        <v>00:29:49,260</v>
      </c>
    </row>
    <row r="547" spans="1:5" x14ac:dyDescent="0.3">
      <c r="A547">
        <f ca="1">OFFSET(srt_raw!$A$1,(ROW()-1)*4+COLUMN()-1,0)</f>
        <v>547</v>
      </c>
      <c r="B547" t="str">
        <f ca="1">OFFSET(srt_raw!$A$1,(ROW()-1)*4+COLUMN()-1,0)</f>
        <v>00:29:49,260 --&gt; 00:29:50,460</v>
      </c>
      <c r="C547" t="str">
        <f ca="1">OFFSET(srt_raw!$A$1,(ROW()-1)*4+COLUMN()-1,0)</f>
        <v>这里不再赘述。</v>
      </c>
      <c r="D547" t="str">
        <f t="shared" ca="1" si="16"/>
        <v>00:29:49,260</v>
      </c>
      <c r="E547" t="str">
        <f t="shared" ca="1" si="17"/>
        <v>00:29:50,460</v>
      </c>
    </row>
    <row r="548" spans="1:5" x14ac:dyDescent="0.3">
      <c r="A548">
        <f ca="1">OFFSET(srt_raw!$A$1,(ROW()-1)*4+COLUMN()-1,0)</f>
        <v>548</v>
      </c>
      <c r="B548" t="str">
        <f ca="1">OFFSET(srt_raw!$A$1,(ROW()-1)*4+COLUMN()-1,0)</f>
        <v>00:29:51,900 --&gt; 00:29:53,620</v>
      </c>
      <c r="C548" t="str">
        <f ca="1">OFFSET(srt_raw!$A$1,(ROW()-1)*4+COLUMN()-1,0)</f>
        <v>细心的小伙伴会发现，</v>
      </c>
      <c r="D548" t="str">
        <f t="shared" ca="1" si="16"/>
        <v>00:29:51,900</v>
      </c>
      <c r="E548" t="str">
        <f t="shared" ca="1" si="17"/>
        <v>00:29:53,620</v>
      </c>
    </row>
    <row r="549" spans="1:5" x14ac:dyDescent="0.3">
      <c r="A549">
        <f ca="1">OFFSET(srt_raw!$A$1,(ROW()-1)*4+COLUMN()-1,0)</f>
        <v>549</v>
      </c>
      <c r="B549" t="str">
        <f ca="1">OFFSET(srt_raw!$A$1,(ROW()-1)*4+COLUMN()-1,0)</f>
        <v>00:29:53,620 --&gt; 00:29:55,860</v>
      </c>
      <c r="C549" t="str">
        <f ca="1">OFFSET(srt_raw!$A$1,(ROW()-1)*4+COLUMN()-1,0)</f>
        <v>这两个式子具有相同的形式。</v>
      </c>
      <c r="D549" t="str">
        <f t="shared" ca="1" si="16"/>
        <v>00:29:53,620</v>
      </c>
      <c r="E549" t="str">
        <f t="shared" ca="1" si="17"/>
        <v>00:29:55,860</v>
      </c>
    </row>
    <row r="550" spans="1:5" x14ac:dyDescent="0.3">
      <c r="A550">
        <f ca="1">OFFSET(srt_raw!$A$1,(ROW()-1)*4+COLUMN()-1,0)</f>
        <v>550</v>
      </c>
      <c r="B550" t="str">
        <f ca="1">OFFSET(srt_raw!$A$1,(ROW()-1)*4+COLUMN()-1,0)</f>
        <v>00:29:57,340 --&gt; 00:30:01,180</v>
      </c>
      <c r="C550" t="str">
        <f ca="1">OFFSET(srt_raw!$A$1,(ROW()-1)*4+COLUMN()-1,0)</f>
        <v>既然我们可以在第一个式子用反向叠加法求X。</v>
      </c>
      <c r="D550" t="str">
        <f t="shared" ca="1" si="16"/>
        <v>00:29:57,340</v>
      </c>
      <c r="E550" t="str">
        <f t="shared" ca="1" si="17"/>
        <v>00:30:01,180</v>
      </c>
    </row>
    <row r="551" spans="1:5" x14ac:dyDescent="0.3">
      <c r="A551">
        <f ca="1">OFFSET(srt_raw!$A$1,(ROW()-1)*4+COLUMN()-1,0)</f>
        <v>551</v>
      </c>
      <c r="B551" t="str">
        <f ca="1">OFFSET(srt_raw!$A$1,(ROW()-1)*4+COLUMN()-1,0)</f>
        <v>00:30:01,420 --&gt; 00:30:05,100</v>
      </c>
      <c r="C551" t="str">
        <f ca="1">OFFSET(srt_raw!$A$1,(ROW()-1)*4+COLUMN()-1,0)</f>
        <v>为什么不能用相同的方法在第二个式子求X呢？</v>
      </c>
      <c r="D551" t="str">
        <f t="shared" ca="1" si="16"/>
        <v>00:30:01,420</v>
      </c>
      <c r="E551" t="str">
        <f t="shared" ca="1" si="17"/>
        <v>00:30:05,100</v>
      </c>
    </row>
    <row r="552" spans="1:5" x14ac:dyDescent="0.3">
      <c r="A552">
        <f ca="1">OFFSET(srt_raw!$A$1,(ROW()-1)*4+COLUMN()-1,0)</f>
        <v>552</v>
      </c>
      <c r="B552" t="str">
        <f ca="1">OFFSET(srt_raw!$A$1,(ROW()-1)*4+COLUMN()-1,0)</f>
        <v>00:30:06,540 --&gt; 00:30:09,820</v>
      </c>
      <c r="C552" t="str">
        <f ca="1">OFFSET(srt_raw!$A$1,(ROW()-1)*4+COLUMN()-1,0)</f>
        <v>这是因为矩阵D是由GH生成的，</v>
      </c>
      <c r="D552" t="str">
        <f t="shared" ca="1" si="16"/>
        <v>00:30:06,540</v>
      </c>
      <c r="E552" t="str">
        <f t="shared" ca="1" si="17"/>
        <v>00:30:09,820</v>
      </c>
    </row>
    <row r="553" spans="1:5" x14ac:dyDescent="0.3">
      <c r="A553">
        <f ca="1">OFFSET(srt_raw!$A$1,(ROW()-1)*4+COLUMN()-1,0)</f>
        <v>553</v>
      </c>
      <c r="B553" t="str">
        <f ca="1">OFFSET(srt_raw!$A$1,(ROW()-1)*4+COLUMN()-1,0)</f>
        <v>00:30:09,820 --&gt; 00:30:12,420</v>
      </c>
      <c r="C553" t="str">
        <f ca="1">OFFSET(srt_raw!$A$1,(ROW()-1)*4+COLUMN()-1,0)</f>
        <v>具有带状上三角的可回带结构，</v>
      </c>
      <c r="D553" t="str">
        <f t="shared" ca="1" si="16"/>
        <v>00:30:09,820</v>
      </c>
      <c r="E553" t="str">
        <f t="shared" ca="1" si="17"/>
        <v>00:30:12,420</v>
      </c>
    </row>
    <row r="554" spans="1:5" x14ac:dyDescent="0.3">
      <c r="A554">
        <f ca="1">OFFSET(srt_raw!$A$1,(ROW()-1)*4+COLUMN()-1,0)</f>
        <v>554</v>
      </c>
      <c r="B554" t="str">
        <f ca="1">OFFSET(srt_raw!$A$1,(ROW()-1)*4+COLUMN()-1,0)</f>
        <v>00:30:12,420 --&gt; 00:30:16,020</v>
      </c>
      <c r="C554" t="str">
        <f ca="1">OFFSET(srt_raw!$A$1,(ROW()-1)*4+COLUMN()-1,0)</f>
        <v>满足前面说到的四个性质。</v>
      </c>
      <c r="D554" t="str">
        <f t="shared" ca="1" si="16"/>
        <v>00:30:12,420</v>
      </c>
      <c r="E554" t="str">
        <f t="shared" ca="1" si="17"/>
        <v>00:30:16,020</v>
      </c>
    </row>
    <row r="555" spans="1:5" x14ac:dyDescent="0.3">
      <c r="A555">
        <f ca="1">OFFSET(srt_raw!$A$1,(ROW()-1)*4+COLUMN()-1,0)</f>
        <v>555</v>
      </c>
      <c r="B555" t="str">
        <f ca="1">OFFSET(srt_raw!$A$1,(ROW()-1)*4+COLUMN()-1,0)</f>
        <v>00:30:16,020 --&gt; 00:30:19,260</v>
      </c>
      <c r="C555" t="str">
        <f ca="1">OFFSET(srt_raw!$A$1,(ROW()-1)*4+COLUMN()-1,0)</f>
        <v>而B等于P撇HD破坏了这一结构，</v>
      </c>
      <c r="D555" t="str">
        <f t="shared" ca="1" si="16"/>
        <v>00:30:16,020</v>
      </c>
      <c r="E555" t="str">
        <f t="shared" ca="1" si="17"/>
        <v>00:30:19,260</v>
      </c>
    </row>
    <row r="556" spans="1:5" x14ac:dyDescent="0.3">
      <c r="A556">
        <f ca="1">OFFSET(srt_raw!$A$1,(ROW()-1)*4+COLUMN()-1,0)</f>
        <v>556</v>
      </c>
      <c r="B556" t="str">
        <f ca="1">OFFSET(srt_raw!$A$1,(ROW()-1)*4+COLUMN()-1,0)</f>
        <v>00:30:19,260 --&gt; 00:30:21,060</v>
      </c>
      <c r="C556" t="str">
        <f ca="1">OFFSET(srt_raw!$A$1,(ROW()-1)*4+COLUMN()-1,0)</f>
        <v>不满足这些性质。</v>
      </c>
      <c r="D556" t="str">
        <f t="shared" ca="1" si="16"/>
        <v>00:30:19,260</v>
      </c>
      <c r="E556" t="str">
        <f t="shared" ca="1" si="17"/>
        <v>00:30:21,060</v>
      </c>
    </row>
    <row r="557" spans="1:5" x14ac:dyDescent="0.3">
      <c r="A557">
        <f ca="1">OFFSET(srt_raw!$A$1,(ROW()-1)*4+COLUMN()-1,0)</f>
        <v>557</v>
      </c>
      <c r="B557" t="str">
        <f ca="1">OFFSET(srt_raw!$A$1,(ROW()-1)*4+COLUMN()-1,0)</f>
        <v>00:30:21,060 --&gt; 00:30:23,540</v>
      </c>
      <c r="C557" t="str">
        <f ca="1">OFFSET(srt_raw!$A$1,(ROW()-1)*4+COLUMN()-1,0)</f>
        <v>这里D等于GH不满质，</v>
      </c>
      <c r="D557" t="str">
        <f t="shared" ca="1" si="16"/>
        <v>00:30:21,060</v>
      </c>
      <c r="E557" t="str">
        <f t="shared" ca="1" si="17"/>
        <v>00:30:23,540</v>
      </c>
    </row>
    <row r="558" spans="1:5" x14ac:dyDescent="0.3">
      <c r="A558">
        <f ca="1">OFFSET(srt_raw!$A$1,(ROW()-1)*4+COLUMN()-1,0)</f>
        <v>558</v>
      </c>
      <c r="B558" t="str">
        <f ca="1">OFFSET(srt_raw!$A$1,(ROW()-1)*4+COLUMN()-1,0)</f>
        <v>00:30:23,740 --&gt; 00:30:25,900</v>
      </c>
      <c r="C558" t="str">
        <f ca="1">OFFSET(srt_raw!$A$1,(ROW()-1)*4+COLUMN()-1,0)</f>
        <v>因此P撇H不为一。</v>
      </c>
      <c r="D558" t="str">
        <f t="shared" ca="1" si="16"/>
        <v>00:30:23,740</v>
      </c>
      <c r="E558" t="str">
        <f t="shared" ca="1" si="17"/>
        <v>00:30:25,900</v>
      </c>
    </row>
    <row r="559" spans="1:5" x14ac:dyDescent="0.3">
      <c r="A559">
        <f ca="1">OFFSET(srt_raw!$A$1,(ROW()-1)*4+COLUMN()-1,0)</f>
        <v>559</v>
      </c>
      <c r="B559" t="str">
        <f ca="1">OFFSET(srt_raw!$A$1,(ROW()-1)*4+COLUMN()-1,0)</f>
        <v>00:30:27,340 --&gt; 00:30:29,180</v>
      </c>
      <c r="C559" t="str">
        <f ca="1">OFFSET(srt_raw!$A$1,(ROW()-1)*4+COLUMN()-1,0)</f>
        <v>不过当G等于一时，</v>
      </c>
      <c r="D559" t="str">
        <f t="shared" ca="1" si="16"/>
        <v>00:30:27,340</v>
      </c>
      <c r="E559" t="str">
        <f t="shared" ca="1" si="17"/>
        <v>00:30:29,180</v>
      </c>
    </row>
    <row r="560" spans="1:5" x14ac:dyDescent="0.3">
      <c r="A560">
        <f ca="1">OFFSET(srt_raw!$A$1,(ROW()-1)*4+COLUMN()-1,0)</f>
        <v>560</v>
      </c>
      <c r="B560" t="str">
        <f ca="1">OFFSET(srt_raw!$A$1,(ROW()-1)*4+COLUMN()-1,0)</f>
        <v>00:30:29,180 --&gt; 00:30:30,740</v>
      </c>
      <c r="C560" t="str">
        <f ca="1">OFFSET(srt_raw!$A$1,(ROW()-1)*4+COLUMN()-1,0)</f>
        <v>这种解法是可行的。</v>
      </c>
      <c r="D560" t="str">
        <f t="shared" ca="1" si="16"/>
        <v>00:30:29,180</v>
      </c>
      <c r="E560" t="str">
        <f t="shared" ca="1" si="17"/>
        <v>00:30:30,740</v>
      </c>
    </row>
    <row r="561" spans="1:5" x14ac:dyDescent="0.3">
      <c r="A561">
        <f ca="1">OFFSET(srt_raw!$A$1,(ROW()-1)*4+COLUMN()-1,0)</f>
        <v>561</v>
      </c>
      <c r="B561" t="str">
        <f ca="1">OFFSET(srt_raw!$A$1,(ROW()-1)*4+COLUMN()-1,0)</f>
        <v>00:30:31,180 --&gt; 00:30:34,380</v>
      </c>
      <c r="C561" t="str">
        <f ca="1">OFFSET(srt_raw!$A$1,(ROW()-1)*4+COLUMN()-1,0)</f>
        <v>尽管这个方法首先需要求出完整的矩阵B，</v>
      </c>
      <c r="D561" t="str">
        <f t="shared" ca="1" si="16"/>
        <v>00:30:31,180</v>
      </c>
      <c r="E561" t="str">
        <f t="shared" ca="1" si="17"/>
        <v>00:30:34,380</v>
      </c>
    </row>
    <row r="562" spans="1:5" x14ac:dyDescent="0.3">
      <c r="A562">
        <f ca="1">OFFSET(srt_raw!$A$1,(ROW()-1)*4+COLUMN()-1,0)</f>
        <v>562</v>
      </c>
      <c r="B562" t="str">
        <f ca="1">OFFSET(srt_raw!$A$1,(ROW()-1)*4+COLUMN()-1,0)</f>
        <v>00:30:35,900 --&gt; 00:30:38,660</v>
      </c>
      <c r="C562" t="str">
        <f ca="1">OFFSET(srt_raw!$A$1,(ROW()-1)*4+COLUMN()-1,0)</f>
        <v>同时因为矩阵B不是三角结构，</v>
      </c>
      <c r="D562" t="str">
        <f t="shared" ca="1" si="16"/>
        <v>00:30:35,900</v>
      </c>
      <c r="E562" t="str">
        <f t="shared" ca="1" si="17"/>
        <v>00:30:38,660</v>
      </c>
    </row>
    <row r="563" spans="1:5" x14ac:dyDescent="0.3">
      <c r="A563">
        <f ca="1">OFFSET(srt_raw!$A$1,(ROW()-1)*4+COLUMN()-1,0)</f>
        <v>563</v>
      </c>
      <c r="B563" t="str">
        <f ca="1">OFFSET(srt_raw!$A$1,(ROW()-1)*4+COLUMN()-1,0)</f>
        <v>00:30:38,660 --&gt; 00:30:42,060</v>
      </c>
      <c r="C563" t="str">
        <f ca="1">OFFSET(srt_raw!$A$1,(ROW()-1)*4+COLUMN()-1,0)</f>
        <v>还需标记每行首个唯一的元素的位置来选择，</v>
      </c>
      <c r="D563" t="str">
        <f t="shared" ca="1" si="16"/>
        <v>00:30:38,660</v>
      </c>
      <c r="E563" t="str">
        <f t="shared" ca="1" si="17"/>
        <v>00:30:42,060</v>
      </c>
    </row>
    <row r="564" spans="1:5" x14ac:dyDescent="0.3">
      <c r="A564">
        <f ca="1">OFFSET(srt_raw!$A$1,(ROW()-1)*4+COLUMN()-1,0)</f>
        <v>564</v>
      </c>
      <c r="B564" t="str">
        <f ca="1">OFFSET(srt_raw!$A$1,(ROW()-1)*4+COLUMN()-1,0)</f>
        <v>00:30:42,540 --&gt; 00:30:45,860</v>
      </c>
      <c r="C564" t="str">
        <f ca="1">OFFSET(srt_raw!$A$1,(ROW()-1)*4+COLUMN()-1,0)</f>
        <v>因此直接计算QHY会更加方便，</v>
      </c>
      <c r="D564" t="str">
        <f t="shared" ca="1" si="16"/>
        <v>00:30:42,540</v>
      </c>
      <c r="E564" t="str">
        <f t="shared" ca="1" si="17"/>
        <v>00:30:45,860</v>
      </c>
    </row>
    <row r="565" spans="1:5" x14ac:dyDescent="0.3">
      <c r="A565">
        <f ca="1">OFFSET(srt_raw!$A$1,(ROW()-1)*4+COLUMN()-1,0)</f>
        <v>565</v>
      </c>
      <c r="B565" t="str">
        <f ca="1">OFFSET(srt_raw!$A$1,(ROW()-1)*4+COLUMN()-1,0)</f>
        <v>00:30:47,340 --&gt; 00:30:53,020</v>
      </c>
      <c r="C565" t="str">
        <f ca="1">OFFSET(srt_raw!$A$1,(ROW()-1)*4+COLUMN()-1,0)</f>
        <v>最终我们通过欧几里得法和反向叠加法完成了BX等于Y的求解，</v>
      </c>
      <c r="D565" t="str">
        <f t="shared" ca="1" si="16"/>
        <v>00:30:47,340</v>
      </c>
      <c r="E565" t="str">
        <f t="shared" ca="1" si="17"/>
        <v>00:30:53,020</v>
      </c>
    </row>
    <row r="566" spans="1:5" x14ac:dyDescent="0.3">
      <c r="A566">
        <f ca="1">OFFSET(srt_raw!$A$1,(ROW()-1)*4+COLUMN()-1,0)</f>
        <v>566</v>
      </c>
      <c r="B566" t="str">
        <f ca="1">OFFSET(srt_raw!$A$1,(ROW()-1)*4+COLUMN()-1,0)</f>
        <v>00:30:53,020 --&gt; 00:30:54,460</v>
      </c>
      <c r="C566" t="str">
        <f ca="1">OFFSET(srt_raw!$A$1,(ROW()-1)*4+COLUMN()-1,0)</f>
        <v>实现了点灯游戏，</v>
      </c>
      <c r="D566" t="str">
        <f t="shared" ca="1" si="16"/>
        <v>00:30:53,020</v>
      </c>
      <c r="E566" t="str">
        <f t="shared" ca="1" si="17"/>
        <v>00:30:54,460</v>
      </c>
    </row>
    <row r="567" spans="1:5" x14ac:dyDescent="0.3">
      <c r="A567">
        <f ca="1">OFFSET(srt_raw!$A$1,(ROW()-1)*4+COLUMN()-1,0)</f>
        <v>567</v>
      </c>
      <c r="B567" t="str">
        <f ca="1">OFFSET(srt_raw!$A$1,(ROW()-1)*4+COLUMN()-1,0)</f>
        <v>00:30:54,460 --&gt; 00:30:57,500</v>
      </c>
      <c r="C567" t="str">
        <f ca="1">OFFSET(srt_raw!$A$1,(ROW()-1)*4+COLUMN()-1,0)</f>
        <v>ON的二次方的时间复杂度的算法。</v>
      </c>
      <c r="D567" t="str">
        <f t="shared" ca="1" si="16"/>
        <v>00:30:54,460</v>
      </c>
      <c r="E567" t="str">
        <f t="shared" ca="1" si="17"/>
        <v>00:30:57,500</v>
      </c>
    </row>
    <row r="568" spans="1:5" x14ac:dyDescent="0.3">
      <c r="A568">
        <f ca="1">OFFSET(srt_raw!$A$1,(ROW()-1)*4+COLUMN()-1,0)</f>
        <v>568</v>
      </c>
      <c r="B568" t="str">
        <f ca="1">OFFSET(srt_raw!$A$1,(ROW()-1)*4+COLUMN()-1,0)</f>
        <v>00:30:59,020 --&gt; 00:31:00,700</v>
      </c>
      <c r="C568" t="str">
        <f ca="1">OFFSET(srt_raw!$A$1,(ROW()-1)*4+COLUMN()-1,0)</f>
        <v>向量和矩阵的乘法，</v>
      </c>
      <c r="D568" t="str">
        <f t="shared" ca="1" si="16"/>
        <v>00:30:59,020</v>
      </c>
      <c r="E568" t="str">
        <f t="shared" ca="1" si="17"/>
        <v>00:31:00,700</v>
      </c>
    </row>
    <row r="569" spans="1:5" x14ac:dyDescent="0.3">
      <c r="A569">
        <f ca="1">OFFSET(srt_raw!$A$1,(ROW()-1)*4+COLUMN()-1,0)</f>
        <v>569</v>
      </c>
      <c r="B569" t="str">
        <f ca="1">OFFSET(srt_raw!$A$1,(ROW()-1)*4+COLUMN()-1,0)</f>
        <v>00:31:00,700 --&gt; 00:31:01,940</v>
      </c>
      <c r="C569" t="str">
        <f ca="1">OFFSET(srt_raw!$A$1,(ROW()-1)*4+COLUMN()-1,0)</f>
        <v>欧几里德算法，</v>
      </c>
      <c r="D569" t="str">
        <f t="shared" ca="1" si="16"/>
        <v>00:31:00,700</v>
      </c>
      <c r="E569" t="str">
        <f t="shared" ca="1" si="17"/>
        <v>00:31:01,940</v>
      </c>
    </row>
    <row r="570" spans="1:5" x14ac:dyDescent="0.3">
      <c r="A570">
        <f ca="1">OFFSET(srt_raw!$A$1,(ROW()-1)*4+COLUMN()-1,0)</f>
        <v>570</v>
      </c>
      <c r="B570" t="str">
        <f ca="1">OFFSET(srt_raw!$A$1,(ROW()-1)*4+COLUMN()-1,0)</f>
        <v>00:31:01,940 --&gt; 00:31:03,020</v>
      </c>
      <c r="C570" t="str">
        <f ca="1">OFFSET(srt_raw!$A$1,(ROW()-1)*4+COLUMN()-1,0)</f>
        <v>逆向校园法，</v>
      </c>
      <c r="D570" t="str">
        <f t="shared" ca="1" si="16"/>
        <v>00:31:01,940</v>
      </c>
      <c r="E570" t="str">
        <f t="shared" ca="1" si="17"/>
        <v>00:31:03,020</v>
      </c>
    </row>
    <row r="571" spans="1:5" x14ac:dyDescent="0.3">
      <c r="A571">
        <f ca="1">OFFSET(srt_raw!$A$1,(ROW()-1)*4+COLUMN()-1,0)</f>
        <v>571</v>
      </c>
      <c r="B571" t="str">
        <f ca="1">OFFSET(srt_raw!$A$1,(ROW()-1)*4+COLUMN()-1,0)</f>
        <v>00:31:03,180 --&gt; 00:31:06,700</v>
      </c>
      <c r="C571" t="str">
        <f ca="1">OFFSET(srt_raw!$A$1,(ROW()-1)*4+COLUMN()-1,0)</f>
        <v>理论上通过卷积FFT或牛顿迭代法，</v>
      </c>
      <c r="D571" t="str">
        <f t="shared" ca="1" si="16"/>
        <v>00:31:03,180</v>
      </c>
      <c r="E571" t="str">
        <f t="shared" ca="1" si="17"/>
        <v>00:31:06,700</v>
      </c>
    </row>
    <row r="572" spans="1:5" x14ac:dyDescent="0.3">
      <c r="A572">
        <f ca="1">OFFSET(srt_raw!$A$1,(ROW()-1)*4+COLUMN()-1,0)</f>
        <v>572</v>
      </c>
      <c r="B572" t="str">
        <f ca="1">OFFSET(srt_raw!$A$1,(ROW()-1)*4+COLUMN()-1,0)</f>
        <v>00:31:06,780 --&gt; 00:31:11,180</v>
      </c>
      <c r="C572" t="str">
        <f ca="1">OFFSET(srt_raw!$A$1,(ROW()-1)*4+COLUMN()-1,0)</f>
        <v>是有可能优化到O分成logN的。</v>
      </c>
      <c r="D572" t="str">
        <f t="shared" ca="1" si="16"/>
        <v>00:31:06,780</v>
      </c>
      <c r="E572" t="str">
        <f t="shared" ca="1" si="17"/>
        <v>00:31:11,180</v>
      </c>
    </row>
    <row r="573" spans="1:5" x14ac:dyDescent="0.3">
      <c r="A573">
        <f ca="1">OFFSET(srt_raw!$A$1,(ROW()-1)*4+COLUMN()-1,0)</f>
        <v>573</v>
      </c>
      <c r="B573" t="str">
        <f ca="1">OFFSET(srt_raw!$A$1,(ROW()-1)*4+COLUMN()-1,0)</f>
        <v>00:31:11,180 --&gt; 00:31:13,580</v>
      </c>
      <c r="C573" t="str">
        <f ca="1">OFFSET(srt_raw!$A$1,(ROW()-1)*4+COLUMN()-1,0)</f>
        <v>考虑到UP主信号与系统，</v>
      </c>
      <c r="D573" t="str">
        <f t="shared" ca="1" si="16"/>
        <v>00:31:11,180</v>
      </c>
      <c r="E573" t="str">
        <f t="shared" ca="1" si="17"/>
        <v>00:31:13,580</v>
      </c>
    </row>
    <row r="574" spans="1:5" x14ac:dyDescent="0.3">
      <c r="A574">
        <f ca="1">OFFSET(srt_raw!$A$1,(ROW()-1)*4+COLUMN()-1,0)</f>
        <v>574</v>
      </c>
      <c r="B574" t="str">
        <f ca="1">OFFSET(srt_raw!$A$1,(ROW()-1)*4+COLUMN()-1,0)</f>
        <v>00:31:13,580 --&gt; 00:31:14,780</v>
      </c>
      <c r="C574" t="str">
        <f ca="1">OFFSET(srt_raw!$A$1,(ROW()-1)*4+COLUMN()-1,0)</f>
        <v>数字信号处理，</v>
      </c>
      <c r="D574" t="str">
        <f t="shared" ca="1" si="16"/>
        <v>00:31:13,580</v>
      </c>
      <c r="E574" t="str">
        <f t="shared" ca="1" si="17"/>
        <v>00:31:14,780</v>
      </c>
    </row>
    <row r="575" spans="1:5" x14ac:dyDescent="0.3">
      <c r="A575">
        <f ca="1">OFFSET(srt_raw!$A$1,(ROW()-1)*4+COLUMN()-1,0)</f>
        <v>575</v>
      </c>
      <c r="B575" t="str">
        <f ca="1">OFFSET(srt_raw!$A$1,(ROW()-1)*4+COLUMN()-1,0)</f>
        <v>00:31:14,780 --&gt; 00:31:16,420</v>
      </c>
      <c r="C575" t="str">
        <f ca="1">OFFSET(srt_raw!$A$1,(ROW()-1)*4+COLUMN()-1,0)</f>
        <v>数值分析等课程较差，</v>
      </c>
      <c r="D575" t="str">
        <f t="shared" ca="1" si="16"/>
        <v>00:31:14,780</v>
      </c>
      <c r="E575" t="str">
        <f t="shared" ca="1" si="17"/>
        <v>00:31:16,420</v>
      </c>
    </row>
    <row r="576" spans="1:5" x14ac:dyDescent="0.3">
      <c r="A576">
        <f ca="1">OFFSET(srt_raw!$A$1,(ROW()-1)*4+COLUMN()-1,0)</f>
        <v>576</v>
      </c>
      <c r="B576" t="str">
        <f ca="1">OFFSET(srt_raw!$A$1,(ROW()-1)*4+COLUMN()-1,0)</f>
        <v>00:31:16,620 --&gt; 00:31:18,700</v>
      </c>
      <c r="C576" t="str">
        <f ca="1">OFFSET(srt_raw!$A$1,(ROW()-1)*4+COLUMN()-1,0)</f>
        <v>暂时就不研究了。</v>
      </c>
      <c r="D576" t="str">
        <f t="shared" ca="1" si="16"/>
        <v>00:31:16,620</v>
      </c>
      <c r="E576" t="str">
        <f t="shared" ca="1" si="17"/>
        <v>00:31:18,700</v>
      </c>
    </row>
    <row r="577" spans="1:5" x14ac:dyDescent="0.3">
      <c r="A577">
        <f ca="1">OFFSET(srt_raw!$A$1,(ROW()-1)*4+COLUMN()-1,0)</f>
        <v>577</v>
      </c>
      <c r="B577" t="str">
        <f ca="1">OFFSET(srt_raw!$A$1,(ROW()-1)*4+COLUMN()-1,0)</f>
        <v>00:31:18,700 --&gt; 00:31:23,020</v>
      </c>
      <c r="C577" t="str">
        <f ca="1">OFFSET(srt_raw!$A$1,(ROW()-1)*4+COLUMN()-1,0)</f>
        <v>有兴趣的小伙伴可自行研究并留言。</v>
      </c>
      <c r="D577" t="str">
        <f t="shared" ca="1" si="16"/>
        <v>00:31:18,700</v>
      </c>
      <c r="E577" t="str">
        <f t="shared" ca="1" si="17"/>
        <v>00:31:23,020</v>
      </c>
    </row>
    <row r="578" spans="1:5" x14ac:dyDescent="0.3">
      <c r="A578">
        <f ca="1">OFFSET(srt_raw!$A$1,(ROW()-1)*4+COLUMN()-1,0)</f>
        <v>578</v>
      </c>
      <c r="B578" t="str">
        <f ca="1">OFFSET(srt_raw!$A$1,(ROW()-1)*4+COLUMN()-1,0)</f>
        <v>00:31:23,020 --&gt; 00:31:24,940</v>
      </c>
      <c r="C578" t="str">
        <f ca="1">OFFSET(srt_raw!$A$1,(ROW()-1)*4+COLUMN()-1,0)</f>
        <v>如果对视频中的内容有疑问，</v>
      </c>
      <c r="D578" t="str">
        <f t="shared" ref="D578:D582" ca="1" si="18">LEFT(B578,12)</f>
        <v>00:31:23,020</v>
      </c>
      <c r="E578" t="str">
        <f t="shared" ref="E578:E582" ca="1" si="19">RIGHT(B578,12)</f>
        <v>00:31:24,940</v>
      </c>
    </row>
    <row r="579" spans="1:5" x14ac:dyDescent="0.3">
      <c r="A579">
        <f ca="1">OFFSET(srt_raw!$A$1,(ROW()-1)*4+COLUMN()-1,0)</f>
        <v>579</v>
      </c>
      <c r="B579" t="str">
        <f ca="1">OFFSET(srt_raw!$A$1,(ROW()-1)*4+COLUMN()-1,0)</f>
        <v>00:31:25,020 --&gt; 00:31:26,940</v>
      </c>
      <c r="C579" t="str">
        <f ca="1">OFFSET(srt_raw!$A$1,(ROW()-1)*4+COLUMN()-1,0)</f>
        <v>觉得视频内容表述不清。</v>
      </c>
      <c r="D579" t="str">
        <f t="shared" ca="1" si="18"/>
        <v>00:31:25,020</v>
      </c>
      <c r="E579" t="str">
        <f t="shared" ca="1" si="19"/>
        <v>00:31:26,940</v>
      </c>
    </row>
    <row r="580" spans="1:5" x14ac:dyDescent="0.3">
      <c r="A580">
        <f ca="1">OFFSET(srt_raw!$A$1,(ROW()-1)*4+COLUMN()-1,0)</f>
        <v>580</v>
      </c>
      <c r="B580" t="str">
        <f ca="1">OFFSET(srt_raw!$A$1,(ROW()-1)*4+COLUMN()-1,0)</f>
        <v>00:31:27,100 --&gt; 00:31:29,380</v>
      </c>
      <c r="C580" t="str">
        <f ca="1">OFFSET(srt_raw!$A$1,(ROW()-1)*4+COLUMN()-1,0)</f>
        <v>或者发现视频中的任何错误，</v>
      </c>
      <c r="D580" t="str">
        <f t="shared" ca="1" si="18"/>
        <v>00:31:27,100</v>
      </c>
      <c r="E580" t="str">
        <f t="shared" ca="1" si="19"/>
        <v>00:31:29,380</v>
      </c>
    </row>
    <row r="581" spans="1:5" x14ac:dyDescent="0.3">
      <c r="A581">
        <f ca="1">OFFSET(srt_raw!$A$1,(ROW()-1)*4+COLUMN()-1,0)</f>
        <v>581</v>
      </c>
      <c r="B581" t="str">
        <f ca="1">OFFSET(srt_raw!$A$1,(ROW()-1)*4+COLUMN()-1,0)</f>
        <v>00:31:29,380 --&gt; 00:31:31,500</v>
      </c>
      <c r="C581" t="str">
        <f ca="1">OFFSET(srt_raw!$A$1,(ROW()-1)*4+COLUMN()-1,0)</f>
        <v>也请大家多多留言和指正。</v>
      </c>
      <c r="D581" t="str">
        <f t="shared" ca="1" si="18"/>
        <v>00:31:29,380</v>
      </c>
      <c r="E581" t="str">
        <f t="shared" ca="1" si="19"/>
        <v>00:31:31,500</v>
      </c>
    </row>
    <row r="582" spans="1:5" x14ac:dyDescent="0.3">
      <c r="A582">
        <f ca="1">OFFSET(srt_raw!$A$1,(ROW()-1)*4+COLUMN()-1,0)</f>
        <v>582</v>
      </c>
      <c r="B582" t="str">
        <f ca="1">OFFSET(srt_raw!$A$1,(ROW()-1)*4+COLUMN()-1,0)</f>
        <v>00:31:32,060 --&gt; 00:31:33,300</v>
      </c>
      <c r="C582" t="str">
        <f ca="1">OFFSET(srt_raw!$A$1,(ROW()-1)*4+COLUMN()-1,0)</f>
        <v>谢谢大家的观看。</v>
      </c>
      <c r="D582" t="str">
        <f t="shared" ca="1" si="18"/>
        <v>00:31:32,060</v>
      </c>
      <c r="E582" t="str">
        <f t="shared" ca="1" si="19"/>
        <v>00:31:33,300</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U205"/>
  <sheetViews>
    <sheetView tabSelected="1" topLeftCell="B175" zoomScaleNormal="100" workbookViewId="0">
      <selection activeCell="U204" sqref="U1:U204"/>
    </sheetView>
  </sheetViews>
  <sheetFormatPr defaultRowHeight="14" x14ac:dyDescent="0.3"/>
  <cols>
    <col min="1" max="1" width="11.08203125" customWidth="1"/>
    <col min="2" max="2" width="11.5" style="1" bestFit="1" customWidth="1"/>
    <col min="3" max="3" width="20.58203125" customWidth="1"/>
    <col min="4" max="4" width="4.1640625" bestFit="1" customWidth="1"/>
    <col min="5" max="5" width="3.1640625" customWidth="1"/>
    <col min="6" max="6" width="20.58203125" customWidth="1"/>
    <col min="7" max="14" width="3.1640625" customWidth="1"/>
    <col min="15" max="15" width="11.5" style="1" bestFit="1" customWidth="1"/>
    <col min="16" max="16" width="11.5" style="1" customWidth="1"/>
    <col min="17" max="17" width="16.1640625" style="20" customWidth="1"/>
    <col min="18" max="19" width="5.58203125" style="20" bestFit="1" customWidth="1"/>
    <col min="20" max="20" width="7" style="21" bestFit="1" customWidth="1"/>
    <col min="22" max="22" width="11.5" bestFit="1" customWidth="1"/>
  </cols>
  <sheetData>
    <row r="1" spans="1:21" x14ac:dyDescent="0.3">
      <c r="A1" t="s">
        <v>518</v>
      </c>
      <c r="B1" s="1" t="str">
        <f>LEFT(A1,12)</f>
        <v>00:00:27.233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1" t="str">
        <f ca="1">SUBSTITUTE(OFFSET(srt!$D$1,D2-1,0),",",".")</f>
        <v>00:00:00.160</v>
      </c>
      <c r="P1" s="1" t="str">
        <f ca="1">SUBSTITUTE(OFFSET(srt!$E$1,D3-2,0),",",".")</f>
        <v>00:00:11.280</v>
      </c>
      <c r="Q1" s="20">
        <f ca="1">O2-P1</f>
        <v>0</v>
      </c>
      <c r="R1" s="20">
        <f>B2-B1</f>
        <v>6.01851851851852E-5</v>
      </c>
      <c r="S1" s="20">
        <f ca="1">O2-O1</f>
        <v>1.2870370370370371E-4</v>
      </c>
      <c r="T1" s="21">
        <f ca="1">(S1-R1)*86400</f>
        <v>5.919999999999999</v>
      </c>
      <c r="U1" s="22" t="s">
        <v>722</v>
      </c>
    </row>
    <row r="2" spans="1:21" x14ac:dyDescent="0.3">
      <c r="A2" t="s">
        <v>519</v>
      </c>
      <c r="B2" s="1" t="str">
        <f t="shared" ref="B2:B65" si="0">LEFT(A2,12)</f>
        <v>00:00:32.433</v>
      </c>
      <c r="C2" t="str">
        <f t="shared" ref="C2:C65" si="1">RIGHT(A2,LEN(A2)-13)</f>
        <v>我们用B代表按钮，L代表灯，⊕（加）代表叠加，¬（非）代表翻转。</v>
      </c>
      <c r="D2">
        <f ca="1">D1+IFERROR(E1,1)</f>
        <v>1</v>
      </c>
      <c r="E2">
        <f t="shared" ref="E2:E65" ca="1" si="2">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1" t="str">
        <f ca="1">SUBSTITUTE(OFFSET(srt!$D$1,D3-1,0),",",".")</f>
        <v>00:00:11.280</v>
      </c>
      <c r="P2" s="1" t="str">
        <f ca="1">SUBSTITUTE(OFFSET(srt!$E$1,D4-2,0),",",".")</f>
        <v>00:00:18.280</v>
      </c>
      <c r="Q2" s="20">
        <f t="shared" ref="Q2:Q65" ca="1" si="3">O3-P2</f>
        <v>0</v>
      </c>
      <c r="R2" s="20">
        <f t="shared" ref="R2:R65" si="4">B3-B2</f>
        <v>5.90277777777778E-5</v>
      </c>
      <c r="S2" s="20">
        <f t="shared" ref="S2:S65" ca="1" si="5">O3-O2</f>
        <v>8.1018518518518543E-5</v>
      </c>
      <c r="T2" s="21">
        <f t="shared" ref="T2:T65" ca="1" si="6">(S2-R2)*86400</f>
        <v>1.9000000000000001</v>
      </c>
      <c r="U2" s="22" t="s">
        <v>723</v>
      </c>
    </row>
    <row r="3" spans="1:21" x14ac:dyDescent="0.3">
      <c r="A3" t="s">
        <v>520</v>
      </c>
      <c r="B3" s="1" t="str">
        <f t="shared" si="0"/>
        <v>00:00:37.533</v>
      </c>
      <c r="C3" t="str">
        <f t="shared" si="1"/>
        <v>n代表从上到下第n行按钮或灯。因为我们是一行行进行推导的，n也代表第n次推导。</v>
      </c>
      <c r="D3">
        <f t="shared" ref="D3:D66" ca="1" si="7">D2+IFERROR(E2,1)</f>
        <v>4</v>
      </c>
      <c r="E3">
        <f t="shared" ca="1" si="2"/>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1" t="str">
        <f ca="1">SUBSTITUTE(OFFSET(srt!$D$1,D4-1,0),",",".")</f>
        <v>00:00:18.280</v>
      </c>
      <c r="P3" s="1" t="str">
        <f ca="1">SUBSTITUTE(OFFSET(srt!$E$1,D5-2,0),",",".")</f>
        <v>00:00:25.800</v>
      </c>
      <c r="Q3" s="20">
        <f t="shared" ca="1" si="3"/>
        <v>2.083333333333337E-5</v>
      </c>
      <c r="R3" s="20">
        <f t="shared" si="4"/>
        <v>6.0185185185185092E-5</v>
      </c>
      <c r="S3" s="20">
        <f t="shared" ca="1" si="5"/>
        <v>1.0787037037037037E-4</v>
      </c>
      <c r="T3" s="21">
        <f t="shared" ca="1" si="6"/>
        <v>4.1200000000000081</v>
      </c>
      <c r="U3" s="22" t="s">
        <v>724</v>
      </c>
    </row>
    <row r="4" spans="1:21" x14ac:dyDescent="0.3">
      <c r="A4" t="s">
        <v>521</v>
      </c>
      <c r="B4" s="1" t="str">
        <f t="shared" si="0"/>
        <v>00:00:42.733</v>
      </c>
      <c r="C4" t="str">
        <f t="shared" si="1"/>
        <v>x代表从左到右第x列按钮。我们将灯表示为第一行的某几个列的按钮的叠加。这里的x不局限于第一行。</v>
      </c>
      <c r="D4">
        <f t="shared" ca="1" si="7"/>
        <v>7</v>
      </c>
      <c r="E4">
        <f t="shared" ca="1" si="2"/>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1" t="str">
        <f ca="1">SUBSTITUTE(OFFSET(srt!$D$1,D5-1,0),",",".")</f>
        <v>00:00:27.600</v>
      </c>
      <c r="P4" s="1" t="str">
        <f ca="1">SUBSTITUTE(OFFSET(srt!$E$1,D6-2,0),",",".")</f>
        <v>00:00:37.040</v>
      </c>
      <c r="Q4" s="20">
        <f t="shared" ca="1" si="3"/>
        <v>2.0370370370370356E-5</v>
      </c>
      <c r="R4" s="20">
        <f t="shared" si="4"/>
        <v>6.0185185185185255E-5</v>
      </c>
      <c r="S4" s="20">
        <f t="shared" ca="1" si="5"/>
        <v>1.296296296296296E-4</v>
      </c>
      <c r="T4" s="21">
        <f t="shared" ca="1" si="6"/>
        <v>5.999999999999992</v>
      </c>
      <c r="U4" s="22" t="s">
        <v>725</v>
      </c>
    </row>
    <row r="5" spans="1:21" x14ac:dyDescent="0.3">
      <c r="A5" t="s">
        <v>522</v>
      </c>
      <c r="B5" s="1" t="str">
        <f t="shared" si="0"/>
        <v>00:00:47.933</v>
      </c>
      <c r="C5" t="str">
        <f t="shared" si="1"/>
        <v>y代表从左到右第y列灯。这里的公式对任意第y个灯都满足，所以省去了y。</v>
      </c>
      <c r="D5">
        <f t="shared" ca="1" si="7"/>
        <v>10</v>
      </c>
      <c r="E5">
        <f t="shared" ca="1" si="2"/>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1" t="str">
        <f ca="1">SUBSTITUTE(OFFSET(srt!$D$1,D6-1,0),",",".")</f>
        <v>00:00:38.800</v>
      </c>
      <c r="P5" s="1" t="str">
        <f ca="1">SUBSTITUTE(OFFSET(srt!$E$1,D7-2,0),",",".")</f>
        <v>00:00:45.920</v>
      </c>
      <c r="Q5" s="20">
        <f t="shared" ca="1" si="3"/>
        <v>1.7592592592592486E-5</v>
      </c>
      <c r="R5" s="20">
        <f t="shared" si="4"/>
        <v>6.0185185185185255E-5</v>
      </c>
      <c r="S5" s="20">
        <f t="shared" ca="1" si="5"/>
        <v>9.9999999999999937E-5</v>
      </c>
      <c r="T5" s="21">
        <f t="shared" ca="1" si="6"/>
        <v>3.4399999999999884</v>
      </c>
      <c r="U5" s="22" t="s">
        <v>726</v>
      </c>
    </row>
    <row r="6" spans="1:21" x14ac:dyDescent="0.3">
      <c r="A6" t="s">
        <v>523</v>
      </c>
      <c r="B6" s="1" t="str">
        <f t="shared" si="0"/>
        <v>00:00:53.133</v>
      </c>
      <c r="C6" t="str">
        <f t="shared" si="1"/>
        <v>在这里，粉色原点是用按钮表示按钮，淡蓝色方块是用按钮表示灯。</v>
      </c>
      <c r="D6">
        <f t="shared" ca="1" si="7"/>
        <v>13</v>
      </c>
      <c r="E6">
        <f t="shared" ca="1" si="2"/>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1" t="str">
        <f ca="1">SUBSTITUTE(OFFSET(srt!$D$1,D7-1,0),",",".")</f>
        <v>00:00:47.440</v>
      </c>
      <c r="P6" s="1" t="str">
        <f ca="1">SUBSTITUTE(OFFSET(srt!$E$1,D8-2,0),",",".")</f>
        <v>00:00:52.760</v>
      </c>
      <c r="Q6" s="20">
        <f t="shared" ca="1" si="3"/>
        <v>1.8981481481481475E-5</v>
      </c>
      <c r="R6" s="20">
        <f t="shared" si="4"/>
        <v>9.0277777777777665E-5</v>
      </c>
      <c r="S6" s="20">
        <f t="shared" ca="1" si="5"/>
        <v>8.055555555555561E-5</v>
      </c>
      <c r="T6" s="21">
        <f t="shared" ca="1" si="6"/>
        <v>-0.83999999999998554</v>
      </c>
      <c r="U6" s="22" t="s">
        <v>727</v>
      </c>
    </row>
    <row r="7" spans="1:21" x14ac:dyDescent="0.3">
      <c r="A7" t="s">
        <v>524</v>
      </c>
      <c r="B7" s="1" t="str">
        <f t="shared" si="0"/>
        <v>00:01:00.933</v>
      </c>
      <c r="C7" t="str">
        <f t="shared" si="1"/>
        <v>而在上集视频中，因为最终目标是将灯用按钮表示，因此省去了按钮表示按钮，粉色原点直接是按钮表示灯。</v>
      </c>
      <c r="D7">
        <f t="shared" ca="1" si="7"/>
        <v>16</v>
      </c>
      <c r="E7">
        <f t="shared" ca="1" si="2"/>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1" t="str">
        <f ca="1">SUBSTITUTE(OFFSET(srt!$D$1,D8-1,0),",",".")</f>
        <v>00:00:54.400</v>
      </c>
      <c r="P7" s="1" t="str">
        <f ca="1">SUBSTITUTE(OFFSET(srt!$E$1,D9-2,0),",",".")</f>
        <v>00:01:04.640</v>
      </c>
      <c r="Q7" s="20">
        <f t="shared" ca="1" si="3"/>
        <v>0</v>
      </c>
      <c r="R7" s="20">
        <f t="shared" si="4"/>
        <v>7.986111111111117E-5</v>
      </c>
      <c r="S7" s="20">
        <f t="shared" ca="1" si="5"/>
        <v>1.1851851851851856E-4</v>
      </c>
      <c r="T7" s="21">
        <f t="shared" ca="1" si="6"/>
        <v>3.3399999999999985</v>
      </c>
      <c r="U7" s="22" t="s">
        <v>728</v>
      </c>
    </row>
    <row r="8" spans="1:21" x14ac:dyDescent="0.3">
      <c r="A8" t="s">
        <v>525</v>
      </c>
      <c r="B8" s="1" t="str">
        <f t="shared" si="0"/>
        <v>00:01:07.833</v>
      </c>
      <c r="C8" t="str">
        <f t="shared" si="1"/>
        <v>让我们举一个具体的例子。在5×5的格子中，我们将按钮和灯编号为1—25。</v>
      </c>
      <c r="D8">
        <f t="shared" ca="1" si="7"/>
        <v>19</v>
      </c>
      <c r="E8">
        <f t="shared" ca="1" si="2"/>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1" t="str">
        <f ca="1">SUBSTITUTE(OFFSET(srt!$D$1,D9-1,0),",",".")</f>
        <v>00:01:04.640</v>
      </c>
      <c r="P8" s="1" t="str">
        <f ca="1">SUBSTITUTE(OFFSET(srt!$E$1,D10-2,0),",",".")</f>
        <v>00:01:10.800</v>
      </c>
      <c r="Q8" s="20">
        <f t="shared" ca="1" si="3"/>
        <v>2.3148148148148225E-5</v>
      </c>
      <c r="R8" s="20">
        <f t="shared" si="4"/>
        <v>3.703703703703703E-5</v>
      </c>
      <c r="S8" s="20">
        <f t="shared" ca="1" si="5"/>
        <v>9.4444444444444415E-5</v>
      </c>
      <c r="T8" s="21">
        <f t="shared" ca="1" si="6"/>
        <v>4.9599999999999982</v>
      </c>
      <c r="U8" s="22" t="s">
        <v>729</v>
      </c>
    </row>
    <row r="9" spans="1:21" x14ac:dyDescent="0.3">
      <c r="A9" t="s">
        <v>526</v>
      </c>
      <c r="B9" s="1" t="str">
        <f t="shared" si="0"/>
        <v>00:01:11.033</v>
      </c>
      <c r="C9" t="str">
        <f t="shared" si="1"/>
        <v>在《叠加法》中，我们将灯表示为所有按钮的叠加。例如：L1=B1⊕B2⊕B6，L6=B1⊕B6⊕B7⊕B11。</v>
      </c>
      <c r="D9">
        <f t="shared" ca="1" si="7"/>
        <v>23</v>
      </c>
      <c r="E9">
        <f t="shared" ca="1" si="2"/>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1" t="str">
        <f ca="1">SUBSTITUTE(OFFSET(srt!$D$1,D10-1,0),",",".")</f>
        <v>00:01:12.800</v>
      </c>
      <c r="P9" s="1" t="str">
        <f ca="1">SUBSTITUTE(OFFSET(srt!$E$1,D11-2,0),",",".")</f>
        <v>00:01:24.040</v>
      </c>
      <c r="Q9" s="20">
        <f t="shared" ca="1" si="3"/>
        <v>1.8981481481481692E-5</v>
      </c>
      <c r="R9" s="20">
        <f t="shared" si="4"/>
        <v>1.207638888888889E-4</v>
      </c>
      <c r="S9" s="20">
        <f t="shared" ca="1" si="5"/>
        <v>1.4907407407407415E-4</v>
      </c>
      <c r="T9" s="21">
        <f t="shared" ca="1" si="6"/>
        <v>2.4460000000000059</v>
      </c>
      <c r="U9" s="22" t="s">
        <v>730</v>
      </c>
    </row>
    <row r="10" spans="1:21" x14ac:dyDescent="0.3">
      <c r="A10" t="s">
        <v>527</v>
      </c>
      <c r="B10" s="1" t="str">
        <f t="shared" si="0"/>
        <v>00:01:21.467</v>
      </c>
      <c r="C10" t="str">
        <f t="shared" si="1"/>
        <v>通过这种方法，我们得到了25个未知数的一次方程组。我们将其写成增广矩阵，也就是按钮矩阵和翻转向量，即灯向量的形式。</v>
      </c>
      <c r="D10">
        <f t="shared" ca="1" si="7"/>
        <v>26</v>
      </c>
      <c r="E10">
        <f t="shared" ca="1" si="2"/>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1" t="str">
        <f ca="1">SUBSTITUTE(OFFSET(srt!$D$1,D11-1,0),",",".")</f>
        <v>00:01:25.680</v>
      </c>
      <c r="P10" s="1" t="str">
        <f ca="1">SUBSTITUTE(OFFSET(srt!$E$1,D12-2,0),",",".")</f>
        <v>00:01:38.560</v>
      </c>
      <c r="Q10" s="20">
        <f t="shared" ca="1" si="3"/>
        <v>0</v>
      </c>
      <c r="R10" s="20">
        <f t="shared" si="4"/>
        <v>8.9120370370370265E-5</v>
      </c>
      <c r="S10" s="20">
        <f t="shared" ca="1" si="5"/>
        <v>1.4907407407407404E-4</v>
      </c>
      <c r="T10" s="21">
        <f t="shared" ca="1" si="6"/>
        <v>5.1800000000000059</v>
      </c>
      <c r="U10" s="22" t="s">
        <v>731</v>
      </c>
    </row>
    <row r="11" spans="1:21" x14ac:dyDescent="0.3">
      <c r="A11" t="s">
        <v>528</v>
      </c>
      <c r="B11" s="1" t="str">
        <f t="shared" si="0"/>
        <v>00:01:29.167</v>
      </c>
      <c r="C11" t="str">
        <f t="shared" si="1"/>
        <v>而在《首行叠加法》中，我们需要把灯表示为第一行按钮的叠加。</v>
      </c>
      <c r="D11">
        <f t="shared" ca="1" si="7"/>
        <v>30</v>
      </c>
      <c r="E11">
        <f t="shared" ca="1" si="2"/>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1" t="str">
        <f ca="1">SUBSTITUTE(OFFSET(srt!$D$1,D12-1,0),",",".")</f>
        <v>00:01:38.560</v>
      </c>
      <c r="P11" s="1" t="str">
        <f ca="1">SUBSTITUTE(OFFSET(srt!$E$1,D13-2,0),",",".")</f>
        <v>00:01:43.040</v>
      </c>
      <c r="Q11" s="20">
        <f t="shared" ca="1" si="3"/>
        <v>1.6666666666666566E-5</v>
      </c>
      <c r="R11" s="20">
        <f t="shared" si="4"/>
        <v>3.9733796296296392E-5</v>
      </c>
      <c r="S11" s="20">
        <f t="shared" ca="1" si="5"/>
        <v>6.8518518518518321E-5</v>
      </c>
      <c r="T11" s="21">
        <f t="shared" ca="1" si="6"/>
        <v>2.4869999999999748</v>
      </c>
      <c r="U11" s="22" t="s">
        <v>732</v>
      </c>
    </row>
    <row r="12" spans="1:21" x14ac:dyDescent="0.3">
      <c r="A12" t="s">
        <v>529</v>
      </c>
      <c r="B12" s="1" t="str">
        <f t="shared" si="0"/>
        <v>00:01:32.600</v>
      </c>
      <c r="C12" t="str">
        <f t="shared" si="1"/>
        <v>这里的五个矩阵，分别代表第y列是由第一行的哪几个按钮叠加的。</v>
      </c>
      <c r="D12">
        <f t="shared" ca="1" si="7"/>
        <v>34</v>
      </c>
      <c r="E12">
        <f t="shared" ca="1" si="2"/>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1" t="str">
        <f ca="1">SUBSTITUTE(OFFSET(srt!$D$1,D13-1,0),",",".")</f>
        <v>00:01:44.480</v>
      </c>
      <c r="P12" s="1" t="str">
        <f ca="1">SUBSTITUTE(OFFSET(srt!$E$1,D14-2,0),",",".")</f>
        <v>00:01:51.160</v>
      </c>
      <c r="Q12" s="20">
        <f t="shared" ca="1" si="3"/>
        <v>0</v>
      </c>
      <c r="R12" s="20">
        <f t="shared" si="4"/>
        <v>5.3240740740740852E-5</v>
      </c>
      <c r="S12" s="20">
        <f t="shared" ca="1" si="5"/>
        <v>7.7314814814814998E-5</v>
      </c>
      <c r="T12" s="21">
        <f t="shared" ca="1" si="6"/>
        <v>2.0800000000000063</v>
      </c>
      <c r="U12" s="22" t="s">
        <v>733</v>
      </c>
    </row>
    <row r="13" spans="1:21" x14ac:dyDescent="0.3">
      <c r="A13" t="s">
        <v>530</v>
      </c>
      <c r="B13" s="1" t="str">
        <f t="shared" si="0"/>
        <v>00:01:37.200</v>
      </c>
      <c r="C13" t="str">
        <f t="shared" si="1"/>
        <v>由于按法是动态的，当第二行按钮还未被按下时，L1=B1⊕B2，即第一个灯L1是由第一行的第一、第二个按钮B1,B2叠加的。</v>
      </c>
      <c r="D13">
        <f t="shared" ca="1" si="7"/>
        <v>36</v>
      </c>
      <c r="E13">
        <f t="shared" ca="1" si="2"/>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1" t="str">
        <f ca="1">SUBSTITUTE(OFFSET(srt!$D$1,D14-1,0),",",".")</f>
        <v>00:01:51.160</v>
      </c>
      <c r="P13" s="1" t="str">
        <f ca="1">SUBSTITUTE(OFFSET(srt!$E$1,D15-2,0),",",".")</f>
        <v>00:02:04.080</v>
      </c>
      <c r="Q13" s="20">
        <f t="shared" ca="1" si="3"/>
        <v>0</v>
      </c>
      <c r="R13" s="20">
        <f t="shared" si="4"/>
        <v>6.0185185185185038E-5</v>
      </c>
      <c r="S13" s="20">
        <f t="shared" ca="1" si="5"/>
        <v>1.49537037037037E-4</v>
      </c>
      <c r="T13" s="21">
        <f t="shared" ca="1" si="6"/>
        <v>7.7200000000000095</v>
      </c>
      <c r="U13" s="22" t="s">
        <v>734</v>
      </c>
    </row>
    <row r="14" spans="1:21" x14ac:dyDescent="0.3">
      <c r="A14" t="s">
        <v>531</v>
      </c>
      <c r="B14" s="1" t="str">
        <f t="shared" si="0"/>
        <v>00:01:42.400</v>
      </c>
      <c r="C14" t="str">
        <f t="shared" si="1"/>
        <v>然后，B6=¬L1=¬(B1⊕B2)，即第六个按钮B6是第一个灯L1的翻转。因此，第二行按钮B6和第一行灯L1的叠加状态是相同的。</v>
      </c>
      <c r="D14">
        <f t="shared" ca="1" si="7"/>
        <v>37</v>
      </c>
      <c r="E14">
        <f t="shared" ca="1" si="2"/>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1" t="str">
        <f ca="1">SUBSTITUTE(OFFSET(srt!$D$1,D15-1,0),",",".")</f>
        <v>00:02:04.080</v>
      </c>
      <c r="P14" s="1" t="str">
        <f ca="1">SUBSTITUTE(OFFSET(srt!$E$1,D16-2,0),",",".")</f>
        <v>00:02:18.480</v>
      </c>
      <c r="Q14" s="20">
        <f t="shared" ca="1" si="3"/>
        <v>0</v>
      </c>
      <c r="R14" s="20">
        <f t="shared" si="4"/>
        <v>6.0185185185185038E-5</v>
      </c>
      <c r="S14" s="20">
        <f t="shared" ca="1" si="5"/>
        <v>1.6666666666666653E-4</v>
      </c>
      <c r="T14" s="21">
        <f t="shared" ca="1" si="6"/>
        <v>9.2000000000000011</v>
      </c>
      <c r="U14" s="22" t="s">
        <v>735</v>
      </c>
    </row>
    <row r="15" spans="1:21" x14ac:dyDescent="0.3">
      <c r="A15" t="s">
        <v>532</v>
      </c>
      <c r="B15" s="1" t="str">
        <f t="shared" si="0"/>
        <v>00:01:47.600</v>
      </c>
      <c r="C15" t="str">
        <f t="shared" si="1"/>
        <v>只不过B6是L1的翻转。而旁边的向量，代表的就是按钮或灯有没有翻转。</v>
      </c>
      <c r="D15">
        <f t="shared" ca="1" si="7"/>
        <v>41</v>
      </c>
      <c r="E15">
        <f t="shared" ca="1" si="2"/>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1" t="str">
        <f ca="1">SUBSTITUTE(OFFSET(srt!$D$1,D16-1,0),",",".")</f>
        <v>00:02:18.480</v>
      </c>
      <c r="P15" s="1" t="str">
        <f ca="1">SUBSTITUTE(OFFSET(srt!$E$1,D17-2,0),",",".")</f>
        <v>00:02:27.640</v>
      </c>
      <c r="Q15" s="20">
        <f t="shared" ca="1" si="3"/>
        <v>0</v>
      </c>
      <c r="R15" s="20">
        <f t="shared" si="4"/>
        <v>5.6712962962963053E-5</v>
      </c>
      <c r="S15" s="20">
        <f t="shared" ca="1" si="5"/>
        <v>1.0601851851851853E-4</v>
      </c>
      <c r="T15" s="21">
        <f t="shared" ca="1" si="6"/>
        <v>4.2599999999999927</v>
      </c>
      <c r="U15" s="22" t="s">
        <v>736</v>
      </c>
    </row>
    <row r="16" spans="1:21" x14ac:dyDescent="0.3">
      <c r="A16" t="s">
        <v>533</v>
      </c>
      <c r="B16" s="1" t="str">
        <f t="shared" si="0"/>
        <v>00:01:52.500</v>
      </c>
      <c r="C16" t="str">
        <f t="shared" si="1"/>
        <v>例如，当第一个向量的第一个灯L1亮起时，表示L1除了由刚才说的按钮叠加外，还需要翻转才是正确的状态。</v>
      </c>
      <c r="D16">
        <f t="shared" ca="1" si="7"/>
        <v>44</v>
      </c>
      <c r="E16">
        <f t="shared" ca="1" si="2"/>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1" t="str">
        <f ca="1">SUBSTITUTE(OFFSET(srt!$D$1,D17-1,0),",",".")</f>
        <v>00:02:27.640</v>
      </c>
      <c r="P16" s="1" t="str">
        <f ca="1">SUBSTITUTE(OFFSET(srt!$E$1,D18-2,0),",",".")</f>
        <v>00:02:36.440</v>
      </c>
      <c r="Q16" s="20">
        <f t="shared" ca="1" si="3"/>
        <v>1.712962962962996E-5</v>
      </c>
      <c r="R16" s="20">
        <f t="shared" si="4"/>
        <v>5.3240740740740852E-5</v>
      </c>
      <c r="S16" s="20">
        <f t="shared" ca="1" si="5"/>
        <v>1.1898148148148185E-4</v>
      </c>
      <c r="T16" s="21">
        <f t="shared" ca="1" si="6"/>
        <v>5.6800000000000219</v>
      </c>
      <c r="U16" s="22" t="s">
        <v>737</v>
      </c>
    </row>
    <row r="17" spans="1:21" x14ac:dyDescent="0.3">
      <c r="A17" t="s">
        <v>534</v>
      </c>
      <c r="B17" s="1" t="str">
        <f t="shared" si="0"/>
        <v>00:01:57.100</v>
      </c>
      <c r="C17" t="str">
        <f t="shared" si="1"/>
        <v>同理，B7=¬L2=¬(B1⊕B2⊕B3)，即第七个按钮B7是第二个灯L2的翻转。同样，第二行的按钮B7和第一行灯L2的叠加状态是相同的。</v>
      </c>
      <c r="D17">
        <f t="shared" ca="1" si="7"/>
        <v>47</v>
      </c>
      <c r="E17">
        <f t="shared" ca="1" si="2"/>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1" t="str">
        <f ca="1">SUBSTITUTE(OFFSET(srt!$D$1,D18-1,0),",",".")</f>
        <v>00:02:37.920</v>
      </c>
      <c r="P17" s="1" t="str">
        <f ca="1">SUBSTITUTE(OFFSET(srt!$E$1,D19-2,0),",",".")</f>
        <v>00:02:51.800</v>
      </c>
      <c r="Q17" s="20">
        <f t="shared" ca="1" si="3"/>
        <v>1.6203703703703606E-5</v>
      </c>
      <c r="R17" s="20">
        <f t="shared" si="4"/>
        <v>7.7546296296296261E-5</v>
      </c>
      <c r="S17" s="20">
        <f t="shared" ca="1" si="5"/>
        <v>1.7685185185185165E-4</v>
      </c>
      <c r="T17" s="21">
        <f t="shared" ca="1" si="6"/>
        <v>8.5799999999999859</v>
      </c>
      <c r="U17" s="22" t="s">
        <v>738</v>
      </c>
    </row>
    <row r="18" spans="1:21" x14ac:dyDescent="0.3">
      <c r="A18" t="s">
        <v>535</v>
      </c>
      <c r="B18" s="1" t="str">
        <f t="shared" si="0"/>
        <v>00:02:03.800</v>
      </c>
      <c r="C18" t="str">
        <f t="shared" si="1"/>
        <v>这里，我们将第一个按钮B1的状态补全，将B1用第一行的按钮叠加时，有B1=B1。</v>
      </c>
      <c r="D18">
        <f t="shared" ca="1" si="7"/>
        <v>50</v>
      </c>
      <c r="E18">
        <f t="shared" ca="1" si="2"/>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1" t="str">
        <f ca="1">SUBSTITUTE(OFFSET(srt!$D$1,D19-1,0),",",".")</f>
        <v>00:02:53.200</v>
      </c>
      <c r="P18" s="1" t="str">
        <f ca="1">SUBSTITUTE(OFFSET(srt!$E$1,D20-2,0),",",".")</f>
        <v>00:03:01.880</v>
      </c>
      <c r="Q18" s="20">
        <f t="shared" ca="1" si="3"/>
        <v>0</v>
      </c>
      <c r="R18" s="20">
        <f t="shared" si="4"/>
        <v>5.6712962962962837E-5</v>
      </c>
      <c r="S18" s="20">
        <f t="shared" ca="1" si="5"/>
        <v>1.0046296296296279E-4</v>
      </c>
      <c r="T18" s="21">
        <f t="shared" ca="1" si="6"/>
        <v>3.7799999999999958</v>
      </c>
      <c r="U18" s="22" t="s">
        <v>739</v>
      </c>
    </row>
    <row r="19" spans="1:21" x14ac:dyDescent="0.3">
      <c r="A19" t="s">
        <v>536</v>
      </c>
      <c r="B19" s="1" t="str">
        <f t="shared" si="0"/>
        <v>00:02:08.700</v>
      </c>
      <c r="C19" t="str">
        <f t="shared" si="1"/>
        <v>接下来我们来看第六个灯。L6=B1⊕B6⊕B7=B1⊕¬(B1⊕B2)⊕¬(B1⊕B2⊕B3)=B1⊕B3。</v>
      </c>
      <c r="D19">
        <f t="shared" ca="1" si="7"/>
        <v>55</v>
      </c>
      <c r="E19">
        <f t="shared" ca="1" si="2"/>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1" t="str">
        <f ca="1">SUBSTITUTE(OFFSET(srt!$D$1,D20-1,0),",",".")</f>
        <v>00:03:01.880</v>
      </c>
      <c r="P19" s="1" t="str">
        <f ca="1">SUBSTITUTE(OFFSET(srt!$E$1,D21-2,0),",",".")</f>
        <v>00:03:12.560</v>
      </c>
      <c r="Q19" s="20">
        <f t="shared" ca="1" si="3"/>
        <v>1.759259259259292E-5</v>
      </c>
      <c r="R19" s="20">
        <f t="shared" si="4"/>
        <v>1.2500000000000011E-4</v>
      </c>
      <c r="S19" s="20">
        <f t="shared" ca="1" si="5"/>
        <v>1.4120370370370415E-4</v>
      </c>
      <c r="T19" s="21">
        <f t="shared" ca="1" si="6"/>
        <v>1.400000000000029</v>
      </c>
      <c r="U19" s="22" t="s">
        <v>740</v>
      </c>
    </row>
    <row r="20" spans="1:21" x14ac:dyDescent="0.3">
      <c r="A20" t="s">
        <v>537</v>
      </c>
      <c r="B20" s="1" t="str">
        <f t="shared" si="0"/>
        <v>00:02:19.500</v>
      </c>
      <c r="C20" t="str">
        <f t="shared" si="1"/>
        <v>又比如，L7=B2⊕B6⊕B7⊕B8=B2⊕¬(B1⊕B2)⊕¬(B1⊕B2⊕B3)⊕¬(B2⊕B3⊕B4)=¬B4。</v>
      </c>
      <c r="D20">
        <f t="shared" ca="1" si="7"/>
        <v>58</v>
      </c>
      <c r="E20">
        <f t="shared" ca="1" si="2"/>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1" t="str">
        <f ca="1">SUBSTITUTE(OFFSET(srt!$D$1,D21-1,0),",",".")</f>
        <v>00:03:14.080</v>
      </c>
      <c r="P20" s="1" t="str">
        <f ca="1">SUBSTITUTE(OFFSET(srt!$E$1,D22-2,0),",",".")</f>
        <v>00:03:25.840</v>
      </c>
      <c r="Q20" s="20">
        <f t="shared" ca="1" si="3"/>
        <v>1.759259259259292E-5</v>
      </c>
      <c r="R20" s="20">
        <f t="shared" si="4"/>
        <v>1.9791666666666655E-4</v>
      </c>
      <c r="S20" s="20">
        <f t="shared" ca="1" si="5"/>
        <v>1.5370370370370364E-4</v>
      </c>
      <c r="T20" s="21">
        <f t="shared" ca="1" si="6"/>
        <v>-3.8199999999999958</v>
      </c>
      <c r="U20" s="22" t="s">
        <v>741</v>
      </c>
    </row>
    <row r="21" spans="1:21" x14ac:dyDescent="0.3">
      <c r="A21" t="s">
        <v>538</v>
      </c>
      <c r="B21" s="1" t="str">
        <f t="shared" si="0"/>
        <v>00:02:36.600</v>
      </c>
      <c r="C21" t="str">
        <f t="shared" si="1"/>
        <v>这样不断递推，我们可以将任意L表示为B1—B5的叠加。加上翻转后，得到完整的矩阵。</v>
      </c>
      <c r="D21">
        <f t="shared" ca="1" si="7"/>
        <v>60</v>
      </c>
      <c r="E21">
        <f t="shared" ca="1" si="2"/>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1" t="str">
        <f ca="1">SUBSTITUTE(OFFSET(srt!$D$1,D22-1,0),",",".")</f>
        <v>00:03:27.360</v>
      </c>
      <c r="P21" s="1" t="str">
        <f ca="1">SUBSTITUTE(OFFSET(srt!$E$1,D23-2,0),",",".")</f>
        <v>00:03:36.360</v>
      </c>
      <c r="Q21" s="20">
        <f t="shared" ca="1" si="3"/>
        <v>0</v>
      </c>
      <c r="R21" s="20">
        <f t="shared" si="4"/>
        <v>1.0416666666666669E-4</v>
      </c>
      <c r="S21" s="20">
        <f t="shared" ca="1" si="5"/>
        <v>1.0416666666666647E-4</v>
      </c>
      <c r="T21" s="21">
        <f t="shared" ca="1" si="6"/>
        <v>-1.8735013540549517E-14</v>
      </c>
      <c r="U21" s="22" t="s">
        <v>742</v>
      </c>
    </row>
    <row r="22" spans="1:21" x14ac:dyDescent="0.3">
      <c r="A22" t="s">
        <v>539</v>
      </c>
      <c r="B22" s="1" t="str">
        <f t="shared" si="0"/>
        <v>00:02:45.600</v>
      </c>
      <c r="C22" t="str">
        <f t="shared" si="1"/>
        <v>现在，如果我们把序号1—25用坐标x,y表示，则按钮和灯可写为以上公式。让我们以L7(2)=L(2,2,2)为例。</v>
      </c>
      <c r="D22">
        <f t="shared" ca="1" si="7"/>
        <v>63</v>
      </c>
      <c r="E22">
        <f t="shared" ca="1" si="2"/>
        <v>3</v>
      </c>
      <c r="F22" t="str">
        <f ca="1">OFFSET(srt!$C$1,D23-1,0)</f>
        <v>现在如果我们把序号1到25用坐标X和Y表示，</v>
      </c>
      <c r="G22">
        <f ca="1">PrefixLenNorm($C22,OFFSET(srt!$C$1,$D22+COLUMN()-7,0))</f>
        <v>0</v>
      </c>
      <c r="H22">
        <f ca="1">PrefixLenNorm($C22,OFFSET(srt!$C$1,$D22+COLUMN()-7,0))</f>
        <v>0</v>
      </c>
      <c r="I22">
        <f ca="1">PrefixLenNorm($C22,OFFSET(srt!$C$1,$D22+COLUMN()-7,0))</f>
        <v>17</v>
      </c>
      <c r="J22">
        <f ca="1">PrefixLenNorm($C22,OFFSET(srt!$C$1,$D22+COLUMN()-7,0))</f>
        <v>0</v>
      </c>
      <c r="K22">
        <f ca="1">PrefixLenNorm($C22,OFFSET(srt!$C$1,$D22+COLUMN()-7,0))</f>
        <v>0</v>
      </c>
      <c r="L22">
        <f ca="1">PrefixLenNorm($C22,OFFSET(srt!$C$1,$D22+COLUMN()-7,0))</f>
        <v>0</v>
      </c>
      <c r="M22">
        <f ca="1">PrefixLenNorm($C22,OFFSET(srt!$C$1,$D22+COLUMN()-7,0))</f>
        <v>0</v>
      </c>
      <c r="N22">
        <f ca="1">PrefixLenNorm($C22,OFFSET(srt!$C$1,$D22+COLUMN()-7,0))</f>
        <v>0</v>
      </c>
      <c r="O22" s="1" t="str">
        <f ca="1">SUBSTITUTE(OFFSET(srt!$D$1,D23-1,0),",",".")</f>
        <v>00:03:36.360</v>
      </c>
      <c r="P22" s="1" t="str">
        <f ca="1">SUBSTITUTE(OFFSET(srt!$E$1,D24-2,0),",",".")</f>
        <v>00:03:49.360</v>
      </c>
      <c r="Q22" s="20">
        <f t="shared" ca="1" si="3"/>
        <v>0</v>
      </c>
      <c r="R22" s="20">
        <f t="shared" si="4"/>
        <v>7.4849537037037115E-5</v>
      </c>
      <c r="S22" s="20">
        <f t="shared" ca="1" si="5"/>
        <v>1.5046296296296292E-4</v>
      </c>
      <c r="T22" s="21">
        <f t="shared" ca="1" si="6"/>
        <v>6.5329999999999897</v>
      </c>
      <c r="U22" s="22" t="s">
        <v>743</v>
      </c>
    </row>
    <row r="23" spans="1:21" x14ac:dyDescent="0.3">
      <c r="A23" t="s">
        <v>540</v>
      </c>
      <c r="B23" s="1" t="str">
        <f t="shared" si="0"/>
        <v>00:02:52.067</v>
      </c>
      <c r="C23" t="str">
        <f t="shared" si="1"/>
        <v>这里，我们的矩阵同时满足另一个性质，让我们称之为十字偶校验约束。</v>
      </c>
      <c r="D23">
        <f t="shared" ca="1" si="7"/>
        <v>66</v>
      </c>
      <c r="E23">
        <f t="shared" ca="1" si="2"/>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1" t="str">
        <f ca="1">SUBSTITUTE(OFFSET(srt!$D$1,D24-1,0),",",".")</f>
        <v>00:03:49.360</v>
      </c>
      <c r="P23" s="1" t="str">
        <f ca="1">SUBSTITUTE(OFFSET(srt!$E$1,D25-2,0),",",".")</f>
        <v>00:03:56.440</v>
      </c>
      <c r="Q23" s="20">
        <f t="shared" ca="1" si="3"/>
        <v>0</v>
      </c>
      <c r="R23" s="20">
        <f t="shared" si="4"/>
        <v>4.7453703703703633E-5</v>
      </c>
      <c r="S23" s="20">
        <f t="shared" ca="1" si="5"/>
        <v>8.1944444444444382E-5</v>
      </c>
      <c r="T23" s="21">
        <f t="shared" ca="1" si="6"/>
        <v>2.9800000000000009</v>
      </c>
      <c r="U23" s="22" t="s">
        <v>744</v>
      </c>
    </row>
    <row r="24" spans="1:21" x14ac:dyDescent="0.3">
      <c r="A24" t="s">
        <v>541</v>
      </c>
      <c r="B24" s="1" t="str">
        <f t="shared" si="0"/>
        <v>00:02:56.167</v>
      </c>
      <c r="C24" t="str">
        <f t="shared" si="1"/>
        <v>某个元素的左右两个矩阵的对应位置的元素，和元素所在矩阵左右两个元素的叠加后为零。</v>
      </c>
      <c r="D24">
        <f t="shared" ca="1" si="7"/>
        <v>69</v>
      </c>
      <c r="E24">
        <f t="shared" ca="1" si="2"/>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1" t="str">
        <f ca="1">SUBSTITUTE(OFFSET(srt!$D$1,D25-1,0),",",".")</f>
        <v>00:03:56.440</v>
      </c>
      <c r="P24" s="1" t="str">
        <f ca="1">SUBSTITUTE(OFFSET(srt!$E$1,D26-2,0),",",".")</f>
        <v>00:04:04.600</v>
      </c>
      <c r="Q24" s="20">
        <f t="shared" ca="1" si="3"/>
        <v>0</v>
      </c>
      <c r="R24" s="20">
        <f t="shared" si="4"/>
        <v>3.9351851851852047E-5</v>
      </c>
      <c r="S24" s="20">
        <f t="shared" ca="1" si="5"/>
        <v>9.4444444444444307E-5</v>
      </c>
      <c r="T24" s="21">
        <f t="shared" ca="1" si="6"/>
        <v>4.7599999999999714</v>
      </c>
      <c r="U24" s="22" t="s">
        <v>745</v>
      </c>
    </row>
    <row r="25" spans="1:21" x14ac:dyDescent="0.3">
      <c r="A25" t="s">
        <v>542</v>
      </c>
      <c r="B25" s="1" t="str">
        <f t="shared" si="0"/>
        <v>00:02:59.567</v>
      </c>
      <c r="C25" t="str">
        <f t="shared" si="1"/>
        <v>这也就是上集视频中《优化生成矩阵》章节中的性质，之后会给出证明。</v>
      </c>
      <c r="D25">
        <f t="shared" ca="1" si="7"/>
        <v>71</v>
      </c>
      <c r="E25">
        <f t="shared" ca="1" si="2"/>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1" t="str">
        <f ca="1">SUBSTITUTE(OFFSET(srt!$D$1,D26-1,0),",",".")</f>
        <v>00:04:04.600</v>
      </c>
      <c r="P25" s="1" t="str">
        <f ca="1">SUBSTITUTE(OFFSET(srt!$E$1,D27-2,0),",",".")</f>
        <v>00:04:11.800</v>
      </c>
      <c r="Q25" s="20">
        <f t="shared" ca="1" si="3"/>
        <v>0</v>
      </c>
      <c r="R25" s="20">
        <f t="shared" si="4"/>
        <v>4.3981481481481215E-5</v>
      </c>
      <c r="S25" s="20">
        <f t="shared" ca="1" si="5"/>
        <v>8.3333333333333696E-5</v>
      </c>
      <c r="T25" s="21">
        <f t="shared" ca="1" si="6"/>
        <v>3.4000000000000545</v>
      </c>
      <c r="U25" s="22" t="s">
        <v>746</v>
      </c>
    </row>
    <row r="26" spans="1:21" x14ac:dyDescent="0.3">
      <c r="A26" t="s">
        <v>543</v>
      </c>
      <c r="B26" s="1" t="str">
        <f t="shared" si="0"/>
        <v>00:03:03.367</v>
      </c>
      <c r="C26" t="str">
        <f t="shared" si="1"/>
        <v>通过这个性质，递推公式可化为只根据当前矩阵的元素来叠加，无需依赖于左右矩阵。</v>
      </c>
      <c r="D26">
        <f t="shared" ca="1" si="7"/>
        <v>73</v>
      </c>
      <c r="E26">
        <f t="shared" ca="1" si="2"/>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1" t="str">
        <f ca="1">SUBSTITUTE(OFFSET(srt!$D$1,D27-1,0),",",".")</f>
        <v>00:04:11.800</v>
      </c>
      <c r="P26" s="1" t="str">
        <f ca="1">SUBSTITUTE(OFFSET(srt!$E$1,D28-2,0),",",".")</f>
        <v>00:04:20.480</v>
      </c>
      <c r="Q26" s="20">
        <f t="shared" ca="1" si="3"/>
        <v>0</v>
      </c>
      <c r="R26" s="20">
        <f t="shared" si="4"/>
        <v>1.2731481481481491E-4</v>
      </c>
      <c r="S26" s="20">
        <f t="shared" ca="1" si="5"/>
        <v>1.0046296296296322E-4</v>
      </c>
      <c r="T26" s="21">
        <f t="shared" ca="1" si="6"/>
        <v>-2.3199999999999861</v>
      </c>
      <c r="U26" s="22" t="s">
        <v>747</v>
      </c>
    </row>
    <row r="27" spans="1:21" x14ac:dyDescent="0.3">
      <c r="A27" t="s">
        <v>544</v>
      </c>
      <c r="B27" s="1" t="str">
        <f t="shared" si="0"/>
        <v>00:03:14.367</v>
      </c>
      <c r="C27" t="str">
        <f t="shared" si="1"/>
        <v>因此，我们可以在公式中去除y。于是，灯可以表示为当前矩阵的上左中右的按钮的叠加。</v>
      </c>
      <c r="D27">
        <f t="shared" ca="1" si="7"/>
        <v>74</v>
      </c>
      <c r="E27">
        <f t="shared" ca="1" si="2"/>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0</v>
      </c>
      <c r="N27">
        <f ca="1">PrefixLenNorm($C27,OFFSET(srt!$C$1,$D27+COLUMN()-7,0))</f>
        <v>0</v>
      </c>
      <c r="O27" s="1" t="str">
        <f ca="1">SUBSTITUTE(OFFSET(srt!$D$1,D28-1,0),",",".")</f>
        <v>00:04:20.480</v>
      </c>
      <c r="P27" s="1" t="str">
        <f ca="1">SUBSTITUTE(OFFSET(srt!$E$1,D29-2,0),",",".")</f>
        <v>00:04:29.800</v>
      </c>
      <c r="Q27" s="20">
        <f t="shared" ca="1" si="3"/>
        <v>0</v>
      </c>
      <c r="R27" s="20">
        <f t="shared" si="4"/>
        <v>6.2500000000000056E-5</v>
      </c>
      <c r="S27" s="20">
        <f t="shared" ca="1" si="5"/>
        <v>1.0787037037037015E-4</v>
      </c>
      <c r="T27" s="21">
        <f t="shared" ca="1" si="6"/>
        <v>3.9199999999999764</v>
      </c>
      <c r="U27" s="22" t="s">
        <v>748</v>
      </c>
    </row>
    <row r="28" spans="1:21" x14ac:dyDescent="0.3">
      <c r="A28" t="s">
        <v>545</v>
      </c>
      <c r="B28" s="1" t="str">
        <f t="shared" si="0"/>
        <v>00:03:19.767</v>
      </c>
      <c r="C28" t="str">
        <f t="shared" si="1"/>
        <v>又因为，后一行的按钮是前一行灯的翻转。而后一行的灯是上左中右的灯的翻转的叠加。</v>
      </c>
      <c r="D28">
        <f t="shared" ca="1" si="7"/>
        <v>77</v>
      </c>
      <c r="E28">
        <f t="shared" ca="1" si="2"/>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1" t="str">
        <f ca="1">SUBSTITUTE(OFFSET(srt!$D$1,D29-1,0),",",".")</f>
        <v>00:04:29.800</v>
      </c>
      <c r="P28" s="1" t="str">
        <f ca="1">SUBSTITUTE(OFFSET(srt!$E$1,D30-2,0),",",".")</f>
        <v>00:04:38.920</v>
      </c>
      <c r="Q28" s="20">
        <f t="shared" ca="1" si="3"/>
        <v>0</v>
      </c>
      <c r="R28" s="20">
        <f t="shared" si="4"/>
        <v>6.597222222222204E-5</v>
      </c>
      <c r="S28" s="20">
        <f t="shared" ca="1" si="5"/>
        <v>1.0555555555555535E-4</v>
      </c>
      <c r="T28" s="21">
        <f t="shared" ca="1" si="6"/>
        <v>3.4199999999999982</v>
      </c>
      <c r="U28" s="22" t="s">
        <v>749</v>
      </c>
    </row>
    <row r="29" spans="1:21" x14ac:dyDescent="0.3">
      <c r="A29" t="s">
        <v>546</v>
      </c>
      <c r="B29" s="1" t="str">
        <f t="shared" si="0"/>
        <v>00:03:25.467</v>
      </c>
      <c r="C29" t="str">
        <f t="shared" si="1"/>
        <v>如果把翻转¬提取出来，便有了一开始的推导公式。</v>
      </c>
      <c r="D29">
        <f t="shared" ca="1" si="7"/>
        <v>79</v>
      </c>
      <c r="E29">
        <f t="shared" ca="1" si="2"/>
        <v>2</v>
      </c>
      <c r="F29" t="str">
        <f ca="1">OFFSET(srt!$C$1,D30-1,0)</f>
        <v>如果把翻转飞提取出来，</v>
      </c>
      <c r="G29">
        <f ca="1">PrefixLenNorm($C29,OFFSET(srt!$C$1,$D29+COLUMN()-7,0))</f>
        <v>0</v>
      </c>
      <c r="H29">
        <f ca="1">PrefixLenNorm($C29,OFFSET(srt!$C$1,$D29+COLUMN()-7,0))</f>
        <v>5</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1" t="str">
        <f ca="1">SUBSTITUTE(OFFSET(srt!$D$1,D30-1,0),",",".")</f>
        <v>00:04:38.920</v>
      </c>
      <c r="P29" s="1" t="str">
        <f ca="1">SUBSTITUTE(OFFSET(srt!$E$1,D31-2,0),",",".")</f>
        <v>00:04:42.720</v>
      </c>
      <c r="Q29" s="20">
        <f t="shared" ca="1" si="3"/>
        <v>1.7592592592592486E-5</v>
      </c>
      <c r="R29" s="20">
        <f t="shared" si="4"/>
        <v>3.0092592592592844E-5</v>
      </c>
      <c r="S29" s="20">
        <f t="shared" ca="1" si="5"/>
        <v>6.1574074074074135E-5</v>
      </c>
      <c r="T29" s="21">
        <f t="shared" ca="1" si="6"/>
        <v>2.7199999999999838</v>
      </c>
      <c r="U29" s="22" t="s">
        <v>750</v>
      </c>
    </row>
    <row r="30" spans="1:21" x14ac:dyDescent="0.3">
      <c r="A30" t="s">
        <v>547</v>
      </c>
      <c r="B30" s="1" t="str">
        <f t="shared" si="0"/>
        <v>00:03:28.067</v>
      </c>
      <c r="C30" t="str">
        <f t="shared" si="1"/>
        <v>也就是，按钮是前一行的左中右的按钮和上上行的按钮的叠加。以及，灯是前一行的左中右的按钮和上上行的灯的叠加。</v>
      </c>
      <c r="D30">
        <f t="shared" ca="1" si="7"/>
        <v>81</v>
      </c>
      <c r="E30">
        <f t="shared" ca="1" si="2"/>
        <v>2</v>
      </c>
      <c r="F30" t="str">
        <f ca="1">OFFSET(srt!$C$1,D31-1,0)</f>
        <v>也就是按钮是前一行的左中右的按钮和上上行的按钮的叠加，</v>
      </c>
      <c r="G30">
        <f ca="1">PrefixLenNorm($C30,OFFSET(srt!$C$1,$D30+COLUMN()-7,0))</f>
        <v>0</v>
      </c>
      <c r="H30">
        <f ca="1">PrefixLenNorm($C30,OFFSET(srt!$C$1,$D30+COLUMN()-7,0))</f>
        <v>26</v>
      </c>
      <c r="I30">
        <f ca="1">PrefixLenNorm($C30,OFFSET(srt!$C$1,$D30+COLUMN()-7,0))</f>
        <v>0</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1" t="str">
        <f ca="1">SUBSTITUTE(OFFSET(srt!$D$1,D31-1,0),",",".")</f>
        <v>00:04:44.240</v>
      </c>
      <c r="P30" s="1" t="str">
        <f ca="1">SUBSTITUTE(OFFSET(srt!$E$1,D32-2,0),",",".")</f>
        <v>00:04:54.400</v>
      </c>
      <c r="Q30" s="20">
        <f t="shared" ca="1" si="3"/>
        <v>1.6666666666667433E-5</v>
      </c>
      <c r="R30" s="20">
        <f t="shared" si="4"/>
        <v>1.0879629629629607E-4</v>
      </c>
      <c r="S30" s="20">
        <f t="shared" ca="1" si="5"/>
        <v>1.3425925925925975E-4</v>
      </c>
      <c r="T30" s="21">
        <f t="shared" ca="1" si="6"/>
        <v>2.2000000000000615</v>
      </c>
      <c r="U30" s="22" t="s">
        <v>751</v>
      </c>
    </row>
    <row r="31" spans="1:21" x14ac:dyDescent="0.3">
      <c r="A31" t="s">
        <v>548</v>
      </c>
      <c r="B31" s="1" t="str">
        <f t="shared" si="0"/>
        <v>00:03:37.467</v>
      </c>
      <c r="C31" t="str">
        <f t="shared" si="1"/>
        <v>可以注意到，按钮和灯的递推公式具有相同的形式，这是因为前一行灯就是后一行按钮。</v>
      </c>
      <c r="D31">
        <f t="shared" ca="1" si="7"/>
        <v>83</v>
      </c>
      <c r="E31">
        <f t="shared" ca="1" si="2"/>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1" t="str">
        <f ca="1">SUBSTITUTE(OFFSET(srt!$D$1,D32-1,0),",",".")</f>
        <v>00:04:55.840</v>
      </c>
      <c r="P31" s="1" t="str">
        <f ca="1">SUBSTITUTE(OFFSET(srt!$E$1,D33-2,0),",",".")</f>
        <v>00:05:02.760</v>
      </c>
      <c r="Q31" s="20">
        <f t="shared" ca="1" si="3"/>
        <v>1.7129629629629526E-5</v>
      </c>
      <c r="R31" s="20">
        <f t="shared" si="4"/>
        <v>3.0092592592592844E-5</v>
      </c>
      <c r="S31" s="20">
        <f t="shared" ca="1" si="5"/>
        <v>9.7222222222221634E-5</v>
      </c>
      <c r="T31" s="21">
        <f t="shared" ca="1" si="6"/>
        <v>5.7999999999999279</v>
      </c>
      <c r="U31" s="22" t="s">
        <v>752</v>
      </c>
    </row>
    <row r="32" spans="1:21" x14ac:dyDescent="0.3">
      <c r="A32" t="s">
        <v>549</v>
      </c>
      <c r="B32" s="1" t="str">
        <f t="shared" si="0"/>
        <v>00:03:40.067</v>
      </c>
      <c r="C32" t="str">
        <f t="shared" si="1"/>
        <v>因为最终需要推导的是灯，因此灯是从按钮的第一行推导5行。因为最后一次推导的是灯，因此按钮也是5行。</v>
      </c>
      <c r="D32">
        <f t="shared" ca="1" si="7"/>
        <v>85</v>
      </c>
      <c r="E32">
        <f t="shared" ca="1" si="2"/>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3</v>
      </c>
      <c r="K32">
        <f ca="1">PrefixLenNorm($C32,OFFSET(srt!$C$1,$D32+COLUMN()-7,0))</f>
        <v>1</v>
      </c>
      <c r="L32">
        <f ca="1">PrefixLenNorm($C32,OFFSET(srt!$C$1,$D32+COLUMN()-7,0))</f>
        <v>0</v>
      </c>
      <c r="M32">
        <f ca="1">PrefixLenNorm($C32,OFFSET(srt!$C$1,$D32+COLUMN()-7,0))</f>
        <v>0</v>
      </c>
      <c r="N32">
        <f ca="1">PrefixLenNorm($C32,OFFSET(srt!$C$1,$D32+COLUMN()-7,0))</f>
        <v>0</v>
      </c>
      <c r="O32" s="1" t="str">
        <f ca="1">SUBSTITUTE(OFFSET(srt!$D$1,D33-1,0),",",".")</f>
        <v>00:05:04.240</v>
      </c>
      <c r="P32" s="1" t="str">
        <f ca="1">SUBSTITUTE(OFFSET(srt!$E$1,D34-2,0),",",".")</f>
        <v>00:05:13.600</v>
      </c>
      <c r="Q32" s="20">
        <f t="shared" ca="1" si="3"/>
        <v>1.8518518518518406E-5</v>
      </c>
      <c r="R32" s="20">
        <f t="shared" si="4"/>
        <v>6.0185185185185255E-5</v>
      </c>
      <c r="S32" s="20">
        <f t="shared" ca="1" si="5"/>
        <v>1.2685185185185195E-4</v>
      </c>
      <c r="T32" s="21">
        <f t="shared" ca="1" si="6"/>
        <v>5.7600000000000025</v>
      </c>
      <c r="U32" s="22" t="s">
        <v>753</v>
      </c>
    </row>
    <row r="33" spans="1:21" x14ac:dyDescent="0.3">
      <c r="A33" t="s">
        <v>550</v>
      </c>
      <c r="B33" s="1" t="str">
        <f t="shared" si="0"/>
        <v>00:03:45.267</v>
      </c>
      <c r="C33" t="str">
        <f t="shared" si="1"/>
        <v>对于翻转的情况，则可以单独列出来，以类似的方法推导，写成公式Y。</v>
      </c>
      <c r="D33">
        <f t="shared" ca="1" si="7"/>
        <v>87</v>
      </c>
      <c r="E33">
        <f t="shared" ca="1" si="2"/>
        <v>4</v>
      </c>
      <c r="F33" t="str">
        <f ca="1">OFFSET(srt!$C$1,D34-1,0)</f>
        <v>对于翻转的情况则可以单独列出来，</v>
      </c>
      <c r="G33">
        <f ca="1">PrefixLenNorm($C33,OFFSET(srt!$C$1,$D33+COLUMN()-7,0))</f>
        <v>0</v>
      </c>
      <c r="H33">
        <f ca="1">PrefixLenNorm($C33,OFFSET(srt!$C$1,$D33+COLUMN()-7,0))</f>
        <v>0</v>
      </c>
      <c r="I33">
        <f ca="1">PrefixLenNorm($C33,OFFSET(srt!$C$1,$D33+COLUMN()-7,0))</f>
        <v>0</v>
      </c>
      <c r="J33">
        <f ca="1">PrefixLenNorm($C33,OFFSET(srt!$C$1,$D33+COLUMN()-7,0))</f>
        <v>15</v>
      </c>
      <c r="K33">
        <f ca="1">PrefixLenNorm($C33,OFFSET(srt!$C$1,$D33+COLUMN()-7,0))</f>
        <v>0</v>
      </c>
      <c r="L33">
        <f ca="1">PrefixLenNorm($C33,OFFSET(srt!$C$1,$D33+COLUMN()-7,0))</f>
        <v>0</v>
      </c>
      <c r="M33">
        <f ca="1">PrefixLenNorm($C33,OFFSET(srt!$C$1,$D33+COLUMN()-7,0))</f>
        <v>0</v>
      </c>
      <c r="N33">
        <f ca="1">PrefixLenNorm($C33,OFFSET(srt!$C$1,$D33+COLUMN()-7,0))</f>
        <v>0</v>
      </c>
      <c r="O33" s="1" t="str">
        <f ca="1">SUBSTITUTE(OFFSET(srt!$D$1,D34-1,0),",",".")</f>
        <v>00:05:15.200</v>
      </c>
      <c r="P33" s="1" t="str">
        <f ca="1">SUBSTITUTE(OFFSET(srt!$E$1,D35-2,0),",",".")</f>
        <v>00:05:20.560</v>
      </c>
      <c r="Q33" s="20">
        <f t="shared" ca="1" si="3"/>
        <v>1.7592592592592486E-5</v>
      </c>
      <c r="R33" s="20">
        <f t="shared" si="4"/>
        <v>3.3564814814814829E-5</v>
      </c>
      <c r="S33" s="20">
        <f t="shared" ca="1" si="5"/>
        <v>7.9629629629629581E-5</v>
      </c>
      <c r="T33" s="21">
        <f t="shared" ca="1" si="6"/>
        <v>3.9799999999999947</v>
      </c>
      <c r="U33" s="22" t="s">
        <v>754</v>
      </c>
    </row>
    <row r="34" spans="1:21" x14ac:dyDescent="0.3">
      <c r="A34" t="s">
        <v>551</v>
      </c>
      <c r="B34" s="1" t="str">
        <f t="shared" si="0"/>
        <v>00:03:48.167</v>
      </c>
      <c r="C34" t="str">
        <f t="shared" si="1"/>
        <v>即后一行的翻转是前一行左中右和上上行叠加后的翻转。</v>
      </c>
      <c r="D34">
        <f t="shared" ca="1" si="7"/>
        <v>91</v>
      </c>
      <c r="E34">
        <f t="shared" ca="1" si="2"/>
        <v>3</v>
      </c>
      <c r="F34" t="str">
        <f ca="1">OFFSET(srt!$C$1,D35-1,0)</f>
        <v>即后一行的翻转是前一行左中右和上上行叠加后的翻转，</v>
      </c>
      <c r="G34">
        <f ca="1">PrefixLenNorm($C34,OFFSET(srt!$C$1,$D34+COLUMN()-7,0))</f>
        <v>0</v>
      </c>
      <c r="H34">
        <f ca="1">PrefixLenNorm($C34,OFFSET(srt!$C$1,$D34+COLUMN()-7,0))</f>
        <v>0</v>
      </c>
      <c r="I34">
        <f ca="1">PrefixLenNorm($C34,OFFSET(srt!$C$1,$D34+COLUMN()-7,0))</f>
        <v>24</v>
      </c>
      <c r="J34">
        <f ca="1">PrefixLenNorm($C34,OFFSET(srt!$C$1,$D34+COLUMN()-7,0))</f>
        <v>0</v>
      </c>
      <c r="K34">
        <f ca="1">PrefixLenNorm($C34,OFFSET(srt!$C$1,$D34+COLUMN()-7,0))</f>
        <v>0</v>
      </c>
      <c r="L34">
        <f ca="1">PrefixLenNorm($C34,OFFSET(srt!$C$1,$D34+COLUMN()-7,0))</f>
        <v>0</v>
      </c>
      <c r="M34">
        <f ca="1">PrefixLenNorm($C34,OFFSET(srt!$C$1,$D34+COLUMN()-7,0))</f>
        <v>0</v>
      </c>
      <c r="N34">
        <f ca="1">PrefixLenNorm($C34,OFFSET(srt!$C$1,$D34+COLUMN()-7,0))</f>
        <v>0</v>
      </c>
      <c r="O34" s="1" t="str">
        <f ca="1">SUBSTITUTE(OFFSET(srt!$D$1,D35-1,0),",",".")</f>
        <v>00:05:22.080</v>
      </c>
      <c r="P34" s="1" t="str">
        <f ca="1">SUBSTITUTE(OFFSET(srt!$E$1,D36-2,0),",",".")</f>
        <v>00:05:28.560</v>
      </c>
      <c r="Q34" s="20">
        <f t="shared" ca="1" si="3"/>
        <v>0</v>
      </c>
      <c r="R34" s="20">
        <f t="shared" si="4"/>
        <v>4.3981481481481215E-5</v>
      </c>
      <c r="S34" s="20">
        <f t="shared" ca="1" si="5"/>
        <v>7.499999999999998E-5</v>
      </c>
      <c r="T34" s="21">
        <f t="shared" ca="1" si="6"/>
        <v>2.680000000000021</v>
      </c>
      <c r="U34" s="22" t="s">
        <v>755</v>
      </c>
    </row>
    <row r="35" spans="1:21" x14ac:dyDescent="0.3">
      <c r="A35" t="s">
        <v>552</v>
      </c>
      <c r="B35" s="1" t="str">
        <f t="shared" si="0"/>
        <v>00:03:51.967</v>
      </c>
      <c r="C35" t="str">
        <f t="shared" si="1"/>
        <v>可以注意到，这里的公式Y和公式B的推导公式是类似的。只不过，Y是从零向量开始推导的，并且不能省略翻转符号¬。</v>
      </c>
      <c r="D35">
        <f t="shared" ca="1" si="7"/>
        <v>94</v>
      </c>
      <c r="E35">
        <f t="shared" ca="1" si="2"/>
        <v>1</v>
      </c>
      <c r="F35" t="str">
        <f ca="1">OFFSET(srt!$C$1,D36-1,0)</f>
        <v>可以注意到这里的公式Y和公式B的推导公式是类似的，</v>
      </c>
      <c r="G35">
        <f ca="1">PrefixLenNorm($C35,OFFSET(srt!$C$1,$D35+COLUMN()-7,0))</f>
        <v>24</v>
      </c>
      <c r="H35">
        <f ca="1">PrefixLenNorm($C35,OFFSET(srt!$C$1,$D35+COLUMN()-7,0))</f>
        <v>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1" t="str">
        <f ca="1">SUBSTITUTE(OFFSET(srt!$D$1,D36-1,0),",",".")</f>
        <v>00:05:28.560</v>
      </c>
      <c r="P35" s="1" t="str">
        <f ca="1">SUBSTITUTE(OFFSET(srt!$E$1,D37-2,0),",",".")</f>
        <v>00:05:38.720</v>
      </c>
      <c r="Q35" s="20">
        <f t="shared" ca="1" si="3"/>
        <v>2.0370370370370247E-5</v>
      </c>
      <c r="R35" s="20">
        <f t="shared" si="4"/>
        <v>3.0092592592592844E-5</v>
      </c>
      <c r="S35" s="20">
        <f t="shared" ca="1" si="5"/>
        <v>1.3796296296296343E-4</v>
      </c>
      <c r="T35" s="21">
        <f t="shared" ca="1" si="6"/>
        <v>9.320000000000018</v>
      </c>
      <c r="U35" s="22" t="s">
        <v>756</v>
      </c>
    </row>
    <row r="36" spans="1:21" x14ac:dyDescent="0.3">
      <c r="A36" t="s">
        <v>553</v>
      </c>
      <c r="B36" s="1" t="str">
        <f t="shared" si="0"/>
        <v>00:03:54.567</v>
      </c>
      <c r="C36" t="str">
        <f t="shared" si="1"/>
        <v>1. 使用零向量：第一次翻转发生在从一到二行的推导过程中，在此之前没有发生过翻转，因此Y的第一行是全零。</v>
      </c>
      <c r="D36">
        <f t="shared" ca="1" si="7"/>
        <v>95</v>
      </c>
      <c r="E36">
        <f t="shared" ca="1" si="2"/>
        <v>3</v>
      </c>
      <c r="F36" t="str">
        <f ca="1">OFFSET(srt!$C$1,D37-1,0)</f>
        <v>一使用零向量，</v>
      </c>
      <c r="G36">
        <f ca="1">PrefixLenNorm($C36,OFFSET(srt!$C$1,$D36+COLUMN()-7,0))</f>
        <v>0</v>
      </c>
      <c r="H36">
        <f ca="1">PrefixLenNorm($C36,OFFSET(srt!$C$1,$D36+COLUMN()-7,0))</f>
        <v>0</v>
      </c>
      <c r="I36">
        <f ca="1">PrefixLenNorm($C36,OFFSET(srt!$C$1,$D36+COLUMN()-7,0))</f>
        <v>6</v>
      </c>
      <c r="J36">
        <f ca="1">PrefixLenNorm($C36,OFFSET(srt!$C$1,$D36+COLUMN()-7,0))</f>
        <v>1</v>
      </c>
      <c r="K36">
        <f ca="1">PrefixLenNorm($C36,OFFSET(srt!$C$1,$D36+COLUMN()-7,0))</f>
        <v>0</v>
      </c>
      <c r="L36">
        <f ca="1">PrefixLenNorm($C36,OFFSET(srt!$C$1,$D36+COLUMN()-7,0))</f>
        <v>0</v>
      </c>
      <c r="M36">
        <f ca="1">PrefixLenNorm($C36,OFFSET(srt!$C$1,$D36+COLUMN()-7,0))</f>
        <v>0</v>
      </c>
      <c r="N36">
        <f ca="1">PrefixLenNorm($C36,OFFSET(srt!$C$1,$D36+COLUMN()-7,0))</f>
        <v>0</v>
      </c>
      <c r="O36" s="1" t="str">
        <f ca="1">SUBSTITUTE(OFFSET(srt!$D$1,D37-1,0),",",".")</f>
        <v>00:05:40.480</v>
      </c>
      <c r="P36" s="1" t="str">
        <f ca="1">SUBSTITUTE(OFFSET(srt!$E$1,D38-2,0),",",".")</f>
        <v>00:05:52.240</v>
      </c>
      <c r="Q36" s="20">
        <f t="shared" ca="1" si="3"/>
        <v>0</v>
      </c>
      <c r="R36" s="20">
        <f t="shared" si="4"/>
        <v>4.7453703703703633E-5</v>
      </c>
      <c r="S36" s="20">
        <f t="shared" ca="1" si="5"/>
        <v>1.3611111111111115E-4</v>
      </c>
      <c r="T36" s="21">
        <f t="shared" ca="1" si="6"/>
        <v>7.6600000000000099</v>
      </c>
      <c r="U36" s="22" t="s">
        <v>757</v>
      </c>
    </row>
    <row r="37" spans="1:21" x14ac:dyDescent="0.3">
      <c r="A37" t="s">
        <v>554</v>
      </c>
      <c r="B37" s="1" t="str">
        <f t="shared" si="0"/>
        <v>00:03:58.667</v>
      </c>
      <c r="C37" t="str">
        <f t="shared" si="1"/>
        <v>2. 翻转符号¬必须存在：每次推导都需要翻转，因此不可省略。而前者将这个翻转取出来了，因此不用翻转符号¬。</v>
      </c>
      <c r="D37">
        <f t="shared" ca="1" si="7"/>
        <v>98</v>
      </c>
      <c r="E37">
        <f t="shared" ca="1" si="2"/>
        <v>4</v>
      </c>
      <c r="F37" t="str">
        <f ca="1">OFFSET(srt!$C$1,D38-1,0)</f>
        <v>二翻转符号非必须存在，</v>
      </c>
      <c r="G37">
        <f ca="1">PrefixLenNorm($C37,OFFSET(srt!$C$1,$D37+COLUMN()-7,0))</f>
        <v>0</v>
      </c>
      <c r="H37">
        <f ca="1">PrefixLenNorm($C37,OFFSET(srt!$C$1,$D37+COLUMN()-7,0))</f>
        <v>0</v>
      </c>
      <c r="I37">
        <f ca="1">PrefixLenNorm($C37,OFFSET(srt!$C$1,$D37+COLUMN()-7,0))</f>
        <v>0</v>
      </c>
      <c r="J37">
        <f ca="1">PrefixLenNorm($C37,OFFSET(srt!$C$1,$D37+COLUMN()-7,0))</f>
        <v>5</v>
      </c>
      <c r="K37">
        <f ca="1">PrefixLenNorm($C37,OFFSET(srt!$C$1,$D37+COLUMN()-7,0))</f>
        <v>0</v>
      </c>
      <c r="L37">
        <f ca="1">PrefixLenNorm($C37,OFFSET(srt!$C$1,$D37+COLUMN()-7,0))</f>
        <v>0</v>
      </c>
      <c r="M37">
        <f ca="1">PrefixLenNorm($C37,OFFSET(srt!$C$1,$D37+COLUMN()-7,0))</f>
        <v>0</v>
      </c>
      <c r="N37">
        <f ca="1">PrefixLenNorm($C37,OFFSET(srt!$C$1,$D37+COLUMN()-7,0))</f>
        <v>0</v>
      </c>
      <c r="O37" s="1" t="str">
        <f ca="1">SUBSTITUTE(OFFSET(srt!$D$1,D38-1,0),",",".")</f>
        <v>00:05:52.240</v>
      </c>
      <c r="P37" s="1" t="str">
        <f ca="1">SUBSTITUTE(OFFSET(srt!$E$1,D39-2,0),",",".")</f>
        <v>00:06:02.680</v>
      </c>
      <c r="Q37" s="20">
        <f t="shared" ca="1" si="3"/>
        <v>2.0833333333333641E-5</v>
      </c>
      <c r="R37" s="20">
        <f t="shared" si="4"/>
        <v>3.0092592592592411E-5</v>
      </c>
      <c r="S37" s="20">
        <f t="shared" ca="1" si="5"/>
        <v>1.4166666666666668E-4</v>
      </c>
      <c r="T37" s="21">
        <f t="shared" ca="1" si="6"/>
        <v>9.6400000000000166</v>
      </c>
      <c r="U37" s="22" t="s">
        <v>758</v>
      </c>
    </row>
    <row r="38" spans="1:21" x14ac:dyDescent="0.3">
      <c r="A38" t="s">
        <v>555</v>
      </c>
      <c r="B38" s="1" t="str">
        <f t="shared" si="0"/>
        <v>00:04:01.267</v>
      </c>
      <c r="C38" t="str">
        <f t="shared" si="1"/>
        <v>3. 不使用x而使用y：翻转是前面所有按钮的翻转叠加后提取出来的，代表的是灯的翻转，而不是某个按钮的翻转。</v>
      </c>
      <c r="D38">
        <f t="shared" ca="1" si="7"/>
        <v>102</v>
      </c>
      <c r="E38">
        <f t="shared" ca="1" si="2"/>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1" t="str">
        <f ca="1">SUBSTITUTE(OFFSET(srt!$D$1,D39-1,0),",",".")</f>
        <v>00:06:04.480</v>
      </c>
      <c r="P38" s="1" t="str">
        <f ca="1">SUBSTITUTE(OFFSET(srt!$E$1,D40-2,0),",",".")</f>
        <v>00:06:16.040</v>
      </c>
      <c r="Q38" s="20">
        <f t="shared" ca="1" si="3"/>
        <v>0</v>
      </c>
      <c r="R38" s="20">
        <f t="shared" si="4"/>
        <v>8.8344907407407643E-5</v>
      </c>
      <c r="S38" s="20">
        <f t="shared" ca="1" si="5"/>
        <v>1.3379629629629592E-4</v>
      </c>
      <c r="T38" s="21">
        <f t="shared" ca="1" si="6"/>
        <v>3.9269999999999472</v>
      </c>
      <c r="U38" s="22" t="s">
        <v>759</v>
      </c>
    </row>
    <row r="39" spans="1:21" x14ac:dyDescent="0.3">
      <c r="A39" t="s">
        <v>556</v>
      </c>
      <c r="B39" s="1" t="str">
        <f t="shared" si="0"/>
        <v>00:04:08.900</v>
      </c>
      <c r="C39" t="str">
        <f t="shared" si="1"/>
        <v>事实上，按钮矩阵也可以用另一种更直观的方法推得。</v>
      </c>
      <c r="D39">
        <f t="shared" ca="1" si="7"/>
        <v>107</v>
      </c>
      <c r="E39">
        <f t="shared" ca="1" si="2"/>
        <v>4</v>
      </c>
      <c r="F39" t="str">
        <f ca="1">OFFSET(srt!$C$1,D40-1,0)</f>
        <v>事实上，</v>
      </c>
      <c r="G39">
        <f ca="1">PrefixLenNorm($C39,OFFSET(srt!$C$1,$D39+COLUMN()-7,0))</f>
        <v>0</v>
      </c>
      <c r="H39">
        <f ca="1">PrefixLenNorm($C39,OFFSET(srt!$C$1,$D39+COLUMN()-7,0))</f>
        <v>0</v>
      </c>
      <c r="I39">
        <f ca="1">PrefixLenNorm($C39,OFFSET(srt!$C$1,$D39+COLUMN()-7,0))</f>
        <v>0</v>
      </c>
      <c r="J39">
        <f ca="1">PrefixLenNorm($C39,OFFSET(srt!$C$1,$D39+COLUMN()-7,0))</f>
        <v>3</v>
      </c>
      <c r="K39">
        <f ca="1">PrefixLenNorm($C39,OFFSET(srt!$C$1,$D39+COLUMN()-7,0))</f>
        <v>0</v>
      </c>
      <c r="L39">
        <f ca="1">PrefixLenNorm($C39,OFFSET(srt!$C$1,$D39+COLUMN()-7,0))</f>
        <v>0</v>
      </c>
      <c r="M39">
        <f ca="1">PrefixLenNorm($C39,OFFSET(srt!$C$1,$D39+COLUMN()-7,0))</f>
        <v>0</v>
      </c>
      <c r="N39">
        <f ca="1">PrefixLenNorm($C39,OFFSET(srt!$C$1,$D39+COLUMN()-7,0))</f>
        <v>0</v>
      </c>
      <c r="O39" s="1" t="str">
        <f ca="1">SUBSTITUTE(OFFSET(srt!$D$1,D40-1,0),",",".")</f>
        <v>00:06:16.040</v>
      </c>
      <c r="P39" s="1" t="str">
        <f ca="1">SUBSTITUTE(OFFSET(srt!$E$1,D41-2,0),",",".")</f>
        <v>00:06:20.200</v>
      </c>
      <c r="Q39" s="20">
        <f t="shared" ca="1" si="3"/>
        <v>1.8981481481480933E-5</v>
      </c>
      <c r="R39" s="20">
        <f t="shared" si="4"/>
        <v>3.0092592592592411E-5</v>
      </c>
      <c r="S39" s="20">
        <f t="shared" ca="1" si="5"/>
        <v>6.712962962962879E-5</v>
      </c>
      <c r="T39" s="21">
        <f t="shared" ca="1" si="6"/>
        <v>3.1999999999999433</v>
      </c>
      <c r="U39" s="22" t="s">
        <v>760</v>
      </c>
    </row>
    <row r="40" spans="1:21" x14ac:dyDescent="0.3">
      <c r="A40" t="s">
        <v>557</v>
      </c>
      <c r="B40" s="1" t="str">
        <f t="shared" si="0"/>
        <v>00:04:11.500</v>
      </c>
      <c r="C40" t="str">
        <f t="shared" si="1"/>
        <v>首先，在第一个矩阵中，我们点击第一行第一个按钮。然后，点击第二行的按钮，尽量消去第一行的灯。</v>
      </c>
      <c r="D40">
        <f t="shared" ca="1" si="7"/>
        <v>111</v>
      </c>
      <c r="E40">
        <f t="shared" ca="1" si="2"/>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1" t="str">
        <f ca="1">SUBSTITUTE(OFFSET(srt!$D$1,D41-1,0),",",".")</f>
        <v>00:06:21.840</v>
      </c>
      <c r="P40" s="1" t="str">
        <f ca="1">SUBSTITUTE(OFFSET(srt!$E$1,D42-2,0),",",".")</f>
        <v>00:06:31.680</v>
      </c>
      <c r="Q40" s="20">
        <f t="shared" ca="1" si="3"/>
        <v>0</v>
      </c>
      <c r="R40" s="20">
        <f t="shared" si="4"/>
        <v>8.1018518518518462E-5</v>
      </c>
      <c r="S40" s="20">
        <f t="shared" ca="1" si="5"/>
        <v>1.1388888888888993E-4</v>
      </c>
      <c r="T40" s="21">
        <f t="shared" ca="1" si="6"/>
        <v>2.8400000000000953</v>
      </c>
      <c r="U40" s="22" t="s">
        <v>761</v>
      </c>
    </row>
    <row r="41" spans="1:21" x14ac:dyDescent="0.3">
      <c r="A41" t="s">
        <v>558</v>
      </c>
      <c r="B41" s="1" t="str">
        <f t="shared" si="0"/>
        <v>00:04:18.500</v>
      </c>
      <c r="C41" t="str">
        <f t="shared" si="1"/>
        <v>接着按第三行按钮，消去第二行的灯。不断递推，直到最后一行。</v>
      </c>
      <c r="D41">
        <f t="shared" ca="1" si="7"/>
        <v>113</v>
      </c>
      <c r="E41">
        <f t="shared" ca="1" si="2"/>
        <v>5</v>
      </c>
      <c r="F41" t="str">
        <f ca="1">OFFSET(srt!$C$1,D42-1,0)</f>
        <v>接着按第三行按钮，</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8</v>
      </c>
      <c r="L41">
        <f ca="1">PrefixLenNorm($C41,OFFSET(srt!$C$1,$D41+COLUMN()-7,0))</f>
        <v>0</v>
      </c>
      <c r="M41">
        <f ca="1">PrefixLenNorm($C41,OFFSET(srt!$C$1,$D41+COLUMN()-7,0))</f>
        <v>0</v>
      </c>
      <c r="N41">
        <f ca="1">PrefixLenNorm($C41,OFFSET(srt!$C$1,$D41+COLUMN()-7,0))</f>
        <v>0</v>
      </c>
      <c r="O41" s="1" t="str">
        <f ca="1">SUBSTITUTE(OFFSET(srt!$D$1,D42-1,0),",",".")</f>
        <v>00:06:31.680</v>
      </c>
      <c r="P41" s="1" t="str">
        <f ca="1">SUBSTITUTE(OFFSET(srt!$E$1,D43-2,0),",",".")</f>
        <v>00:06:37.200</v>
      </c>
      <c r="Q41" s="20">
        <f t="shared" ca="1" si="3"/>
        <v>1.7592592592593354E-5</v>
      </c>
      <c r="R41" s="20">
        <f t="shared" si="4"/>
        <v>8.5648148148148064E-5</v>
      </c>
      <c r="S41" s="20">
        <f t="shared" ca="1" si="5"/>
        <v>8.1481481481481856E-5</v>
      </c>
      <c r="T41" s="21">
        <f t="shared" ca="1" si="6"/>
        <v>-0.35999999999996035</v>
      </c>
      <c r="U41" s="22" t="s">
        <v>762</v>
      </c>
    </row>
    <row r="42" spans="1:21" x14ac:dyDescent="0.3">
      <c r="A42" t="s">
        <v>559</v>
      </c>
      <c r="B42" s="1" t="str">
        <f t="shared" si="0"/>
        <v>00:04:25.900</v>
      </c>
      <c r="C42" t="str">
        <f t="shared" si="1"/>
        <v>最终，最后一行按钮和灯的状态，和前面推得的矩阵是一样的。</v>
      </c>
      <c r="D42">
        <f t="shared" ca="1" si="7"/>
        <v>118</v>
      </c>
      <c r="E42">
        <f t="shared" ca="1" si="2"/>
        <v>4</v>
      </c>
      <c r="F42" t="str">
        <f ca="1">OFFSET(srt!$C$1,D43-1,0)</f>
        <v>最终最后一行按钮和灯的状态和前面推得的矩阵是一样的，</v>
      </c>
      <c r="G42">
        <f ca="1">PrefixLenNorm($C42,OFFSET(srt!$C$1,$D42+COLUMN()-7,0))</f>
        <v>0</v>
      </c>
      <c r="H42">
        <f ca="1">PrefixLenNorm($C42,OFFSET(srt!$C$1,$D42+COLUMN()-7,0))</f>
        <v>0</v>
      </c>
      <c r="I42">
        <f ca="1">PrefixLenNorm($C42,OFFSET(srt!$C$1,$D42+COLUMN()-7,0))</f>
        <v>0</v>
      </c>
      <c r="J42">
        <f ca="1">PrefixLenNorm($C42,OFFSET(srt!$C$1,$D42+COLUMN()-7,0))</f>
        <v>25</v>
      </c>
      <c r="K42">
        <f ca="1">PrefixLenNorm($C42,OFFSET(srt!$C$1,$D42+COLUMN()-7,0))</f>
        <v>0</v>
      </c>
      <c r="L42">
        <f ca="1">PrefixLenNorm($C42,OFFSET(srt!$C$1,$D42+COLUMN()-7,0))</f>
        <v>0</v>
      </c>
      <c r="M42">
        <f ca="1">PrefixLenNorm($C42,OFFSET(srt!$C$1,$D42+COLUMN()-7,0))</f>
        <v>0</v>
      </c>
      <c r="N42">
        <f ca="1">PrefixLenNorm($C42,OFFSET(srt!$C$1,$D42+COLUMN()-7,0))</f>
        <v>0</v>
      </c>
      <c r="O42" s="1" t="str">
        <f ca="1">SUBSTITUTE(OFFSET(srt!$D$1,D43-1,0),",",".")</f>
        <v>00:06:38.720</v>
      </c>
      <c r="P42" s="1" t="str">
        <f ca="1">SUBSTITUTE(OFFSET(srt!$E$1,D44-2,0),",",".")</f>
        <v>00:06:45.240</v>
      </c>
      <c r="Q42" s="20">
        <f t="shared" ca="1" si="3"/>
        <v>0</v>
      </c>
      <c r="R42" s="20">
        <f t="shared" si="4"/>
        <v>3.703703703703768E-5</v>
      </c>
      <c r="S42" s="20">
        <f t="shared" ca="1" si="5"/>
        <v>7.5462962962962073E-5</v>
      </c>
      <c r="T42" s="21">
        <f t="shared" ca="1" si="6"/>
        <v>3.3199999999998675</v>
      </c>
      <c r="U42" s="22" t="s">
        <v>763</v>
      </c>
    </row>
    <row r="43" spans="1:21" x14ac:dyDescent="0.3">
      <c r="A43" t="s">
        <v>560</v>
      </c>
      <c r="B43" s="1" t="str">
        <f t="shared" si="0"/>
        <v>00:04:29.100</v>
      </c>
      <c r="C43" t="str">
        <f t="shared" si="1"/>
        <v>同样，在第二个矩阵点击第一行第二个按钮，然后递推，也可以得到第二个矩阵最后一行按钮和灯的状态。</v>
      </c>
      <c r="D43">
        <f t="shared" ca="1" si="7"/>
        <v>122</v>
      </c>
      <c r="E43">
        <f t="shared" ca="1" si="2"/>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1" t="str">
        <f ca="1">SUBSTITUTE(OFFSET(srt!$D$1,D44-1,0),",",".")</f>
        <v>00:06:45.240</v>
      </c>
      <c r="P43" s="1" t="str">
        <f ca="1">SUBSTITUTE(OFFSET(srt!$E$1,D45-2,0),",",".")</f>
        <v>00:06:53.640</v>
      </c>
      <c r="Q43" s="20">
        <f t="shared" ca="1" si="3"/>
        <v>1.712962962962996E-5</v>
      </c>
      <c r="R43" s="20">
        <f t="shared" si="4"/>
        <v>7.1759259259258825E-5</v>
      </c>
      <c r="S43" s="20">
        <f t="shared" ca="1" si="5"/>
        <v>1.1435185185185246E-4</v>
      </c>
      <c r="T43" s="21">
        <f t="shared" ca="1" si="6"/>
        <v>3.6800000000000903</v>
      </c>
      <c r="U43" s="22" t="s">
        <v>764</v>
      </c>
    </row>
    <row r="44" spans="1:21" x14ac:dyDescent="0.3">
      <c r="A44" t="s">
        <v>561</v>
      </c>
      <c r="B44" s="1" t="str">
        <f t="shared" si="0"/>
        <v>00:04:35.300</v>
      </c>
      <c r="C44" t="str">
        <f t="shared" si="1"/>
        <v>通过这个方法，我们可以得到所有矩阵最后一行的状态。</v>
      </c>
      <c r="D44">
        <f t="shared" ca="1" si="7"/>
        <v>123</v>
      </c>
      <c r="E44">
        <f t="shared" ca="1" si="2"/>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1" t="str">
        <f ca="1">SUBSTITUTE(OFFSET(srt!$D$1,D45-1,0),",",".")</f>
        <v>00:06:55.120</v>
      </c>
      <c r="P44" s="1" t="str">
        <f ca="1">SUBSTITUTE(OFFSET(srt!$E$1,D46-2,0),",",".")</f>
        <v>00:07:00.800</v>
      </c>
      <c r="Q44" s="20">
        <f t="shared" ca="1" si="3"/>
        <v>0</v>
      </c>
      <c r="R44" s="20">
        <f t="shared" si="4"/>
        <v>8.6030092592592408E-5</v>
      </c>
      <c r="S44" s="20">
        <f t="shared" ca="1" si="5"/>
        <v>6.5740740740740343E-5</v>
      </c>
      <c r="T44" s="21">
        <f t="shared" ca="1" si="6"/>
        <v>-1.7530000000000183</v>
      </c>
      <c r="U44" s="22" t="s">
        <v>765</v>
      </c>
    </row>
    <row r="45" spans="1:21" x14ac:dyDescent="0.3">
      <c r="A45" t="s">
        <v>562</v>
      </c>
      <c r="B45" s="1" t="str">
        <f t="shared" si="0"/>
        <v>00:04:42.733</v>
      </c>
      <c r="C45" t="str">
        <f t="shared" si="1"/>
        <v>另外，翻转向量也可以用相似的方法推得。</v>
      </c>
      <c r="D45">
        <f t="shared" ca="1" si="7"/>
        <v>125</v>
      </c>
      <c r="E45">
        <f t="shared" ca="1" si="2"/>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1" t="str">
        <f ca="1">SUBSTITUTE(OFFSET(srt!$D$1,D46-1,0),",",".")</f>
        <v>00:07:00.800</v>
      </c>
      <c r="P45" s="1" t="str">
        <f ca="1">SUBSTITUTE(OFFSET(srt!$E$1,D47-2,0),",",".")</f>
        <v>00:07:04.040</v>
      </c>
      <c r="Q45" s="20">
        <f t="shared" ca="1" si="3"/>
        <v>1.8981481481480933E-5</v>
      </c>
      <c r="R45" s="20">
        <f t="shared" si="4"/>
        <v>3.0092592592592411E-5</v>
      </c>
      <c r="S45" s="20">
        <f t="shared" ca="1" si="5"/>
        <v>5.648148148148114E-5</v>
      </c>
      <c r="T45" s="21">
        <f t="shared" ca="1" si="6"/>
        <v>2.279999999999986</v>
      </c>
      <c r="U45" s="22" t="s">
        <v>766</v>
      </c>
    </row>
    <row r="46" spans="1:21" x14ac:dyDescent="0.3">
      <c r="A46" t="s">
        <v>563</v>
      </c>
      <c r="B46" s="1" t="str">
        <f t="shared" si="0"/>
        <v>00:04:45.333</v>
      </c>
      <c r="C46" t="str">
        <f t="shared" si="1"/>
        <v>我们把所有灯全部点亮，然后用刚才的方法尝试把所有灯消去，同样可以得到翻转向量最后一行的状态。</v>
      </c>
      <c r="D46">
        <f t="shared" ca="1" si="7"/>
        <v>127</v>
      </c>
      <c r="E46">
        <f t="shared" ca="1" si="2"/>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1" t="str">
        <f ca="1">SUBSTITUTE(OFFSET(srt!$D$1,D47-1,0),",",".")</f>
        <v>00:07:05.680</v>
      </c>
      <c r="P46" s="1" t="str">
        <f ca="1">SUBSTITUTE(OFFSET(srt!$E$1,D48-2,0),",",".")</f>
        <v>00:07:15.560</v>
      </c>
      <c r="Q46" s="20">
        <f t="shared" ca="1" si="3"/>
        <v>0</v>
      </c>
      <c r="R46" s="20">
        <f t="shared" si="4"/>
        <v>1.1613425925925984E-4</v>
      </c>
      <c r="S46" s="20">
        <f t="shared" ca="1" si="5"/>
        <v>1.1435185185185246E-4</v>
      </c>
      <c r="T46" s="21">
        <f t="shared" ca="1" si="6"/>
        <v>-0.15399999999999719</v>
      </c>
      <c r="U46" s="22" t="s">
        <v>767</v>
      </c>
    </row>
    <row r="47" spans="1:21" x14ac:dyDescent="0.3">
      <c r="A47" t="s">
        <v>564</v>
      </c>
      <c r="B47" s="1" t="str">
        <f t="shared" si="0"/>
        <v>00:04:55.367</v>
      </c>
      <c r="C47" t="str">
        <f t="shared" si="1"/>
        <v>我们把这种方法称作余数矩阵法，和首行叠加法的原理本质上是相同的，有兴趣的小伙伴可以自行证明。</v>
      </c>
      <c r="D47">
        <f t="shared" ca="1" si="7"/>
        <v>129</v>
      </c>
      <c r="E47">
        <f t="shared" ca="1" si="2"/>
        <v>3</v>
      </c>
      <c r="F47" t="str">
        <f ca="1">OFFSET(srt!$C$1,D48-1,0)</f>
        <v>我们把这种方法称作余数矩阵法和首行叠加法的原理，</v>
      </c>
      <c r="G47">
        <f ca="1">PrefixLenNorm($C47,OFFSET(srt!$C$1,$D47+COLUMN()-7,0))</f>
        <v>0</v>
      </c>
      <c r="H47">
        <f ca="1">PrefixLenNorm($C47,OFFSET(srt!$C$1,$D47+COLUMN()-7,0))</f>
        <v>0</v>
      </c>
      <c r="I47">
        <f ca="1">PrefixLenNorm($C47,OFFSET(srt!$C$1,$D47+COLUMN()-7,0))</f>
        <v>23</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1" t="str">
        <f ca="1">SUBSTITUTE(OFFSET(srt!$D$1,D48-1,0),",",".")</f>
        <v>00:07:15.560</v>
      </c>
      <c r="P47" s="1" t="str">
        <f ca="1">SUBSTITUTE(OFFSET(srt!$E$1,D49-2,0),",",".")</f>
        <v>00:07:25.600</v>
      </c>
      <c r="Q47" s="20">
        <f t="shared" ca="1" si="3"/>
        <v>0</v>
      </c>
      <c r="R47" s="20">
        <f t="shared" si="4"/>
        <v>6.9444444444444458E-5</v>
      </c>
      <c r="S47" s="20">
        <f t="shared" ca="1" si="5"/>
        <v>1.1620370370370343E-4</v>
      </c>
      <c r="T47" s="21">
        <f t="shared" ca="1" si="6"/>
        <v>4.0399999999999752</v>
      </c>
      <c r="U47" s="22" t="s">
        <v>768</v>
      </c>
    </row>
    <row r="48" spans="1:21" x14ac:dyDescent="0.3">
      <c r="A48" t="s">
        <v>565</v>
      </c>
      <c r="B48" s="1" t="str">
        <f t="shared" si="0"/>
        <v>00:05:01.367</v>
      </c>
      <c r="C48" t="str">
        <f t="shared" si="1"/>
        <v>在《生成优化矩阵》章节中，我们将矩阵的行重排。其实是调换了n和y的位置，使原来从左到右的第y个矩阵变为了第n个矩阵。</v>
      </c>
      <c r="D48">
        <f t="shared" ca="1" si="7"/>
        <v>132</v>
      </c>
      <c r="E48">
        <f t="shared" ca="1" si="2"/>
        <v>3</v>
      </c>
      <c r="F48" t="str">
        <f ca="1">OFFSET(srt!$C$1,D49-1,0)</f>
        <v>在生成优化矩阵章节中，</v>
      </c>
      <c r="G48">
        <f ca="1">PrefixLenNorm($C48,OFFSET(srt!$C$1,$D48+COLUMN()-7,0))</f>
        <v>0</v>
      </c>
      <c r="H48">
        <f ca="1">PrefixLenNorm($C48,OFFSET(srt!$C$1,$D48+COLUMN()-7,0))</f>
        <v>0</v>
      </c>
      <c r="I48">
        <f ca="1">PrefixLenNorm($C48,OFFSET(srt!$C$1,$D48+COLUMN()-7,0))</f>
        <v>10</v>
      </c>
      <c r="J48">
        <f ca="1">PrefixLenNorm($C48,OFFSET(srt!$C$1,$D48+COLUMN()-7,0))</f>
        <v>0</v>
      </c>
      <c r="K48">
        <f ca="1">PrefixLenNorm($C48,OFFSET(srt!$C$1,$D48+COLUMN()-7,0))</f>
        <v>0</v>
      </c>
      <c r="L48">
        <f ca="1">PrefixLenNorm($C48,OFFSET(srt!$C$1,$D48+COLUMN()-7,0))</f>
        <v>0</v>
      </c>
      <c r="M48">
        <f ca="1">PrefixLenNorm($C48,OFFSET(srt!$C$1,$D48+COLUMN()-7,0))</f>
        <v>0</v>
      </c>
      <c r="N48">
        <f ca="1">PrefixLenNorm($C48,OFFSET(srt!$C$1,$D48+COLUMN()-7,0))</f>
        <v>0</v>
      </c>
      <c r="O48" s="1" t="str">
        <f ca="1">SUBSTITUTE(OFFSET(srt!$D$1,D49-1,0),",",".")</f>
        <v>00:07:25.600</v>
      </c>
      <c r="P48" s="1" t="str">
        <f ca="1">SUBSTITUTE(OFFSET(srt!$E$1,D50-2,0),",",".")</f>
        <v>00:07:36.360</v>
      </c>
      <c r="Q48" s="20">
        <f t="shared" ca="1" si="3"/>
        <v>1.8981481481480933E-5</v>
      </c>
      <c r="R48" s="20">
        <f t="shared" si="4"/>
        <v>1.3232638888888886E-4</v>
      </c>
      <c r="S48" s="20">
        <f t="shared" ca="1" si="5"/>
        <v>1.4351851851851852E-4</v>
      </c>
      <c r="T48" s="21">
        <f t="shared" ca="1" si="6"/>
        <v>0.96700000000000252</v>
      </c>
      <c r="U48" s="22" t="s">
        <v>769</v>
      </c>
    </row>
    <row r="49" spans="1:21" x14ac:dyDescent="0.3">
      <c r="A49" t="s">
        <v>566</v>
      </c>
      <c r="B49" s="1" t="str">
        <f t="shared" si="0"/>
        <v>00:05:12.800</v>
      </c>
      <c r="C49" t="str">
        <f t="shared" si="1"/>
        <v>这n个矩阵都满足十字偶校验约束，即上下左右四个格子叠加为零，因此这里的公式省去了n。</v>
      </c>
      <c r="D49">
        <f t="shared" ca="1" si="7"/>
        <v>135</v>
      </c>
      <c r="E49">
        <f t="shared" ca="1" si="2"/>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1" t="str">
        <f ca="1">SUBSTITUTE(OFFSET(srt!$D$1,D50-1,0),",",".")</f>
        <v>00:07:38.000</v>
      </c>
      <c r="P49" s="1" t="str">
        <f ca="1">SUBSTITUTE(OFFSET(srt!$E$1,D51-2,0),",",".")</f>
        <v>00:07:45.880</v>
      </c>
      <c r="Q49" s="20">
        <f t="shared" ca="1" si="3"/>
        <v>1.805555555555588E-5</v>
      </c>
      <c r="R49" s="20">
        <f t="shared" si="4"/>
        <v>3.3564814814814395E-5</v>
      </c>
      <c r="S49" s="20">
        <f t="shared" ca="1" si="5"/>
        <v>1.0925925925925947E-4</v>
      </c>
      <c r="T49" s="21">
        <f t="shared" ca="1" si="6"/>
        <v>6.5400000000000542</v>
      </c>
      <c r="U49" s="22" t="s">
        <v>770</v>
      </c>
    </row>
    <row r="50" spans="1:21" x14ac:dyDescent="0.3">
      <c r="A50" t="s">
        <v>567</v>
      </c>
      <c r="B50" s="1" t="str">
        <f t="shared" si="0"/>
        <v>00:05:15.700</v>
      </c>
      <c r="C50" t="str">
        <f t="shared" si="1"/>
        <v>这里和之前的情况是一样的，只不过n和y调换了，因此位置发生了变化。</v>
      </c>
      <c r="D50">
        <f t="shared" ca="1" si="7"/>
        <v>139</v>
      </c>
      <c r="E50">
        <f t="shared" ca="1" si="2"/>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1" t="str">
        <f ca="1">SUBSTITUTE(OFFSET(srt!$D$1,D51-1,0),",",".")</f>
        <v>00:07:47.440</v>
      </c>
      <c r="P50" s="1" t="str">
        <f ca="1">SUBSTITUTE(OFFSET(srt!$E$1,D52-2,0),",",".")</f>
        <v>00:07:53.280</v>
      </c>
      <c r="Q50" s="20">
        <f t="shared" ca="1" si="3"/>
        <v>1.6666666666667433E-5</v>
      </c>
      <c r="R50" s="20">
        <f t="shared" si="4"/>
        <v>4.3981481481481649E-5</v>
      </c>
      <c r="S50" s="20">
        <f t="shared" ca="1" si="5"/>
        <v>8.4259259259259617E-5</v>
      </c>
      <c r="T50" s="21">
        <f t="shared" ca="1" si="6"/>
        <v>3.4800000000000164</v>
      </c>
      <c r="U50" s="22" t="s">
        <v>771</v>
      </c>
    </row>
    <row r="51" spans="1:21" x14ac:dyDescent="0.3">
      <c r="A51" t="s">
        <v>568</v>
      </c>
      <c r="B51" s="1" t="str">
        <f t="shared" si="0"/>
        <v>00:05:19.500</v>
      </c>
      <c r="C51" t="str">
        <f t="shared" si="1"/>
        <v>这是一个十分重要的性质。使用这个性质，可以由第一个灯直接推导后面的灯。</v>
      </c>
      <c r="D51">
        <f t="shared" ca="1" si="7"/>
        <v>142</v>
      </c>
      <c r="E51">
        <f t="shared" ca="1" si="2"/>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1" t="str">
        <f ca="1">SUBSTITUTE(OFFSET(srt!$D$1,D52-1,0),",",".")</f>
        <v>00:07:54.720</v>
      </c>
      <c r="P51" s="1" t="str">
        <f ca="1">SUBSTITUTE(OFFSET(srt!$E$1,D53-2,0),",",".")</f>
        <v>00:08:00.680</v>
      </c>
      <c r="Q51" s="20">
        <f t="shared" ca="1" si="3"/>
        <v>1.7592592592592486E-5</v>
      </c>
      <c r="R51" s="20">
        <f t="shared" si="4"/>
        <v>3.0092592592592844E-5</v>
      </c>
      <c r="S51" s="20">
        <f t="shared" ca="1" si="5"/>
        <v>8.6574074074073117E-5</v>
      </c>
      <c r="T51" s="21">
        <f t="shared" ca="1" si="6"/>
        <v>4.879999999999896</v>
      </c>
      <c r="U51" s="22" t="s">
        <v>772</v>
      </c>
    </row>
    <row r="52" spans="1:21" x14ac:dyDescent="0.3">
      <c r="A52" t="s">
        <v>569</v>
      </c>
      <c r="B52" s="1" t="str">
        <f t="shared" si="0"/>
        <v>00:05:22.100</v>
      </c>
      <c r="C52" t="str">
        <f t="shared" si="1"/>
        <v>在之后的O(n²)算法中，其本质也是用这个性质进行的优化。</v>
      </c>
      <c r="D52">
        <f t="shared" ca="1" si="7"/>
        <v>145</v>
      </c>
      <c r="E52">
        <f t="shared" ca="1" si="2"/>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1" t="str">
        <f ca="1">SUBSTITUTE(OFFSET(srt!$D$1,D53-1,0),",",".")</f>
        <v>00:08:02.200</v>
      </c>
      <c r="P52" s="1" t="str">
        <f ca="1">SUBSTITUTE(OFFSET(srt!$E$1,D54-2,0),",",".")</f>
        <v>00:08:07.440</v>
      </c>
      <c r="Q52" s="20">
        <f t="shared" ca="1" si="3"/>
        <v>1.7592592592592486E-5</v>
      </c>
      <c r="R52" s="20">
        <f t="shared" si="4"/>
        <v>3.0092592592592411E-5</v>
      </c>
      <c r="S52" s="20">
        <f t="shared" ca="1" si="5"/>
        <v>7.8240740740740701E-5</v>
      </c>
      <c r="T52" s="21">
        <f t="shared" ca="1" si="6"/>
        <v>4.1600000000000126</v>
      </c>
      <c r="U52" s="22" t="s">
        <v>773</v>
      </c>
    </row>
    <row r="53" spans="1:21" x14ac:dyDescent="0.3">
      <c r="A53" t="s">
        <v>570</v>
      </c>
      <c r="B53" s="1" t="str">
        <f t="shared" si="0"/>
        <v>00:05:24.700</v>
      </c>
      <c r="C53" t="str">
        <f t="shared" si="1"/>
        <v>下面让我们用数学归纳法，证明这个性质。</v>
      </c>
      <c r="D53">
        <f t="shared" ca="1" si="7"/>
        <v>147</v>
      </c>
      <c r="E53">
        <f t="shared" ca="1" si="2"/>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1" t="str">
        <f ca="1">SUBSTITUTE(OFFSET(srt!$D$1,D54-1,0),",",".")</f>
        <v>00:08:08.960</v>
      </c>
      <c r="P53" s="1" t="str">
        <f ca="1">SUBSTITUTE(OFFSET(srt!$E$1,D55-2,0),",",".")</f>
        <v>00:08:12.360</v>
      </c>
      <c r="Q53" s="20">
        <f t="shared" ca="1" si="3"/>
        <v>1.712962962962996E-5</v>
      </c>
      <c r="R53" s="20">
        <f t="shared" si="4"/>
        <v>3.0092592592592844E-5</v>
      </c>
      <c r="S53" s="20">
        <f t="shared" ca="1" si="5"/>
        <v>5.6481481481482007E-5</v>
      </c>
      <c r="T53" s="21">
        <f t="shared" ca="1" si="6"/>
        <v>2.2800000000000238</v>
      </c>
      <c r="U53" s="22" t="s">
        <v>774</v>
      </c>
    </row>
    <row r="54" spans="1:21" x14ac:dyDescent="0.3">
      <c r="A54" t="s">
        <v>571</v>
      </c>
      <c r="B54" s="1" t="str">
        <f t="shared" si="0"/>
        <v>00:05:27.300</v>
      </c>
      <c r="C54" t="str">
        <f t="shared" si="1"/>
        <v>由于右边的按钮矩阵就是左边的灯矩阵，为了方便，我们就只看按钮矩阵。</v>
      </c>
      <c r="D54">
        <f t="shared" ca="1" si="7"/>
        <v>149</v>
      </c>
      <c r="E54">
        <f t="shared" ca="1" si="2"/>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1" t="str">
        <f ca="1">SUBSTITUTE(OFFSET(srt!$D$1,D55-1,0),",",".")</f>
        <v>00:08:13.840</v>
      </c>
      <c r="P54" s="1" t="str">
        <f ca="1">SUBSTITUTE(OFFSET(srt!$E$1,D56-2,0),",",".")</f>
        <v>00:08:21.680</v>
      </c>
      <c r="Q54" s="20">
        <f t="shared" ca="1" si="3"/>
        <v>0</v>
      </c>
      <c r="R54" s="20">
        <f t="shared" si="4"/>
        <v>3.7037037037036813E-5</v>
      </c>
      <c r="S54" s="20">
        <f t="shared" ca="1" si="5"/>
        <v>9.0740740740741059E-5</v>
      </c>
      <c r="T54" s="21">
        <f t="shared" ca="1" si="6"/>
        <v>4.6400000000000468</v>
      </c>
      <c r="U54" s="22" t="s">
        <v>775</v>
      </c>
    </row>
    <row r="55" spans="1:21" x14ac:dyDescent="0.3">
      <c r="A55" t="s">
        <v>572</v>
      </c>
      <c r="B55" s="1" t="str">
        <f t="shared" si="0"/>
        <v>00:05:30.500</v>
      </c>
      <c r="C55" t="str">
        <f t="shared" si="1"/>
        <v>首先，我们假定前两个矩阵B(n-1)和B(n-2)满足这个性质，现在来证明B(n)也满足这个性质。</v>
      </c>
      <c r="D55">
        <f t="shared" ca="1" si="7"/>
        <v>150</v>
      </c>
      <c r="E55">
        <f t="shared" ca="1" si="2"/>
        <v>2</v>
      </c>
      <c r="F55" t="str">
        <f ca="1">OFFSET(srt!$C$1,D56-1,0)</f>
        <v>首先我们假定前两个矩阵BN减1和BN减2满足这个性质，</v>
      </c>
      <c r="G55">
        <f ca="1">PrefixLenNorm($C55,OFFSET(srt!$C$1,$D55+COLUMN()-7,0))</f>
        <v>0</v>
      </c>
      <c r="H55">
        <f ca="1">PrefixLenNorm($C55,OFFSET(srt!$C$1,$D55+COLUMN()-7,0))</f>
        <v>13</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1" t="str">
        <f ca="1">SUBSTITUTE(OFFSET(srt!$D$1,D56-1,0),",",".")</f>
        <v>00:08:21.680</v>
      </c>
      <c r="P55" s="1" t="str">
        <f ca="1">SUBSTITUTE(OFFSET(srt!$E$1,D57-2,0),",",".")</f>
        <v>00:08:30.440</v>
      </c>
      <c r="Q55" s="20">
        <f t="shared" ca="1" si="3"/>
        <v>1.8055555555555013E-5</v>
      </c>
      <c r="R55" s="20">
        <f t="shared" si="4"/>
        <v>4.2824074074074032E-5</v>
      </c>
      <c r="S55" s="20">
        <f t="shared" ca="1" si="5"/>
        <v>1.1944444444444372E-4</v>
      </c>
      <c r="T55" s="21">
        <f t="shared" ca="1" si="6"/>
        <v>6.6199999999999415</v>
      </c>
      <c r="U55" s="22" t="s">
        <v>776</v>
      </c>
    </row>
    <row r="56" spans="1:21" x14ac:dyDescent="0.3">
      <c r="A56" t="s">
        <v>573</v>
      </c>
      <c r="B56" s="1" t="str">
        <f t="shared" si="0"/>
        <v>00:05:34.200</v>
      </c>
      <c r="C56" t="str">
        <f t="shared" si="1"/>
        <v>将刚才的矩阵递推关系加上参数y并重写。</v>
      </c>
      <c r="D56">
        <f t="shared" ca="1" si="7"/>
        <v>152</v>
      </c>
      <c r="E56">
        <f t="shared" ca="1" si="2"/>
        <v>2</v>
      </c>
      <c r="F56" t="str">
        <f ca="1">OFFSET(srt!$C$1,D57-1,0)</f>
        <v>将刚才的矩阵递推关系加上参数Y并重写。</v>
      </c>
      <c r="G56">
        <f ca="1">PrefixLenNorm($C56,OFFSET(srt!$C$1,$D56+COLUMN()-7,0))</f>
        <v>0</v>
      </c>
      <c r="H56">
        <f ca="1">PrefixLenNorm($C56,OFFSET(srt!$C$1,$D56+COLUMN()-7,0))</f>
        <v>18</v>
      </c>
      <c r="I56">
        <f ca="1">PrefixLenNorm($C56,OFFSET(srt!$C$1,$D56+COLUMN()-7,0))</f>
        <v>0</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1" t="str">
        <f ca="1">SUBSTITUTE(OFFSET(srt!$D$1,D57-1,0),",",".")</f>
        <v>00:08:32.000</v>
      </c>
      <c r="P56" s="1" t="str">
        <f ca="1">SUBSTITUTE(OFFSET(srt!$E$1,D58-2,0),",",".")</f>
        <v>00:08:37.160</v>
      </c>
      <c r="Q56" s="20">
        <f t="shared" ca="1" si="3"/>
        <v>0</v>
      </c>
      <c r="R56" s="20">
        <f t="shared" si="4"/>
        <v>5.0925925925926051E-5</v>
      </c>
      <c r="S56" s="20">
        <f t="shared" ca="1" si="5"/>
        <v>5.9722222222222295E-5</v>
      </c>
      <c r="T56" s="21">
        <f t="shared" ca="1" si="6"/>
        <v>0.75999999999999535</v>
      </c>
      <c r="U56" s="22" t="s">
        <v>777</v>
      </c>
    </row>
    <row r="57" spans="1:21" x14ac:dyDescent="0.3">
      <c r="A57" t="s">
        <v>574</v>
      </c>
      <c r="B57" s="1" t="str">
        <f t="shared" si="0"/>
        <v>00:05:38.600</v>
      </c>
      <c r="C57" t="str">
        <f t="shared" si="1"/>
        <v>对于B(n)，我们将式子竖着写成四项，然后将递推关系代入这个式子。</v>
      </c>
      <c r="D57">
        <f t="shared" ca="1" si="7"/>
        <v>154</v>
      </c>
      <c r="E57">
        <f t="shared" ca="1" si="2"/>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1" t="str">
        <f ca="1">SUBSTITUTE(OFFSET(srt!$D$1,D58-1,0),",",".")</f>
        <v>00:08:37.160</v>
      </c>
      <c r="P57" s="1" t="str">
        <f ca="1">SUBSTITUTE(OFFSET(srt!$E$1,D59-2,0),",",".")</f>
        <v>00:08:44.400</v>
      </c>
      <c r="Q57" s="20">
        <f t="shared" ca="1" si="3"/>
        <v>0</v>
      </c>
      <c r="R57" s="20">
        <f t="shared" si="4"/>
        <v>7.1759259259259259E-5</v>
      </c>
      <c r="S57" s="20">
        <f t="shared" ca="1" si="5"/>
        <v>8.3796296296296223E-5</v>
      </c>
      <c r="T57" s="21">
        <f t="shared" ca="1" si="6"/>
        <v>1.0399999999999938</v>
      </c>
      <c r="U57" s="22" t="s">
        <v>778</v>
      </c>
    </row>
    <row r="58" spans="1:21" x14ac:dyDescent="0.3">
      <c r="A58" t="s">
        <v>575</v>
      </c>
      <c r="B58" s="1" t="str">
        <f t="shared" si="0"/>
        <v>00:05:44.800</v>
      </c>
      <c r="C58" t="str">
        <f t="shared" si="1"/>
        <v>代入后的式子包含16项。现在重新排列项目顺序，将y和n调换，类似《优化生成矩阵》章节中的调换操作。</v>
      </c>
      <c r="D58">
        <f t="shared" ca="1" si="7"/>
        <v>155</v>
      </c>
      <c r="E58">
        <f t="shared" ca="1" si="2"/>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1" t="str">
        <f ca="1">SUBSTITUTE(OFFSET(srt!$D$1,D59-1,0),",",".")</f>
        <v>00:08:44.400</v>
      </c>
      <c r="P58" s="1" t="str">
        <f ca="1">SUBSTITUTE(OFFSET(srt!$E$1,D60-2,0),",",".")</f>
        <v>00:08:53.920</v>
      </c>
      <c r="Q58" s="20">
        <f t="shared" ca="1" si="3"/>
        <v>1.7592592592593354E-5</v>
      </c>
      <c r="R58" s="20">
        <f t="shared" si="4"/>
        <v>1.3425925925925845E-4</v>
      </c>
      <c r="S58" s="20">
        <f t="shared" ca="1" si="5"/>
        <v>1.2777777777777874E-4</v>
      </c>
      <c r="T58" s="21">
        <f t="shared" ca="1" si="6"/>
        <v>-0.55999999999984673</v>
      </c>
      <c r="U58" s="22" t="s">
        <v>779</v>
      </c>
    </row>
    <row r="59" spans="1:21" x14ac:dyDescent="0.3">
      <c r="A59" t="s">
        <v>576</v>
      </c>
      <c r="B59" s="1" t="str">
        <f t="shared" si="0"/>
        <v>00:05:56.400</v>
      </c>
      <c r="C59" t="str">
        <f t="shared" si="1"/>
        <v>不难发现，这四项属于B(n-1)或B(n-2)，并且元素之间的关系满足十字偶校验约束，因此整个式子化为了零。</v>
      </c>
      <c r="D59">
        <f t="shared" ca="1" si="7"/>
        <v>158</v>
      </c>
      <c r="E59">
        <f t="shared" ca="1" si="2"/>
        <v>3</v>
      </c>
      <c r="F59" t="str">
        <f ca="1">OFFSET(srt!$C$1,D60-1,0)</f>
        <v>不难发现这四项属于BN减1或BN减2。</v>
      </c>
      <c r="G59">
        <f ca="1">PrefixLenNorm($C59,OFFSET(srt!$C$1,$D59+COLUMN()-7,0))</f>
        <v>0</v>
      </c>
      <c r="H59">
        <f ca="1">PrefixLenNorm($C59,OFFSET(srt!$C$1,$D59+COLUMN()-7,0))</f>
        <v>0</v>
      </c>
      <c r="I59">
        <f ca="1">PrefixLenNorm($C59,OFFSET(srt!$C$1,$D59+COLUMN()-7,0))</f>
        <v>11</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1" t="str">
        <f ca="1">SUBSTITUTE(OFFSET(srt!$D$1,D60-1,0),",",".")</f>
        <v>00:08:55.440</v>
      </c>
      <c r="P59" s="1" t="str">
        <f ca="1">SUBSTITUTE(OFFSET(srt!$E$1,D61-2,0),",",".")</f>
        <v>00:09:06.320</v>
      </c>
      <c r="Q59" s="20">
        <f t="shared" ca="1" si="3"/>
        <v>1.6666666666665698E-5</v>
      </c>
      <c r="R59" s="20">
        <f t="shared" si="4"/>
        <v>1.0995370370370412E-4</v>
      </c>
      <c r="S59" s="20">
        <f t="shared" ca="1" si="5"/>
        <v>1.4259259259259173E-4</v>
      </c>
      <c r="T59" s="21">
        <f t="shared" ca="1" si="6"/>
        <v>2.8199999999998893</v>
      </c>
      <c r="U59" s="22" t="s">
        <v>780</v>
      </c>
    </row>
    <row r="60" spans="1:21" x14ac:dyDescent="0.3">
      <c r="A60" t="s">
        <v>577</v>
      </c>
      <c r="B60" s="1" t="str">
        <f t="shared" si="0"/>
        <v>00:06:05.900</v>
      </c>
      <c r="C60" t="str">
        <f t="shared" si="1"/>
        <v>现在，我们只需要证明最左边的两个矩阵也满足这个性质即可。第一个矩阵是单位矩阵，显然满足这个性质。</v>
      </c>
      <c r="D60">
        <f t="shared" ca="1" si="7"/>
        <v>161</v>
      </c>
      <c r="E60">
        <f t="shared" ca="1" si="2"/>
        <v>3</v>
      </c>
      <c r="F60" t="str">
        <f ca="1">OFFSET(srt!$C$1,D61-1,0)</f>
        <v>现在我们只需要证明最左边的两个矩阵也满足这个性质即可。</v>
      </c>
      <c r="G60">
        <f ca="1">PrefixLenNorm($C60,OFFSET(srt!$C$1,$D60+COLUMN()-7,0))</f>
        <v>0</v>
      </c>
      <c r="H60">
        <f ca="1">PrefixLenNorm($C60,OFFSET(srt!$C$1,$D60+COLUMN()-7,0))</f>
        <v>0</v>
      </c>
      <c r="I60">
        <f ca="1">PrefixLenNorm($C60,OFFSET(srt!$C$1,$D60+COLUMN()-7,0))</f>
        <v>26</v>
      </c>
      <c r="J60">
        <f ca="1">PrefixLenNorm($C60,OFFSET(srt!$C$1,$D60+COLUMN()-7,0))</f>
        <v>0</v>
      </c>
      <c r="K60">
        <f ca="1">PrefixLenNorm($C60,OFFSET(srt!$C$1,$D60+COLUMN()-7,0))</f>
        <v>0</v>
      </c>
      <c r="L60">
        <f ca="1">PrefixLenNorm($C60,OFFSET(srt!$C$1,$D60+COLUMN()-7,0))</f>
        <v>0</v>
      </c>
      <c r="M60">
        <f ca="1">PrefixLenNorm($C60,OFFSET(srt!$C$1,$D60+COLUMN()-7,0))</f>
        <v>0</v>
      </c>
      <c r="N60">
        <f ca="1">PrefixLenNorm($C60,OFFSET(srt!$C$1,$D60+COLUMN()-7,0))</f>
        <v>0</v>
      </c>
      <c r="O60" s="1" t="str">
        <f ca="1">SUBSTITUTE(OFFSET(srt!$D$1,D61-1,0),",",".")</f>
        <v>00:09:07.760</v>
      </c>
      <c r="P60" s="1" t="str">
        <f ca="1">SUBSTITUTE(OFFSET(srt!$E$1,D62-2,0),",",".")</f>
        <v>00:09:17.960</v>
      </c>
      <c r="Q60" s="20">
        <f t="shared" ca="1" si="3"/>
        <v>0</v>
      </c>
      <c r="R60" s="20">
        <f t="shared" si="4"/>
        <v>8.7962962962963298E-5</v>
      </c>
      <c r="S60" s="20">
        <f t="shared" ca="1" si="5"/>
        <v>1.1805555555555614E-4</v>
      </c>
      <c r="T60" s="21">
        <f t="shared" ca="1" si="6"/>
        <v>2.6000000000000218</v>
      </c>
      <c r="U60" s="22" t="s">
        <v>781</v>
      </c>
    </row>
    <row r="61" spans="1:21" x14ac:dyDescent="0.3">
      <c r="A61" t="s">
        <v>578</v>
      </c>
      <c r="B61" s="1" t="str">
        <f t="shared" si="0"/>
        <v>00:06:13.500</v>
      </c>
      <c r="C61" t="str">
        <f t="shared" si="1"/>
        <v>第二个矩阵可以表示为左边两个矩阵的叠加。由于单位矩阵左边没有矩阵，因此相当于叠加了一个零矩阵。</v>
      </c>
      <c r="D61">
        <f t="shared" ca="1" si="7"/>
        <v>164</v>
      </c>
      <c r="E61">
        <f t="shared" ca="1" si="2"/>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4</v>
      </c>
      <c r="O61" s="1" t="str">
        <f ca="1">SUBSTITUTE(OFFSET(srt!$D$1,D62-1,0),",",".")</f>
        <v>00:09:17.960</v>
      </c>
      <c r="P61" s="1" t="str">
        <f ca="1">SUBSTITUTE(OFFSET(srt!$E$1,D63-2,0),",",".")</f>
        <v>00:09:28.040</v>
      </c>
      <c r="Q61" s="20">
        <f t="shared" ca="1" si="3"/>
        <v>0</v>
      </c>
      <c r="R61" s="20">
        <f t="shared" si="4"/>
        <v>4.7453703703704067E-5</v>
      </c>
      <c r="S61" s="20">
        <f t="shared" ca="1" si="5"/>
        <v>1.1666666666666596E-4</v>
      </c>
      <c r="T61" s="21">
        <f t="shared" ca="1" si="6"/>
        <v>5.9799999999999081</v>
      </c>
      <c r="U61" s="22" t="s">
        <v>782</v>
      </c>
    </row>
    <row r="62" spans="1:21" x14ac:dyDescent="0.3">
      <c r="A62" t="s">
        <v>579</v>
      </c>
      <c r="B62" s="1" t="str">
        <f t="shared" si="0"/>
        <v>00:06:17.600</v>
      </c>
      <c r="C62" t="str">
        <f t="shared" si="1"/>
        <v>由于零矩阵显然满足这个性质，因此第二个矩阵也满足这个性质。</v>
      </c>
      <c r="D62">
        <f t="shared" ca="1" si="7"/>
        <v>167</v>
      </c>
      <c r="E62">
        <f t="shared" ca="1" si="2"/>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1" t="str">
        <f ca="1">SUBSTITUTE(OFFSET(srt!$D$1,D63-1,0),",",".")</f>
        <v>00:09:28.040</v>
      </c>
      <c r="P62" s="1" t="str">
        <f ca="1">SUBSTITUTE(OFFSET(srt!$E$1,D64-2,0),",",".")</f>
        <v>00:09:33.280</v>
      </c>
      <c r="Q62" s="20">
        <f t="shared" ca="1" si="3"/>
        <v>1.7592592592592486E-5</v>
      </c>
      <c r="R62" s="20">
        <f t="shared" si="4"/>
        <v>4.74537037037032E-5</v>
      </c>
      <c r="S62" s="20">
        <f t="shared" ca="1" si="5"/>
        <v>7.8240740740740701E-5</v>
      </c>
      <c r="T62" s="21">
        <f t="shared" ca="1" si="6"/>
        <v>2.6600000000000401</v>
      </c>
      <c r="U62" s="22" t="s">
        <v>783</v>
      </c>
    </row>
    <row r="63" spans="1:21" x14ac:dyDescent="0.3">
      <c r="A63" t="s">
        <v>580</v>
      </c>
      <c r="B63" s="1" t="str">
        <f t="shared" si="0"/>
        <v>00:06:21.700</v>
      </c>
      <c r="C63" t="str">
        <f t="shared" si="1"/>
        <v>因为B(n)有了这个性质，我们只需要知道B(n)的第一行，就能通过公式推导出后续的行，求得完整的矩阵B(n)。</v>
      </c>
      <c r="D63">
        <f t="shared" ca="1" si="7"/>
        <v>170</v>
      </c>
      <c r="E63">
        <f t="shared" ca="1" si="2"/>
        <v>3</v>
      </c>
      <c r="F63" t="str">
        <f ca="1">OFFSET(srt!$C$1,D64-1,0)</f>
        <v>因为BN有了这个性质，</v>
      </c>
      <c r="G63">
        <f ca="1">PrefixLenNorm($C63,OFFSET(srt!$C$1,$D63+COLUMN()-7,0))</f>
        <v>1</v>
      </c>
      <c r="H63">
        <f ca="1">PrefixLenNorm($C63,OFFSET(srt!$C$1,$D63+COLUMN()-7,0))</f>
        <v>0</v>
      </c>
      <c r="I63">
        <f ca="1">PrefixLenNorm($C63,OFFSET(srt!$C$1,$D63+COLUMN()-7,0))</f>
        <v>10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1" t="str">
        <f ca="1">SUBSTITUTE(OFFSET(srt!$D$1,D64-1,0),",",".")</f>
        <v>00:09:34.800</v>
      </c>
      <c r="P63" s="1" t="str">
        <f ca="1">SUBSTITUTE(OFFSET(srt!$E$1,D65-2,0),",",".")</f>
        <v>00:09:43.760</v>
      </c>
      <c r="Q63" s="20">
        <f t="shared" ca="1" si="3"/>
        <v>1.8518518518518406E-5</v>
      </c>
      <c r="R63" s="20">
        <f t="shared" si="4"/>
        <v>1.0995370370370326E-4</v>
      </c>
      <c r="S63" s="20">
        <f t="shared" ca="1" si="5"/>
        <v>1.2222222222222235E-4</v>
      </c>
      <c r="T63" s="21">
        <f t="shared" ca="1" si="6"/>
        <v>1.0600000000000498</v>
      </c>
      <c r="U63" s="22" t="s">
        <v>784</v>
      </c>
    </row>
    <row r="64" spans="1:21" x14ac:dyDescent="0.3">
      <c r="A64" t="s">
        <v>581</v>
      </c>
      <c r="B64" s="1" t="str">
        <f t="shared" si="0"/>
        <v>00:06:31.200</v>
      </c>
      <c r="C64" t="str">
        <f t="shared" si="1"/>
        <v>为了实现O(n²)的算法，我们也需要用到类似的方法，尽量不去对整个矩阵进行操作，而是通过第一行来求逆或求解。</v>
      </c>
      <c r="D64">
        <f t="shared" ca="1" si="7"/>
        <v>173</v>
      </c>
      <c r="E64">
        <f t="shared" ca="1" si="2"/>
        <v>4</v>
      </c>
      <c r="F64" t="str">
        <f ca="1">OFFSET(srt!$C$1,D65-1,0)</f>
        <v>为了实现ON的二次方次算法，</v>
      </c>
      <c r="G64">
        <f ca="1">PrefixLenNorm($C64,OFFSET(srt!$C$1,$D64+COLUMN()-7,0))</f>
        <v>0</v>
      </c>
      <c r="H64">
        <f ca="1">PrefixLenNorm($C64,OFFSET(srt!$C$1,$D64+COLUMN()-7,0))</f>
        <v>0</v>
      </c>
      <c r="I64">
        <f ca="1">PrefixLenNorm($C64,OFFSET(srt!$C$1,$D64+COLUMN()-7,0))</f>
        <v>0</v>
      </c>
      <c r="J64">
        <f ca="1">PrefixLenNorm($C64,OFFSET(srt!$C$1,$D64+COLUMN()-7,0))</f>
        <v>6</v>
      </c>
      <c r="K64">
        <f ca="1">PrefixLenNorm($C64,OFFSET(srt!$C$1,$D64+COLUMN()-7,0))</f>
        <v>0</v>
      </c>
      <c r="L64">
        <f ca="1">PrefixLenNorm($C64,OFFSET(srt!$C$1,$D64+COLUMN()-7,0))</f>
        <v>0</v>
      </c>
      <c r="M64">
        <f ca="1">PrefixLenNorm($C64,OFFSET(srt!$C$1,$D64+COLUMN()-7,0))</f>
        <v>0</v>
      </c>
      <c r="N64">
        <f ca="1">PrefixLenNorm($C64,OFFSET(srt!$C$1,$D64+COLUMN()-7,0))</f>
        <v>0</v>
      </c>
      <c r="O64" s="1" t="str">
        <f ca="1">SUBSTITUTE(OFFSET(srt!$D$1,D65-1,0),",",".")</f>
        <v>00:09:45.360</v>
      </c>
      <c r="P64" s="1" t="str">
        <f ca="1">SUBSTITUTE(OFFSET(srt!$E$1,D66-2,0),",",".")</f>
        <v>00:09:55.560</v>
      </c>
      <c r="Q64" s="20">
        <f t="shared" ca="1" si="3"/>
        <v>1.8981481481482668E-5</v>
      </c>
      <c r="R64" s="20">
        <f t="shared" si="4"/>
        <v>3.5497685185185285E-5</v>
      </c>
      <c r="S64" s="20">
        <f t="shared" ca="1" si="5"/>
        <v>1.3703703703703794E-4</v>
      </c>
      <c r="T64" s="21">
        <f t="shared" ca="1" si="6"/>
        <v>8.773000000000069</v>
      </c>
      <c r="U64" s="22" t="s">
        <v>785</v>
      </c>
    </row>
    <row r="65" spans="1:21" x14ac:dyDescent="0.3">
      <c r="A65" t="s">
        <v>582</v>
      </c>
      <c r="B65" s="1" t="str">
        <f t="shared" si="0"/>
        <v>00:06:34.267</v>
      </c>
      <c r="C65" t="str">
        <f t="shared" si="1"/>
        <v>我们以n=7为例。这里的B就是前面提到的按钮矩阵B(n)，而y就是翻转向量的最后一行，即B(n)的增广向量。</v>
      </c>
      <c r="D65">
        <f t="shared" ca="1" si="7"/>
        <v>177</v>
      </c>
      <c r="E65">
        <f t="shared" ca="1" si="2"/>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1" t="str">
        <f ca="1">SUBSTITUTE(OFFSET(srt!$D$1,D66-1,0),",",".")</f>
        <v>00:09:57.200</v>
      </c>
      <c r="P65" s="1" t="str">
        <f ca="1">SUBSTITUTE(OFFSET(srt!$E$1,D67-2,0),",",".")</f>
        <v>00:10:07.440</v>
      </c>
      <c r="Q65" s="20">
        <f t="shared" ca="1" si="3"/>
        <v>1.7592592592592486E-5</v>
      </c>
      <c r="R65" s="20">
        <f t="shared" si="4"/>
        <v>3.8958333333333553E-5</v>
      </c>
      <c r="S65" s="20">
        <f t="shared" ca="1" si="5"/>
        <v>1.3611111111111115E-4</v>
      </c>
      <c r="T65" s="21">
        <f t="shared" ca="1" si="6"/>
        <v>8.3939999999999841</v>
      </c>
      <c r="U65" s="22" t="s">
        <v>786</v>
      </c>
    </row>
    <row r="66" spans="1:21" x14ac:dyDescent="0.3">
      <c r="A66" t="s">
        <v>583</v>
      </c>
      <c r="B66" s="1" t="str">
        <f t="shared" ref="B66:B129" si="8">LEFT(A66,12)</f>
        <v>00:06:37.633</v>
      </c>
      <c r="C66" t="str">
        <f t="shared" ref="C66:C129" si="9">RIGHT(A66,LEN(A66)-13)</f>
        <v>我们的目标是：对于Bx=y，在已知B的第一行和y的情况下求x。</v>
      </c>
      <c r="D66">
        <f t="shared" ca="1" si="7"/>
        <v>181</v>
      </c>
      <c r="E66">
        <f t="shared" ref="E66:E129" ca="1" si="10">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1" t="str">
        <f ca="1">SUBSTITUTE(OFFSET(srt!$D$1,D67-1,0),",",".")</f>
        <v>00:10:08.960</v>
      </c>
      <c r="P66" s="1" t="str">
        <f ca="1">SUBSTITUTE(OFFSET(srt!$E$1,D68-2,0),",",".")</f>
        <v>00:10:17.000</v>
      </c>
      <c r="Q66" s="20">
        <f t="shared" ref="Q66:Q129" ca="1" si="11">O67-P66</f>
        <v>0</v>
      </c>
      <c r="R66" s="20">
        <f t="shared" ref="R66:R129" si="12">B67-B66</f>
        <v>1.0340277777777778E-4</v>
      </c>
      <c r="S66" s="20">
        <f t="shared" ref="S66:S129" ca="1" si="13">O67-O66</f>
        <v>9.3055555555554559E-5</v>
      </c>
      <c r="T66" s="21">
        <f t="shared" ref="T66:T129" ca="1" si="14">(S66-R66)*86400</f>
        <v>-0.89400000000008639</v>
      </c>
      <c r="U66" s="22" t="s">
        <v>787</v>
      </c>
    </row>
    <row r="67" spans="1:21" x14ac:dyDescent="0.3">
      <c r="A67" t="s">
        <v>584</v>
      </c>
      <c r="B67" s="1" t="str">
        <f t="shared" si="8"/>
        <v>00:06:46.567</v>
      </c>
      <c r="C67" t="str">
        <f t="shared" si="9"/>
        <v>如果将n在不同情况下的B的第一行写在一起，矩阵长这样，记为B'。</v>
      </c>
      <c r="D67">
        <f t="shared" ref="D67:D130" ca="1" si="15">D66+IFERROR(E66,1)</f>
        <v>185</v>
      </c>
      <c r="E67">
        <f t="shared" ca="1" si="10"/>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1" t="str">
        <f ca="1">SUBSTITUTE(OFFSET(srt!$D$1,D68-1,0),",",".")</f>
        <v>00:10:17.000</v>
      </c>
      <c r="P67" s="1" t="str">
        <f ca="1">SUBSTITUTE(OFFSET(srt!$E$1,D69-2,0),",",".")</f>
        <v>00:10:22.640</v>
      </c>
      <c r="Q67" s="20">
        <f t="shared" ca="1" si="11"/>
        <v>1.7592592592592486E-5</v>
      </c>
      <c r="R67" s="20">
        <f t="shared" si="12"/>
        <v>6.0567129629630033E-5</v>
      </c>
      <c r="S67" s="20">
        <f t="shared" ca="1" si="13"/>
        <v>8.2870370370370303E-5</v>
      </c>
      <c r="T67" s="21">
        <f t="shared" ca="1" si="14"/>
        <v>1.9269999999999592</v>
      </c>
      <c r="U67" s="22" t="s">
        <v>788</v>
      </c>
    </row>
    <row r="68" spans="1:21" x14ac:dyDescent="0.3">
      <c r="A68" t="s">
        <v>585</v>
      </c>
      <c r="B68" s="1" t="str">
        <f t="shared" si="8"/>
        <v>00:06:51.800</v>
      </c>
      <c r="C68" t="str">
        <f t="shared" si="9"/>
        <v>注意，这里的B'矩阵不是刚才说的当n确定时的完整的矩阵B，而是B(n)的第一行拼接起来的结果。</v>
      </c>
      <c r="D68">
        <f t="shared" ca="1" si="15"/>
        <v>187</v>
      </c>
      <c r="E68">
        <f t="shared" ca="1" si="10"/>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1" t="str">
        <f ca="1">SUBSTITUTE(OFFSET(srt!$D$1,D69-1,0),",",".")</f>
        <v>00:10:24.160</v>
      </c>
      <c r="P68" s="1" t="str">
        <f ca="1">SUBSTITUTE(OFFSET(srt!$E$1,D70-2,0),",",".")</f>
        <v>00:10:33.720</v>
      </c>
      <c r="Q68" s="20">
        <f t="shared" ca="1" si="11"/>
        <v>0</v>
      </c>
      <c r="R68" s="20">
        <f t="shared" si="12"/>
        <v>3.7037037037036813E-5</v>
      </c>
      <c r="S68" s="20">
        <f t="shared" ca="1" si="13"/>
        <v>1.1064814814814878E-4</v>
      </c>
      <c r="T68" s="21">
        <f t="shared" ca="1" si="14"/>
        <v>6.360000000000074</v>
      </c>
      <c r="U68" s="22" t="s">
        <v>789</v>
      </c>
    </row>
    <row r="69" spans="1:21" x14ac:dyDescent="0.3">
      <c r="A69" t="s">
        <v>586</v>
      </c>
      <c r="B69" s="1" t="str">
        <f t="shared" si="8"/>
        <v>00:06:55.000</v>
      </c>
      <c r="C69" t="str">
        <f t="shared" si="9"/>
        <v>另外，这里从n=0开始一共递推n次，最后一个1不包含在矩阵B的第一行内。例如n=7时，第一行为1011011，最后一个1省去。</v>
      </c>
      <c r="D69">
        <f t="shared" ca="1" si="15"/>
        <v>189</v>
      </c>
      <c r="E69">
        <f t="shared" ca="1" si="10"/>
        <v>2</v>
      </c>
      <c r="F69" t="str">
        <f ca="1">OFFSET(srt!$C$1,D70-1,0)</f>
        <v>另外这里从n等于零开始，</v>
      </c>
      <c r="G69">
        <f ca="1">PrefixLenNorm($C69,OFFSET(srt!$C$1,$D69+COLUMN()-7,0))</f>
        <v>0</v>
      </c>
      <c r="H69">
        <f ca="1">PrefixLenNorm($C69,OFFSET(srt!$C$1,$D69+COLUMN()-7,0))</f>
        <v>8</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1" t="str">
        <f ca="1">SUBSTITUTE(OFFSET(srt!$D$1,D70-1,0),",",".")</f>
        <v>00:10:33.720</v>
      </c>
      <c r="P69" s="1" t="str">
        <f ca="1">SUBSTITUTE(OFFSET(srt!$E$1,D71-2,0),",",".")</f>
        <v>00:10:48.120</v>
      </c>
      <c r="Q69" s="20">
        <f t="shared" ca="1" si="11"/>
        <v>0</v>
      </c>
      <c r="R69" s="20">
        <f t="shared" si="12"/>
        <v>4.320601851851881E-5</v>
      </c>
      <c r="S69" s="20">
        <f t="shared" ca="1" si="13"/>
        <v>1.6666666666666653E-4</v>
      </c>
      <c r="T69" s="21">
        <f t="shared" ca="1" si="14"/>
        <v>10.666999999999963</v>
      </c>
      <c r="U69" s="22" t="s">
        <v>790</v>
      </c>
    </row>
    <row r="70" spans="1:21" x14ac:dyDescent="0.3">
      <c r="A70" t="s">
        <v>587</v>
      </c>
      <c r="B70" s="1" t="str">
        <f t="shared" si="8"/>
        <v>00:06:58.733</v>
      </c>
      <c r="C70" t="str">
        <f t="shared" si="9"/>
        <v>改写后的矩阵记为B''=B'⊕I。</v>
      </c>
      <c r="D70">
        <f t="shared" ca="1" si="15"/>
        <v>191</v>
      </c>
      <c r="E70">
        <f t="shared" ca="1" si="10"/>
        <v>6</v>
      </c>
      <c r="F70" t="str">
        <f ca="1">OFFSET(srt!$C$1,D71-1,0)</f>
        <v>改写后的矩阵记为B撇撇等于B撇加i，</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9</v>
      </c>
      <c r="M70">
        <f ca="1">PrefixLenNorm($C70,OFFSET(srt!$C$1,$D70+COLUMN()-7,0))</f>
        <v>0</v>
      </c>
      <c r="N70">
        <f ca="1">PrefixLenNorm($C70,OFFSET(srt!$C$1,$D70+COLUMN()-7,0))</f>
        <v>0</v>
      </c>
      <c r="O70" s="1" t="str">
        <f ca="1">SUBSTITUTE(OFFSET(srt!$D$1,D71-1,0),",",".")</f>
        <v>00:10:48.120</v>
      </c>
      <c r="P70" s="1" t="str">
        <f ca="1">SUBSTITUTE(OFFSET(srt!$E$1,D72-2,0),",",".")</f>
        <v>00:10:51.400</v>
      </c>
      <c r="Q70" s="20">
        <f t="shared" ca="1" si="11"/>
        <v>1.712962962962996E-5</v>
      </c>
      <c r="R70" s="20">
        <f t="shared" si="12"/>
        <v>4.4375000000000143E-5</v>
      </c>
      <c r="S70" s="20">
        <f t="shared" ca="1" si="13"/>
        <v>5.5092592592592693E-5</v>
      </c>
      <c r="T70" s="21">
        <f t="shared" ca="1" si="14"/>
        <v>0.92599999999999627</v>
      </c>
      <c r="U70" s="22" t="s">
        <v>791</v>
      </c>
    </row>
    <row r="71" spans="1:21" x14ac:dyDescent="0.3">
      <c r="A71" t="s">
        <v>588</v>
      </c>
      <c r="B71" s="1" t="str">
        <f t="shared" si="8"/>
        <v>00:07:02.567</v>
      </c>
      <c r="C71" t="str">
        <f t="shared" si="9"/>
        <v>把Y的第一行写在一起是这样的，记为Y'。</v>
      </c>
      <c r="D71">
        <f t="shared" ca="1" si="15"/>
        <v>197</v>
      </c>
      <c r="E71">
        <f t="shared" ca="1" si="10"/>
        <v>1</v>
      </c>
      <c r="F71" t="str">
        <f ca="1">OFFSET(srt!$C$1,D72-1,0)</f>
        <v>把y的第一行写在一起是这样的，</v>
      </c>
      <c r="G71">
        <f ca="1">PrefixLenNorm($C71,OFFSET(srt!$C$1,$D71+COLUMN()-7,0))</f>
        <v>14</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0</v>
      </c>
      <c r="M71">
        <f ca="1">PrefixLenNorm($C71,OFFSET(srt!$C$1,$D71+COLUMN()-7,0))</f>
        <v>0</v>
      </c>
      <c r="N71">
        <f ca="1">PrefixLenNorm($C71,OFFSET(srt!$C$1,$D71+COLUMN()-7,0))</f>
        <v>0</v>
      </c>
      <c r="O71" s="1" t="str">
        <f ca="1">SUBSTITUTE(OFFSET(srt!$D$1,D72-1,0),",",".")</f>
        <v>00:10:52.880</v>
      </c>
      <c r="P71" s="1" t="str">
        <f ca="1">SUBSTITUTE(OFFSET(srt!$E$1,D73-2,0),",",".")</f>
        <v>00:10:56.240</v>
      </c>
      <c r="Q71" s="20">
        <f t="shared" ca="1" si="11"/>
        <v>1.9444444444444327E-5</v>
      </c>
      <c r="R71" s="20">
        <f t="shared" si="12"/>
        <v>4.8217592592591889E-5</v>
      </c>
      <c r="S71" s="20">
        <f t="shared" ca="1" si="13"/>
        <v>5.833333333333298E-5</v>
      </c>
      <c r="T71" s="21">
        <f t="shared" ca="1" si="14"/>
        <v>0.87400000000003031</v>
      </c>
      <c r="U71" s="22" t="s">
        <v>792</v>
      </c>
    </row>
    <row r="72" spans="1:21" x14ac:dyDescent="0.3">
      <c r="A72" t="s">
        <v>589</v>
      </c>
      <c r="B72" s="1" t="str">
        <f t="shared" si="8"/>
        <v>00:07:06.733</v>
      </c>
      <c r="C72" t="str">
        <f t="shared" si="9"/>
        <v>合并在一起后的Y'有以上递推公式。</v>
      </c>
      <c r="D72">
        <f t="shared" ca="1" si="15"/>
        <v>198</v>
      </c>
      <c r="E72">
        <f t="shared" ca="1" si="10"/>
        <v>2</v>
      </c>
      <c r="F72" t="str">
        <f ca="1">OFFSET(srt!$C$1,D73-1,0)</f>
        <v>合并在一起后的Y，</v>
      </c>
      <c r="G72">
        <f ca="1">PrefixLenNorm($C72,OFFSET(srt!$C$1,$D72+COLUMN()-7,0))</f>
        <v>0</v>
      </c>
      <c r="H72">
        <f ca="1">PrefixLenNorm($C72,OFFSET(srt!$C$1,$D72+COLUMN()-7,0))</f>
        <v>8</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1" t="str">
        <f ca="1">SUBSTITUTE(OFFSET(srt!$D$1,D73-1,0),",",".")</f>
        <v>00:10:57.920</v>
      </c>
      <c r="P72" s="1" t="str">
        <f ca="1">SUBSTITUTE(OFFSET(srt!$E$1,D74-2,0),",",".")</f>
        <v>00:11:02.320</v>
      </c>
      <c r="Q72" s="20">
        <f t="shared" ca="1" si="11"/>
        <v>0</v>
      </c>
      <c r="R72" s="20">
        <f t="shared" si="12"/>
        <v>4.7453703703704067E-5</v>
      </c>
      <c r="S72" s="20">
        <f t="shared" ca="1" si="13"/>
        <v>5.0925925925926485E-5</v>
      </c>
      <c r="T72" s="21">
        <f t="shared" ca="1" si="14"/>
        <v>0.30000000000001692</v>
      </c>
      <c r="U72" s="22" t="s">
        <v>793</v>
      </c>
    </row>
    <row r="73" spans="1:21" x14ac:dyDescent="0.3">
      <c r="A73" t="s">
        <v>590</v>
      </c>
      <c r="B73" s="1" t="str">
        <f t="shared" si="8"/>
        <v>00:07:10.833</v>
      </c>
      <c r="C73" t="str">
        <f t="shared" si="9"/>
        <v>为了不对整个矩阵进行操作，我们需要将矩阵B进行分解。这里介绍一个非常重要的矩阵H，称为邻接扩散矩阵。</v>
      </c>
      <c r="D73">
        <f t="shared" ca="1" si="15"/>
        <v>200</v>
      </c>
      <c r="E73">
        <f t="shared" ca="1" si="10"/>
        <v>2</v>
      </c>
      <c r="F73" t="str">
        <f ca="1">OFFSET(srt!$C$1,D74-1,0)</f>
        <v>为了不对整个矩阵进行操作，</v>
      </c>
      <c r="G73">
        <f ca="1">PrefixLenNorm($C73,OFFSET(srt!$C$1,$D73+COLUMN()-7,0))</f>
        <v>0</v>
      </c>
      <c r="H73">
        <f ca="1">PrefixLenNorm($C73,OFFSET(srt!$C$1,$D73+COLUMN()-7,0))</f>
        <v>12</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1" t="str">
        <f ca="1">SUBSTITUTE(OFFSET(srt!$D$1,D74-1,0),",",".")</f>
        <v>00:11:02.320</v>
      </c>
      <c r="P73" s="1" t="str">
        <f ca="1">SUBSTITUTE(OFFSET(srt!$E$1,D75-2,0),",",".")</f>
        <v>00:11:11.720</v>
      </c>
      <c r="Q73" s="20">
        <f t="shared" ca="1" si="11"/>
        <v>1.712962962962996E-5</v>
      </c>
      <c r="R73" s="20">
        <f t="shared" si="12"/>
        <v>4.0902777777777725E-5</v>
      </c>
      <c r="S73" s="20">
        <f t="shared" ca="1" si="13"/>
        <v>1.2592592592592603E-4</v>
      </c>
      <c r="T73" s="21">
        <f t="shared" ca="1" si="14"/>
        <v>7.3460000000000134</v>
      </c>
      <c r="U73" s="22" t="s">
        <v>794</v>
      </c>
    </row>
    <row r="74" spans="1:21" x14ac:dyDescent="0.3">
      <c r="A74" t="s">
        <v>591</v>
      </c>
      <c r="B74" s="1" t="str">
        <f t="shared" si="8"/>
        <v>00:07:14.367</v>
      </c>
      <c r="C74" t="str">
        <f t="shared" si="9"/>
        <v>对于H的每一个元素，如果x和y的差为一时取一，否则取零。如果将向量v乘以该矩阵，等同于将向量v的每个元素向左右扩散后叠加。</v>
      </c>
      <c r="D74">
        <f t="shared" ca="1" si="15"/>
        <v>202</v>
      </c>
      <c r="E74">
        <f t="shared" ca="1" si="10"/>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1" t="str">
        <f ca="1">SUBSTITUTE(OFFSET(srt!$D$1,D75-1,0),",",".")</f>
        <v>00:11:13.200</v>
      </c>
      <c r="P74" s="1" t="str">
        <f ca="1">SUBSTITUTE(OFFSET(srt!$E$1,D76-2,0),",",".")</f>
        <v>00:11:25.120</v>
      </c>
      <c r="Q74" s="20">
        <f t="shared" ca="1" si="11"/>
        <v>1.7592592592591619E-5</v>
      </c>
      <c r="R74" s="20">
        <f t="shared" si="12"/>
        <v>5.8252314814814798E-5</v>
      </c>
      <c r="S74" s="20">
        <f t="shared" ca="1" si="13"/>
        <v>1.5555555555555461E-4</v>
      </c>
      <c r="T74" s="21">
        <f t="shared" ca="1" si="14"/>
        <v>8.4069999999999201</v>
      </c>
      <c r="U74" s="22" t="s">
        <v>795</v>
      </c>
    </row>
    <row r="75" spans="1:21" x14ac:dyDescent="0.3">
      <c r="A75" t="s">
        <v>592</v>
      </c>
      <c r="B75" s="1" t="str">
        <f t="shared" si="8"/>
        <v>00:07:19.400</v>
      </c>
      <c r="C75" t="str">
        <f t="shared" si="9"/>
        <v>这是因为，矩阵的对应行就是向量每个元素左右扩散的结果。</v>
      </c>
      <c r="D75">
        <f t="shared" ca="1" si="15"/>
        <v>206</v>
      </c>
      <c r="E75">
        <f t="shared" ca="1" si="10"/>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1" t="str">
        <f ca="1">SUBSTITUTE(OFFSET(srt!$D$1,D76-1,0),",",".")</f>
        <v>00:11:26.640</v>
      </c>
      <c r="P75" s="1" t="str">
        <f ca="1">SUBSTITUTE(OFFSET(srt!$E$1,D77-2,0),",",".")</f>
        <v>00:11:31.080</v>
      </c>
      <c r="Q75" s="20">
        <f t="shared" ca="1" si="11"/>
        <v>1.7129629629629092E-5</v>
      </c>
      <c r="R75" s="20">
        <f t="shared" si="12"/>
        <v>4.8229166666666906E-5</v>
      </c>
      <c r="S75" s="20">
        <f t="shared" ca="1" si="13"/>
        <v>6.8518518518518104E-5</v>
      </c>
      <c r="T75" s="21">
        <f t="shared" ca="1" si="14"/>
        <v>1.7529999999999435</v>
      </c>
      <c r="U75" s="22" t="s">
        <v>796</v>
      </c>
    </row>
    <row r="76" spans="1:21" x14ac:dyDescent="0.3">
      <c r="A76" t="s">
        <v>593</v>
      </c>
      <c r="B76" s="1" t="str">
        <f t="shared" si="8"/>
        <v>00:07:23.567</v>
      </c>
      <c r="C76" t="str">
        <f t="shared" si="9"/>
        <v>不难发现，《首行叠加法》中的各个矩阵B，可以用H表示为以上公式。</v>
      </c>
      <c r="D76">
        <f t="shared" ca="1" si="15"/>
        <v>211</v>
      </c>
      <c r="E76">
        <f t="shared" ca="1" si="10"/>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1" t="str">
        <f ca="1">SUBSTITUTE(OFFSET(srt!$D$1,D77-1,0),",",".")</f>
        <v>00:11:32.560</v>
      </c>
      <c r="P76" s="1" t="str">
        <f ca="1">SUBSTITUTE(OFFSET(srt!$E$1,D78-2,0),",",".")</f>
        <v>00:11:38.240</v>
      </c>
      <c r="Q76" s="20">
        <f t="shared" ca="1" si="11"/>
        <v>1.8518518518518406E-5</v>
      </c>
      <c r="R76" s="20">
        <f t="shared" si="12"/>
        <v>4.3981481481481649E-5</v>
      </c>
      <c r="S76" s="20">
        <f t="shared" ca="1" si="13"/>
        <v>8.4259259259259617E-5</v>
      </c>
      <c r="T76" s="21">
        <f t="shared" ca="1" si="14"/>
        <v>3.4800000000000164</v>
      </c>
      <c r="U76" s="22" t="s">
        <v>797</v>
      </c>
    </row>
    <row r="77" spans="1:21" x14ac:dyDescent="0.3">
      <c r="A77" t="s">
        <v>594</v>
      </c>
      <c r="B77" s="1" t="str">
        <f t="shared" si="8"/>
        <v>00:07:27.367</v>
      </c>
      <c r="C77" t="str">
        <f t="shared" si="9"/>
        <v>这里，B(0)、B(1)、B(2)分别表示为H的不同次数的叠加。</v>
      </c>
      <c r="D77">
        <f t="shared" ca="1" si="15"/>
        <v>212</v>
      </c>
      <c r="E77">
        <f t="shared" ca="1" si="10"/>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1" t="str">
        <f ca="1">SUBSTITUTE(OFFSET(srt!$D$1,D78-1,0),",",".")</f>
        <v>00:11:39.840</v>
      </c>
      <c r="P77" s="1" t="str">
        <f ca="1">SUBSTITUTE(OFFSET(srt!$E$1,D79-2,0),",",".")</f>
        <v>00:11:45.040</v>
      </c>
      <c r="Q77" s="20">
        <f t="shared" ca="1" si="11"/>
        <v>1.6666666666666566E-5</v>
      </c>
      <c r="R77" s="20">
        <f t="shared" si="12"/>
        <v>6.8287037037036841E-5</v>
      </c>
      <c r="S77" s="20">
        <f t="shared" ca="1" si="13"/>
        <v>7.6851851851852254E-5</v>
      </c>
      <c r="T77" s="21">
        <f t="shared" ca="1" si="14"/>
        <v>0.74000000000005173</v>
      </c>
      <c r="U77" s="22" t="s">
        <v>798</v>
      </c>
    </row>
    <row r="78" spans="1:21" x14ac:dyDescent="0.3">
      <c r="A78" t="s">
        <v>595</v>
      </c>
      <c r="B78" s="1" t="str">
        <f t="shared" si="8"/>
        <v>00:07:33.267</v>
      </c>
      <c r="C78" t="str">
        <f t="shared" si="9"/>
        <v>将这些H的系数用多项式c(n,x)表示，则有和矩阵B类似的递推公式。同时，将系数c写成矩阵的形式，记为C。</v>
      </c>
      <c r="D78">
        <f t="shared" ca="1" si="15"/>
        <v>213</v>
      </c>
      <c r="E78">
        <f t="shared" ca="1" si="10"/>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1" t="str">
        <f ca="1">SUBSTITUTE(OFFSET(srt!$D$1,D79-1,0),",",".")</f>
        <v>00:11:46.480</v>
      </c>
      <c r="P78" s="1" t="str">
        <f ca="1">SUBSTITUTE(OFFSET(srt!$E$1,D80-2,0),",",".")</f>
        <v>00:11:58.200</v>
      </c>
      <c r="Q78" s="20">
        <f t="shared" ca="1" si="11"/>
        <v>0</v>
      </c>
      <c r="R78" s="20">
        <f t="shared" si="12"/>
        <v>4.7835648148147544E-5</v>
      </c>
      <c r="S78" s="20">
        <f t="shared" ca="1" si="13"/>
        <v>1.3564814814814863E-4</v>
      </c>
      <c r="T78" s="21">
        <f t="shared" ca="1" si="14"/>
        <v>7.5870000000000939</v>
      </c>
      <c r="U78" s="22" t="s">
        <v>799</v>
      </c>
    </row>
    <row r="79" spans="1:21" x14ac:dyDescent="0.3">
      <c r="A79" t="s">
        <v>596</v>
      </c>
      <c r="B79" s="1" t="str">
        <f t="shared" si="8"/>
        <v>00:07:37.400</v>
      </c>
      <c r="C79" t="str">
        <f t="shared" si="9"/>
        <v>注意，这里的乘以H的操作在系数上代表右移而不是左右扩散，因此，表达式中只有x-1而没有x+1。</v>
      </c>
      <c r="D79">
        <f t="shared" ca="1" si="15"/>
        <v>216</v>
      </c>
      <c r="E79">
        <f t="shared" ca="1" si="10"/>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1" t="str">
        <f ca="1">SUBSTITUTE(OFFSET(srt!$D$1,D80-1,0),",",".")</f>
        <v>00:11:58.200</v>
      </c>
      <c r="P79" s="1" t="str">
        <f ca="1">SUBSTITUTE(OFFSET(srt!$E$1,D81-2,0),",",".")</f>
        <v>00:12:07.360</v>
      </c>
      <c r="Q79" s="20">
        <f t="shared" ca="1" si="11"/>
        <v>1.8518518518520141E-5</v>
      </c>
      <c r="R79" s="20">
        <f t="shared" si="12"/>
        <v>5.130787037037083E-5</v>
      </c>
      <c r="S79" s="20">
        <f t="shared" ca="1" si="13"/>
        <v>1.2453703703703758E-4</v>
      </c>
      <c r="T79" s="21">
        <f t="shared" ca="1" si="14"/>
        <v>6.327000000000008</v>
      </c>
      <c r="U79" s="22" t="s">
        <v>800</v>
      </c>
    </row>
    <row r="80" spans="1:21" x14ac:dyDescent="0.3">
      <c r="A80" t="s">
        <v>597</v>
      </c>
      <c r="B80" s="1" t="str">
        <f t="shared" si="8"/>
        <v>00:07:41.833</v>
      </c>
      <c r="C80" t="str">
        <f t="shared" si="9"/>
        <v>现在，如果我们将多个H相乘，也就是Hⁿ。将其首行Hⁿ(0)拼接起来，看起来像是这样的。</v>
      </c>
      <c r="D80">
        <f t="shared" ca="1" si="15"/>
        <v>219</v>
      </c>
      <c r="E80">
        <f t="shared" ca="1" si="10"/>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1" t="str">
        <f ca="1">SUBSTITUTE(OFFSET(srt!$D$1,D81-1,0),",",".")</f>
        <v>00:12:08.960</v>
      </c>
      <c r="P80" s="1" t="str">
        <f ca="1">SUBSTITUTE(OFFSET(srt!$E$1,D82-2,0),",",".")</f>
        <v>00:12:17.880</v>
      </c>
      <c r="Q80" s="20">
        <f t="shared" ca="1" si="11"/>
        <v>1.7129629629629092E-5</v>
      </c>
      <c r="R80" s="20">
        <f t="shared" si="12"/>
        <v>4.0902777777777725E-5</v>
      </c>
      <c r="S80" s="20">
        <f t="shared" ca="1" si="13"/>
        <v>1.2037037037036964E-4</v>
      </c>
      <c r="T80" s="21">
        <f t="shared" ca="1" si="14"/>
        <v>6.8659999999999419</v>
      </c>
      <c r="U80" s="22" t="s">
        <v>1711</v>
      </c>
    </row>
    <row r="81" spans="1:21" x14ac:dyDescent="0.3">
      <c r="A81" t="s">
        <v>598</v>
      </c>
      <c r="B81" s="1" t="str">
        <f t="shared" si="8"/>
        <v>00:07:45.367</v>
      </c>
      <c r="C81" t="str">
        <f t="shared" si="9"/>
        <v>我们把这个下三角矩阵记为K，又称Krylov矩阵或扩散基矩阵。对于K的第n行，有以上公式。</v>
      </c>
      <c r="D81">
        <f t="shared" ca="1" si="15"/>
        <v>221</v>
      </c>
      <c r="E81">
        <f t="shared" ca="1" si="10"/>
        <v>4</v>
      </c>
      <c r="F81" t="str">
        <f ca="1">OFFSET(srt!$C$1,D82-1,0)</f>
        <v>我们把这个下三角矩阵记为K。</v>
      </c>
      <c r="G81">
        <f ca="1">PrefixLenNorm($C81,OFFSET(srt!$C$1,$D81+COLUMN()-7,0))</f>
        <v>0</v>
      </c>
      <c r="H81">
        <f ca="1">PrefixLenNorm($C81,OFFSET(srt!$C$1,$D81+COLUMN()-7,0))</f>
        <v>0</v>
      </c>
      <c r="I81">
        <f ca="1">PrefixLenNorm($C81,OFFSET(srt!$C$1,$D81+COLUMN()-7,0))</f>
        <v>0</v>
      </c>
      <c r="J81">
        <f ca="1">PrefixLenNorm($C81,OFFSET(srt!$C$1,$D81+COLUMN()-7,0))</f>
        <v>13</v>
      </c>
      <c r="K81">
        <f ca="1">PrefixLenNorm($C81,OFFSET(srt!$C$1,$D81+COLUMN()-7,0))</f>
        <v>0</v>
      </c>
      <c r="L81">
        <f ca="1">PrefixLenNorm($C81,OFFSET(srt!$C$1,$D81+COLUMN()-7,0))</f>
        <v>0</v>
      </c>
      <c r="M81">
        <f ca="1">PrefixLenNorm($C81,OFFSET(srt!$C$1,$D81+COLUMN()-7,0))</f>
        <v>0</v>
      </c>
      <c r="N81">
        <f ca="1">PrefixLenNorm($C81,OFFSET(srt!$C$1,$D81+COLUMN()-7,0))</f>
        <v>0</v>
      </c>
      <c r="O81" s="1" t="str">
        <f ca="1">SUBSTITUTE(OFFSET(srt!$D$1,D82-1,0),",",".")</f>
        <v>00:12:19.360</v>
      </c>
      <c r="P81" s="1" t="str">
        <f ca="1">SUBSTITUTE(OFFSET(srt!$E$1,D83-2,0),",",".")</f>
        <v>00:12:29.280</v>
      </c>
      <c r="Q81" s="20">
        <f t="shared" ca="1" si="11"/>
        <v>0</v>
      </c>
      <c r="R81" s="20">
        <f t="shared" si="12"/>
        <v>3.0092592592591977E-5</v>
      </c>
      <c r="S81" s="20">
        <f t="shared" ca="1" si="13"/>
        <v>1.1481481481481412E-4</v>
      </c>
      <c r="T81" s="21">
        <f t="shared" ca="1" si="14"/>
        <v>7.3199999999999932</v>
      </c>
      <c r="U81" s="22" t="s">
        <v>802</v>
      </c>
    </row>
    <row r="82" spans="1:21" x14ac:dyDescent="0.3">
      <c r="A82" t="s">
        <v>599</v>
      </c>
      <c r="B82" s="1" t="str">
        <f t="shared" si="8"/>
        <v>00:07:47.967</v>
      </c>
      <c r="C82" t="str">
        <f t="shared" si="9"/>
        <v>这里后一行是前一行乘以H，也就是前一行的左右扩散。因此对于K的每个元素，有以上递推公式。</v>
      </c>
      <c r="D82">
        <f t="shared" ca="1" si="15"/>
        <v>225</v>
      </c>
      <c r="E82">
        <f t="shared" ca="1" si="10"/>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1" t="str">
        <f ca="1">SUBSTITUTE(OFFSET(srt!$D$1,D83-1,0),",",".")</f>
        <v>00:12:29.280</v>
      </c>
      <c r="P82" s="1" t="str">
        <f ca="1">SUBSTITUTE(OFFSET(srt!$E$1,D84-2,0),",",".")</f>
        <v>00:12:38.800</v>
      </c>
      <c r="Q82" s="20">
        <f t="shared" ca="1" si="11"/>
        <v>0</v>
      </c>
      <c r="R82" s="20">
        <f t="shared" si="12"/>
        <v>6.1724537037038084E-5</v>
      </c>
      <c r="S82" s="20">
        <f t="shared" ca="1" si="13"/>
        <v>1.1018518518518539E-4</v>
      </c>
      <c r="T82" s="21">
        <f t="shared" ca="1" si="14"/>
        <v>4.1869999999999266</v>
      </c>
      <c r="U82" s="22" t="s">
        <v>803</v>
      </c>
    </row>
    <row r="83" spans="1:21" x14ac:dyDescent="0.3">
      <c r="A83" t="s">
        <v>600</v>
      </c>
      <c r="B83" s="1" t="str">
        <f t="shared" si="8"/>
        <v>00:07:53.300</v>
      </c>
      <c r="C83" t="str">
        <f t="shared" si="9"/>
        <v>现在，定义多项式p(x)。我们的目标是把B拆分成Hⁿ。</v>
      </c>
      <c r="D83">
        <f t="shared" ca="1" si="15"/>
        <v>228</v>
      </c>
      <c r="E83">
        <f t="shared" ca="1" si="10"/>
        <v>3</v>
      </c>
      <c r="F83" t="str">
        <f ca="1">OFFSET(srt!$C$1,D84-1,0)</f>
        <v>现在定义多项式PX，</v>
      </c>
      <c r="G83">
        <f ca="1">PrefixLenNorm($C83,OFFSET(srt!$C$1,$D83+COLUMN()-7,0))</f>
        <v>0</v>
      </c>
      <c r="H83">
        <f ca="1">PrefixLenNorm($C83,OFFSET(srt!$C$1,$D83+COLUMN()-7,0))</f>
        <v>0</v>
      </c>
      <c r="I83">
        <f ca="1">PrefixLenNorm($C83,OFFSET(srt!$C$1,$D83+COLUMN()-7,0))</f>
        <v>9</v>
      </c>
      <c r="J83">
        <f ca="1">PrefixLenNorm($C83,OFFSET(srt!$C$1,$D83+COLUMN()-7,0))</f>
        <v>0</v>
      </c>
      <c r="K83">
        <f ca="1">PrefixLenNorm($C83,OFFSET(srt!$C$1,$D83+COLUMN()-7,0))</f>
        <v>0</v>
      </c>
      <c r="L83">
        <f ca="1">PrefixLenNorm($C83,OFFSET(srt!$C$1,$D83+COLUMN()-7,0))</f>
        <v>0</v>
      </c>
      <c r="M83">
        <f ca="1">PrefixLenNorm($C83,OFFSET(srt!$C$1,$D83+COLUMN()-7,0))</f>
        <v>0</v>
      </c>
      <c r="N83">
        <f ca="1">PrefixLenNorm($C83,OFFSET(srt!$C$1,$D83+COLUMN()-7,0))</f>
        <v>2</v>
      </c>
      <c r="O83" s="1" t="str">
        <f ca="1">SUBSTITUTE(OFFSET(srt!$D$1,D84-1,0),",",".")</f>
        <v>00:12:38.800</v>
      </c>
      <c r="P83" s="1" t="str">
        <f ca="1">SUBSTITUTE(OFFSET(srt!$E$1,D85-2,0),",",".")</f>
        <v>00:12:46.280</v>
      </c>
      <c r="Q83" s="20">
        <f t="shared" ca="1" si="11"/>
        <v>0</v>
      </c>
      <c r="R83" s="20">
        <f t="shared" si="12"/>
        <v>3.3564814814814395E-5</v>
      </c>
      <c r="S83" s="20">
        <f t="shared" ca="1" si="13"/>
        <v>8.6574074074073984E-5</v>
      </c>
      <c r="T83" s="21">
        <f t="shared" ca="1" si="14"/>
        <v>4.5800000000000285</v>
      </c>
      <c r="U83" s="22" t="s">
        <v>1712</v>
      </c>
    </row>
    <row r="84" spans="1:21" x14ac:dyDescent="0.3">
      <c r="A84" t="s">
        <v>601</v>
      </c>
      <c r="B84" s="1" t="str">
        <f t="shared" si="8"/>
        <v>00:07:56.200</v>
      </c>
      <c r="C84" t="str">
        <f t="shared" si="9"/>
        <v>将矩阵H代入多项式p(x)，得到p(H)，并用其表示矩阵B。</v>
      </c>
      <c r="D84">
        <f t="shared" ca="1" si="15"/>
        <v>231</v>
      </c>
      <c r="E84">
        <f t="shared" ca="1" si="10"/>
        <v>2</v>
      </c>
      <c r="F84" t="str">
        <f ca="1">OFFSET(srt!$C$1,D85-1,0)</f>
        <v>将矩阵H代入多项式PX得到PH。</v>
      </c>
      <c r="G84">
        <f ca="1">PrefixLenNorm($C84,OFFSET(srt!$C$1,$D84+COLUMN()-7,0))</f>
        <v>0</v>
      </c>
      <c r="H84">
        <f ca="1">PrefixLenNorm($C84,OFFSET(srt!$C$1,$D84+COLUMN()-7,0))</f>
        <v>15</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1" t="str">
        <f ca="1">SUBSTITUTE(OFFSET(srt!$D$1,D85-1,0),",",".")</f>
        <v>00:12:46.280</v>
      </c>
      <c r="P84" s="1" t="str">
        <f ca="1">SUBSTITUTE(OFFSET(srt!$E$1,D86-2,0),",",".")</f>
        <v>00:12:51.760</v>
      </c>
      <c r="Q84" s="20">
        <f t="shared" ca="1" si="11"/>
        <v>1.7592592592591619E-5</v>
      </c>
      <c r="R84" s="20">
        <f t="shared" si="12"/>
        <v>3.3564814814815262E-5</v>
      </c>
      <c r="S84" s="20">
        <f t="shared" ca="1" si="13"/>
        <v>8.1018518518518462E-5</v>
      </c>
      <c r="T84" s="21">
        <f t="shared" ca="1" si="14"/>
        <v>4.0999999999999561</v>
      </c>
      <c r="U84" s="22" t="s">
        <v>805</v>
      </c>
    </row>
    <row r="85" spans="1:21" x14ac:dyDescent="0.3">
      <c r="A85" t="s">
        <v>602</v>
      </c>
      <c r="B85" s="1" t="str">
        <f t="shared" si="8"/>
        <v>00:07:59.100</v>
      </c>
      <c r="C85" t="str">
        <f t="shared" si="9"/>
        <v>这样，原始求x的问题就转化为了p(H)x=y。</v>
      </c>
      <c r="D85">
        <f t="shared" ca="1" si="15"/>
        <v>233</v>
      </c>
      <c r="E85">
        <f t="shared" ca="1" si="10"/>
        <v>2</v>
      </c>
      <c r="F85" t="str">
        <f ca="1">OFFSET(srt!$C$1,D86-1,0)</f>
        <v>这样原始求x的问题就转化为了phx等于y。</v>
      </c>
      <c r="G85">
        <f ca="1">PrefixLenNorm($C85,OFFSET(srt!$C$1,$D85+COLUMN()-7,0))</f>
        <v>0</v>
      </c>
      <c r="H85">
        <f ca="1">PrefixLenNorm($C85,OFFSET(srt!$C$1,$D85+COLUMN()-7,0))</f>
        <v>20</v>
      </c>
      <c r="I85">
        <f ca="1">PrefixLenNorm($C85,OFFSET(srt!$C$1,$D85+COLUMN()-7,0))</f>
        <v>0</v>
      </c>
      <c r="J85">
        <f ca="1">PrefixLenNorm($C85,OFFSET(srt!$C$1,$D85+COLUMN()-7,0))</f>
        <v>1</v>
      </c>
      <c r="K85">
        <f ca="1">PrefixLenNorm($C85,OFFSET(srt!$C$1,$D85+COLUMN()-7,0))</f>
        <v>0</v>
      </c>
      <c r="L85">
        <f ca="1">PrefixLenNorm($C85,OFFSET(srt!$C$1,$D85+COLUMN()-7,0))</f>
        <v>0</v>
      </c>
      <c r="M85">
        <f ca="1">PrefixLenNorm($C85,OFFSET(srt!$C$1,$D85+COLUMN()-7,0))</f>
        <v>0</v>
      </c>
      <c r="N85">
        <f ca="1">PrefixLenNorm($C85,OFFSET(srt!$C$1,$D85+COLUMN()-7,0))</f>
        <v>0</v>
      </c>
      <c r="O85" s="1" t="str">
        <f ca="1">SUBSTITUTE(OFFSET(srt!$D$1,D86-1,0),",",".")</f>
        <v>00:12:53.280</v>
      </c>
      <c r="P85" s="1" t="str">
        <f ca="1">SUBSTITUTE(OFFSET(srt!$E$1,D87-2,0),",",".")</f>
        <v>00:12:58.160</v>
      </c>
      <c r="Q85" s="20">
        <f t="shared" ca="1" si="11"/>
        <v>1.7592592592591619E-5</v>
      </c>
      <c r="R85" s="20">
        <f t="shared" si="12"/>
        <v>3.3564814814814395E-5</v>
      </c>
      <c r="S85" s="20">
        <f t="shared" ca="1" si="13"/>
        <v>7.4074074074073626E-5</v>
      </c>
      <c r="T85" s="21">
        <f t="shared" ca="1" si="14"/>
        <v>3.4999999999999973</v>
      </c>
      <c r="U85" s="22" t="s">
        <v>806</v>
      </c>
    </row>
    <row r="86" spans="1:21" x14ac:dyDescent="0.3">
      <c r="A86" t="s">
        <v>603</v>
      </c>
      <c r="B86" s="1" t="str">
        <f t="shared" si="8"/>
        <v>00:08:02.000</v>
      </c>
      <c r="C86" t="str">
        <f t="shared" si="9"/>
        <v>现在，我们需要把多项式p(H)的系数计算出来。这个系数构成的向量我们记为p。</v>
      </c>
      <c r="D86">
        <f t="shared" ca="1" si="15"/>
        <v>235</v>
      </c>
      <c r="E86">
        <f t="shared" ca="1" si="10"/>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1" t="str">
        <f ca="1">SUBSTITUTE(OFFSET(srt!$D$1,D87-1,0),",",".")</f>
        <v>00:12:59.680</v>
      </c>
      <c r="P86" s="1" t="str">
        <f ca="1">SUBSTITUTE(OFFSET(srt!$E$1,D88-2,0),",",".")</f>
        <v>00:13:06.560</v>
      </c>
      <c r="Q86" s="20">
        <f t="shared" ca="1" si="11"/>
        <v>1.7592592592595088E-5</v>
      </c>
      <c r="R86" s="20">
        <f t="shared" si="12"/>
        <v>3.3564814814814395E-5</v>
      </c>
      <c r="S86" s="20">
        <f t="shared" ca="1" si="13"/>
        <v>9.7222222222224236E-5</v>
      </c>
      <c r="T86" s="21">
        <f t="shared" ca="1" si="14"/>
        <v>5.5000000000002105</v>
      </c>
      <c r="U86" s="22" t="s">
        <v>807</v>
      </c>
    </row>
    <row r="87" spans="1:21" x14ac:dyDescent="0.3">
      <c r="A87" t="s">
        <v>604</v>
      </c>
      <c r="B87" s="1" t="str">
        <f t="shared" si="8"/>
        <v>00:08:04.900</v>
      </c>
      <c r="C87" t="str">
        <f t="shared" si="9"/>
        <v>为了简化运算，我们只关心矩阵第一行B(0)，记为b。根据刚才K的定义，我们可以得到b=Kp。</v>
      </c>
      <c r="D87">
        <f t="shared" ca="1" si="15"/>
        <v>236</v>
      </c>
      <c r="E87">
        <f t="shared" ca="1" si="10"/>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1" t="str">
        <f ca="1">SUBSTITUTE(OFFSET(srt!$D$1,D88-1,0),",",".")</f>
        <v>00:13:08.080</v>
      </c>
      <c r="P87" s="1" t="str">
        <f ca="1">SUBSTITUTE(OFFSET(srt!$E$1,D89-2,0),",",".")</f>
        <v>00:13:16.240</v>
      </c>
      <c r="Q87" s="20">
        <f t="shared" ca="1" si="11"/>
        <v>1.8518518518518406E-5</v>
      </c>
      <c r="R87" s="20">
        <f t="shared" si="12"/>
        <v>1.4968749999999965E-4</v>
      </c>
      <c r="S87" s="20">
        <f t="shared" ca="1" si="13"/>
        <v>1.1296296296296228E-4</v>
      </c>
      <c r="T87" s="21">
        <f t="shared" ca="1" si="14"/>
        <v>-3.1730000000000285</v>
      </c>
      <c r="U87" s="22" t="s">
        <v>808</v>
      </c>
    </row>
    <row r="88" spans="1:21" x14ac:dyDescent="0.3">
      <c r="A88" t="s">
        <v>605</v>
      </c>
      <c r="B88" s="1" t="str">
        <f t="shared" si="8"/>
        <v>00:08:17.833</v>
      </c>
      <c r="C88" t="str">
        <f t="shared" si="9"/>
        <v>为了求得p，我们可以将两边同时乘以K的逆矩阵，记为F，又称反Krylov矩阵或解耦矩阵。</v>
      </c>
      <c r="D88">
        <f t="shared" ca="1" si="15"/>
        <v>238</v>
      </c>
      <c r="E88">
        <f t="shared" ca="1" si="10"/>
        <v>5</v>
      </c>
      <c r="F88" t="str">
        <f ca="1">OFFSET(srt!$C$1,D89-1,0)</f>
        <v>为了求得P，</v>
      </c>
      <c r="G88">
        <f ca="1">PrefixLenNorm($C88,OFFSET(srt!$C$1,$D88+COLUMN()-7,0))</f>
        <v>0</v>
      </c>
      <c r="H88">
        <f ca="1">PrefixLenNorm($C88,OFFSET(srt!$C$1,$D88+COLUMN()-7,0))</f>
        <v>0</v>
      </c>
      <c r="I88">
        <f ca="1">PrefixLenNorm($C88,OFFSET(srt!$C$1,$D88+COLUMN()-7,0))</f>
        <v>0</v>
      </c>
      <c r="J88">
        <f ca="1">PrefixLenNorm($C88,OFFSET(srt!$C$1,$D88+COLUMN()-7,0))</f>
        <v>0</v>
      </c>
      <c r="K88">
        <f ca="1">PrefixLenNorm($C88,OFFSET(srt!$C$1,$D88+COLUMN()-7,0))</f>
        <v>5</v>
      </c>
      <c r="L88">
        <f ca="1">PrefixLenNorm($C88,OFFSET(srt!$C$1,$D88+COLUMN()-7,0))</f>
        <v>0</v>
      </c>
      <c r="M88">
        <f ca="1">PrefixLenNorm($C88,OFFSET(srt!$C$1,$D88+COLUMN()-7,0))</f>
        <v>0</v>
      </c>
      <c r="N88">
        <f ca="1">PrefixLenNorm($C88,OFFSET(srt!$C$1,$D88+COLUMN()-7,0))</f>
        <v>0</v>
      </c>
      <c r="O88" s="1" t="str">
        <f ca="1">SUBSTITUTE(OFFSET(srt!$D$1,D89-1,0),",",".")</f>
        <v>00:13:17.840</v>
      </c>
      <c r="P88" s="1" t="str">
        <f ca="1">SUBSTITUTE(OFFSET(srt!$E$1,D90-2,0),",",".")</f>
        <v>00:13:25.520</v>
      </c>
      <c r="Q88" s="20">
        <f t="shared" ca="1" si="11"/>
        <v>1.6666666666666566E-5</v>
      </c>
      <c r="R88" s="20">
        <f t="shared" si="12"/>
        <v>4.4375000000001011E-5</v>
      </c>
      <c r="S88" s="20">
        <f t="shared" ca="1" si="13"/>
        <v>1.0555555555555492E-4</v>
      </c>
      <c r="T88" s="21">
        <f t="shared" ca="1" si="14"/>
        <v>5.2859999999998575</v>
      </c>
      <c r="U88" s="22" t="s">
        <v>809</v>
      </c>
    </row>
    <row r="89" spans="1:21" x14ac:dyDescent="0.3">
      <c r="A89" t="s">
        <v>606</v>
      </c>
      <c r="B89" s="1" t="str">
        <f t="shared" si="8"/>
        <v>00:08:21.667</v>
      </c>
      <c r="C89" t="str">
        <f t="shared" si="9"/>
        <v>这个矩阵F也是下三角矩阵，并且和矩阵K看上去差不多，不过并不相同。事实上，这个矩阵F也满足类似的性质。</v>
      </c>
      <c r="D89">
        <f t="shared" ca="1" si="15"/>
        <v>243</v>
      </c>
      <c r="E89">
        <f t="shared" ca="1" si="10"/>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1" t="str">
        <f ca="1">SUBSTITUTE(OFFSET(srt!$D$1,D90-1,0),",",".")</f>
        <v>00:13:26.960</v>
      </c>
      <c r="P89" s="1" t="str">
        <f ca="1">SUBSTITUTE(OFFSET(srt!$E$1,D91-2,0),",",".")</f>
        <v>00:13:38.480</v>
      </c>
      <c r="Q89" s="20">
        <f t="shared" ca="1" si="11"/>
        <v>0</v>
      </c>
      <c r="R89" s="20">
        <f t="shared" si="12"/>
        <v>1.0377314814814798E-4</v>
      </c>
      <c r="S89" s="20">
        <f t="shared" ca="1" si="13"/>
        <v>1.3333333333333426E-4</v>
      </c>
      <c r="T89" s="21">
        <f t="shared" ca="1" si="14"/>
        <v>2.5540000000000953</v>
      </c>
      <c r="U89" s="22" t="s">
        <v>810</v>
      </c>
    </row>
    <row r="90" spans="1:21" x14ac:dyDescent="0.3">
      <c r="A90" t="s">
        <v>607</v>
      </c>
      <c r="B90" s="1" t="str">
        <f t="shared" si="8"/>
        <v>00:08:30.633</v>
      </c>
      <c r="C90" t="str">
        <f t="shared" si="9"/>
        <v>使用这两个性质构造的矩阵K和F，可以证明S=KF为单位矩阵I，有兴趣的小伙伴可以自己试着证明一下。</v>
      </c>
      <c r="D90">
        <f t="shared" ca="1" si="15"/>
        <v>247</v>
      </c>
      <c r="E90">
        <f t="shared" ca="1" si="10"/>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1" t="str">
        <f ca="1">SUBSTITUTE(OFFSET(srt!$D$1,D91-1,0),",",".")</f>
        <v>00:13:38.480</v>
      </c>
      <c r="P90" s="1" t="str">
        <f ca="1">SUBSTITUTE(OFFSET(srt!$E$1,D92-2,0),",",".")</f>
        <v>00:13:47.640</v>
      </c>
      <c r="Q90" s="20">
        <f t="shared" ca="1" si="11"/>
        <v>1.8518518518518406E-5</v>
      </c>
      <c r="R90" s="20">
        <f t="shared" si="12"/>
        <v>3.0092592592591977E-5</v>
      </c>
      <c r="S90" s="20">
        <f t="shared" ca="1" si="13"/>
        <v>1.2453703703703585E-4</v>
      </c>
      <c r="T90" s="21">
        <f t="shared" ca="1" si="14"/>
        <v>8.1599999999999504</v>
      </c>
      <c r="U90" s="22" t="s">
        <v>811</v>
      </c>
    </row>
    <row r="91" spans="1:21" x14ac:dyDescent="0.3">
      <c r="A91" t="s">
        <v>608</v>
      </c>
      <c r="B91" s="1" t="str">
        <f t="shared" si="8"/>
        <v>00:08:33.233</v>
      </c>
      <c r="C91" t="str">
        <f t="shared" si="9"/>
        <v>提示：矩阵S=KF满足十字偶校验约束，也就是满足以上递推公式。</v>
      </c>
      <c r="D91">
        <f t="shared" ca="1" si="15"/>
        <v>252</v>
      </c>
      <c r="E91">
        <f t="shared" ca="1" si="10"/>
        <v>3</v>
      </c>
      <c r="F91" t="str">
        <f ca="1">OFFSET(srt!$C$1,D92-1,0)</f>
        <v>提示矩阵S等于KF满足14偶校验约束，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1" t="str">
        <f ca="1">SUBSTITUTE(OFFSET(srt!$D$1,D92-1,0),",",".")</f>
        <v>00:13:49.240</v>
      </c>
      <c r="P91" s="1" t="str">
        <f ca="1">SUBSTITUTE(OFFSET(srt!$E$1,D93-2,0),",",".")</f>
        <v>00:13:57.360</v>
      </c>
      <c r="Q91" s="20">
        <f t="shared" ca="1" si="11"/>
        <v>0</v>
      </c>
      <c r="R91" s="20">
        <f t="shared" si="12"/>
        <v>5.2858796296296508E-5</v>
      </c>
      <c r="S91" s="20">
        <f t="shared" ca="1" si="13"/>
        <v>9.3981481481481347E-5</v>
      </c>
      <c r="T91" s="21">
        <f t="shared" ca="1" si="14"/>
        <v>3.5529999999999702</v>
      </c>
      <c r="U91" s="22" t="s">
        <v>812</v>
      </c>
    </row>
    <row r="92" spans="1:21" x14ac:dyDescent="0.3">
      <c r="A92" t="s">
        <v>609</v>
      </c>
      <c r="B92" s="1" t="str">
        <f t="shared" si="8"/>
        <v>00:08:37.800</v>
      </c>
      <c r="C92" t="str">
        <f t="shared" si="9"/>
        <v>这里说明一下，矩阵F的每行对应多项式f(n,x)，也就是上集视频《解的数量》章节中提到的OEIS中的Fibonacci多项式。</v>
      </c>
      <c r="D92">
        <f t="shared" ca="1" si="15"/>
        <v>255</v>
      </c>
      <c r="E92">
        <f t="shared" ca="1" si="10"/>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0</v>
      </c>
      <c r="N92">
        <f ca="1">PrefixLenNorm($C92,OFFSET(srt!$C$1,$D92+COLUMN()-7,0))</f>
        <v>1</v>
      </c>
      <c r="O92" s="1" t="str">
        <f ca="1">SUBSTITUTE(OFFSET(srt!$D$1,D93-1,0),",",".")</f>
        <v>00:13:57.360</v>
      </c>
      <c r="P92" s="1" t="str">
        <f ca="1">SUBSTITUTE(OFFSET(srt!$E$1,D94-2,0),",",".")</f>
        <v>00:14:07.560</v>
      </c>
      <c r="Q92" s="20">
        <f t="shared" ca="1" si="11"/>
        <v>1.7129629629630827E-5</v>
      </c>
      <c r="R92" s="20">
        <f t="shared" si="12"/>
        <v>4.2442129629630121E-5</v>
      </c>
      <c r="S92" s="20">
        <f t="shared" ca="1" si="13"/>
        <v>1.351851851851861E-4</v>
      </c>
      <c r="T92" s="21">
        <f t="shared" ca="1" si="14"/>
        <v>8.0130000000000372</v>
      </c>
      <c r="U92" s="22" t="s">
        <v>813</v>
      </c>
    </row>
    <row r="93" spans="1:21" x14ac:dyDescent="0.3">
      <c r="A93" t="s">
        <v>610</v>
      </c>
      <c r="B93" s="1" t="str">
        <f t="shared" si="8"/>
        <v>00:08:41.467</v>
      </c>
      <c r="C93" t="str">
        <f t="shared" si="9"/>
        <v>此外，刚才递推得到的矩阵C对应多项式c(n,x)，等价于《解的数量》章节中提到的f(n,x+1)。</v>
      </c>
      <c r="D93">
        <f t="shared" ca="1" si="15"/>
        <v>257</v>
      </c>
      <c r="E93">
        <f t="shared" ca="1" si="10"/>
        <v>3</v>
      </c>
      <c r="F93" t="str">
        <f ca="1">OFFSET(srt!$C$1,D94-1,0)</f>
        <v>此外，</v>
      </c>
      <c r="G93">
        <f ca="1">PrefixLenNorm($C93,OFFSET(srt!$C$1,$D93+COLUMN()-7,0))</f>
        <v>0</v>
      </c>
      <c r="H93">
        <f ca="1">PrefixLenNorm($C93,OFFSET(srt!$C$1,$D93+COLUMN()-7,0))</f>
        <v>0</v>
      </c>
      <c r="I93">
        <f ca="1">PrefixLenNorm($C93,OFFSET(srt!$C$1,$D93+COLUMN()-7,0))</f>
        <v>2</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1" t="str">
        <f ca="1">SUBSTITUTE(OFFSET(srt!$D$1,D94-1,0),",",".")</f>
        <v>00:14:09.040</v>
      </c>
      <c r="P93" s="1" t="str">
        <f ca="1">SUBSTITUTE(OFFSET(srt!$E$1,D95-2,0),",",".")</f>
        <v>00:14:17.520</v>
      </c>
      <c r="Q93" s="20">
        <f t="shared" ca="1" si="11"/>
        <v>1.8518518518518406E-5</v>
      </c>
      <c r="R93" s="20">
        <f t="shared" si="12"/>
        <v>4.0509259259259231E-5</v>
      </c>
      <c r="S93" s="20">
        <f t="shared" ca="1" si="13"/>
        <v>1.1666666666666596E-4</v>
      </c>
      <c r="T93" s="21">
        <f t="shared" ca="1" si="14"/>
        <v>6.5799999999999415</v>
      </c>
      <c r="U93" s="22" t="s">
        <v>814</v>
      </c>
    </row>
    <row r="94" spans="1:21" x14ac:dyDescent="0.3">
      <c r="A94" t="s">
        <v>611</v>
      </c>
      <c r="B94" s="1" t="str">
        <f t="shared" si="8"/>
        <v>00:08:44.967</v>
      </c>
      <c r="C94" t="str">
        <f t="shared" si="9"/>
        <v>这个证明也不难，可以由F和C的关系求出F和C的递推公式，或者由递推公式反推。</v>
      </c>
      <c r="D94">
        <f t="shared" ca="1" si="15"/>
        <v>260</v>
      </c>
      <c r="E94">
        <f t="shared" ca="1" si="10"/>
        <v>3</v>
      </c>
      <c r="F94" t="str">
        <f ca="1">OFFSET(srt!$C$1,D95-1,0)</f>
        <v>这个证明也不难，</v>
      </c>
      <c r="G94">
        <f ca="1">PrefixLenNorm($C94,OFFSET(srt!$C$1,$D94+COLUMN()-7,0))</f>
        <v>0</v>
      </c>
      <c r="H94">
        <f ca="1">PrefixLenNorm($C94,OFFSET(srt!$C$1,$D94+COLUMN()-7,0))</f>
        <v>0</v>
      </c>
      <c r="I94">
        <f ca="1">PrefixLenNorm($C94,OFFSET(srt!$C$1,$D94+COLUMN()-7,0))</f>
        <v>7</v>
      </c>
      <c r="J94">
        <f ca="1">PrefixLenNorm($C94,OFFSET(srt!$C$1,$D94+COLUMN()-7,0))</f>
        <v>0</v>
      </c>
      <c r="K94">
        <f ca="1">PrefixLenNorm($C94,OFFSET(srt!$C$1,$D94+COLUMN()-7,0))</f>
        <v>0</v>
      </c>
      <c r="L94">
        <f ca="1">PrefixLenNorm($C94,OFFSET(srt!$C$1,$D94+COLUMN()-7,0))</f>
        <v>1</v>
      </c>
      <c r="M94">
        <f ca="1">PrefixLenNorm($C94,OFFSET(srt!$C$1,$D94+COLUMN()-7,0))</f>
        <v>0</v>
      </c>
      <c r="N94">
        <f ca="1">PrefixLenNorm($C94,OFFSET(srt!$C$1,$D94+COLUMN()-7,0))</f>
        <v>0</v>
      </c>
      <c r="O94" s="1" t="str">
        <f ca="1">SUBSTITUTE(OFFSET(srt!$D$1,D95-1,0),",",".")</f>
        <v>00:14:19.120</v>
      </c>
      <c r="P94" s="1" t="str">
        <f ca="1">SUBSTITUTE(OFFSET(srt!$E$1,D96-2,0),",",".")</f>
        <v>00:14:26.320</v>
      </c>
      <c r="Q94" s="20">
        <f t="shared" ca="1" si="11"/>
        <v>1.6666666666664831E-5</v>
      </c>
      <c r="R94" s="20">
        <f t="shared" si="12"/>
        <v>3.0092592592592844E-5</v>
      </c>
      <c r="S94" s="20">
        <f t="shared" ca="1" si="13"/>
        <v>9.9999999999999395E-5</v>
      </c>
      <c r="T94" s="21">
        <f t="shared" ca="1" si="14"/>
        <v>6.0399999999999263</v>
      </c>
      <c r="U94" s="22" t="s">
        <v>815</v>
      </c>
    </row>
    <row r="95" spans="1:21" x14ac:dyDescent="0.3">
      <c r="A95" t="s">
        <v>612</v>
      </c>
      <c r="B95" s="1" t="str">
        <f t="shared" si="8"/>
        <v>00:08:47.567</v>
      </c>
      <c r="C95" t="str">
        <f t="shared" si="9"/>
        <v>同时，B(n)矩阵也可以表示为以上形式。这里的H⊕I等价于x+1。</v>
      </c>
      <c r="D95">
        <f t="shared" ca="1" si="15"/>
        <v>263</v>
      </c>
      <c r="E95">
        <f t="shared" ca="1" si="10"/>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1" t="str">
        <f ca="1">SUBSTITUTE(OFFSET(srt!$D$1,D96-1,0),",",".")</f>
        <v>00:14:27.760</v>
      </c>
      <c r="P95" s="1" t="str">
        <f ca="1">SUBSTITUTE(OFFSET(srt!$E$1,D97-2,0),",",".")</f>
        <v>00:14:34.080</v>
      </c>
      <c r="Q95" s="20">
        <f t="shared" ca="1" si="11"/>
        <v>1.8518518518516672E-5</v>
      </c>
      <c r="R95" s="20">
        <f t="shared" si="12"/>
        <v>6.1342592592592005E-5</v>
      </c>
      <c r="S95" s="20">
        <f t="shared" ca="1" si="13"/>
        <v>9.1666666666666979E-5</v>
      </c>
      <c r="T95" s="21">
        <f t="shared" ca="1" si="14"/>
        <v>2.6200000000000778</v>
      </c>
      <c r="U95" s="22" t="s">
        <v>816</v>
      </c>
    </row>
    <row r="96" spans="1:21" x14ac:dyDescent="0.3">
      <c r="A96" t="s">
        <v>613</v>
      </c>
      <c r="B96" s="1" t="str">
        <f t="shared" si="8"/>
        <v>00:08:52.867</v>
      </c>
      <c r="C96" t="str">
        <f t="shared" si="9"/>
        <v>让我们继续求p。由于F和K互逆，于是我们有：Fb=FKp=p。将向量b和矩阵F相乘，我们便求出了p。</v>
      </c>
      <c r="D96">
        <f t="shared" ca="1" si="15"/>
        <v>265</v>
      </c>
      <c r="E96">
        <f t="shared" ca="1" si="10"/>
        <v>2</v>
      </c>
      <c r="F96" t="str">
        <f ca="1">OFFSET(srt!$C$1,D97-1,0)</f>
        <v>让我们继续求P，</v>
      </c>
      <c r="G96">
        <f ca="1">PrefixLenNorm($C96,OFFSET(srt!$C$1,$D96+COLUMN()-7,0))</f>
        <v>0</v>
      </c>
      <c r="H96">
        <f ca="1">PrefixLenNorm($C96,OFFSET(srt!$C$1,$D96+COLUMN()-7,0))</f>
        <v>7</v>
      </c>
      <c r="I96">
        <f ca="1">PrefixLenNorm($C96,OFFSET(srt!$C$1,$D96+COLUMN()-7,0))</f>
        <v>0</v>
      </c>
      <c r="J96">
        <f ca="1">PrefixLenNorm($C96,OFFSET(srt!$C$1,$D96+COLUMN()-7,0))</f>
        <v>0</v>
      </c>
      <c r="K96">
        <f ca="1">PrefixLenNorm($C96,OFFSET(srt!$C$1,$D96+COLUMN()-7,0))</f>
        <v>0</v>
      </c>
      <c r="L96">
        <f ca="1">PrefixLenNorm($C96,OFFSET(srt!$C$1,$D96+COLUMN()-7,0))</f>
        <v>0</v>
      </c>
      <c r="M96">
        <f ca="1">PrefixLenNorm($C96,OFFSET(srt!$C$1,$D96+COLUMN()-7,0))</f>
        <v>0</v>
      </c>
      <c r="N96">
        <f ca="1">PrefixLenNorm($C96,OFFSET(srt!$C$1,$D96+COLUMN()-7,0))</f>
        <v>0</v>
      </c>
      <c r="O96" s="1" t="str">
        <f ca="1">SUBSTITUTE(OFFSET(srt!$D$1,D97-1,0),",",".")</f>
        <v>00:14:35.680</v>
      </c>
      <c r="P96" s="1" t="str">
        <f ca="1">SUBSTITUTE(OFFSET(srt!$E$1,D98-2,0),",",".")</f>
        <v>00:14:46.880</v>
      </c>
      <c r="Q96" s="20">
        <f t="shared" ca="1" si="11"/>
        <v>1.8518518518518406E-5</v>
      </c>
      <c r="R96" s="20">
        <f t="shared" si="12"/>
        <v>5.3240740740740852E-5</v>
      </c>
      <c r="S96" s="20">
        <f t="shared" ca="1" si="13"/>
        <v>1.4814814814814899E-4</v>
      </c>
      <c r="T96" s="21">
        <f t="shared" ca="1" si="14"/>
        <v>8.2000000000000632</v>
      </c>
      <c r="U96" s="22" t="s">
        <v>817</v>
      </c>
    </row>
    <row r="97" spans="1:21" x14ac:dyDescent="0.3">
      <c r="A97" t="s">
        <v>614</v>
      </c>
      <c r="B97" s="1" t="str">
        <f t="shared" si="8"/>
        <v>00:08:57.467</v>
      </c>
      <c r="C97" t="str">
        <f t="shared" si="9"/>
        <v>为了和视频中演示的一致，由于b是竖着的，因此写为p=Fb。对于矩阵乘法运算来说，则有P=B''F。这里省去了转置符号。</v>
      </c>
      <c r="D97">
        <f t="shared" ca="1" si="15"/>
        <v>267</v>
      </c>
      <c r="E97">
        <f t="shared" ca="1" si="10"/>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1" t="str">
        <f ca="1">SUBSTITUTE(OFFSET(srt!$D$1,D98-1,0),",",".")</f>
        <v>00:14:48.480</v>
      </c>
      <c r="P97" s="1" t="str">
        <f ca="1">SUBSTITUTE(OFFSET(srt!$E$1,D99-2,0),",",".")</f>
        <v>00:15:02.520</v>
      </c>
      <c r="Q97" s="20">
        <f t="shared" ca="1" si="11"/>
        <v>0</v>
      </c>
      <c r="R97" s="20">
        <f t="shared" si="12"/>
        <v>8.7187500000000459E-5</v>
      </c>
      <c r="S97" s="20">
        <f t="shared" ca="1" si="13"/>
        <v>1.6249999999999945E-4</v>
      </c>
      <c r="T97" s="21">
        <f t="shared" ca="1" si="14"/>
        <v>6.5069999999999126</v>
      </c>
      <c r="U97" s="22" t="s">
        <v>818</v>
      </c>
    </row>
    <row r="98" spans="1:21" x14ac:dyDescent="0.3">
      <c r="A98" t="s">
        <v>615</v>
      </c>
      <c r="B98" s="1" t="str">
        <f t="shared" si="8"/>
        <v>00:09:05.000</v>
      </c>
      <c r="C98" t="str">
        <f t="shared" si="9"/>
        <v>将多项式p(x)写成矩阵的形式，记为P。</v>
      </c>
      <c r="D98">
        <f t="shared" ca="1" si="15"/>
        <v>272</v>
      </c>
      <c r="E98">
        <f t="shared" ca="1" si="10"/>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1" t="str">
        <f ca="1">SUBSTITUTE(OFFSET(srt!$D$1,D99-1,0),",",".")</f>
        <v>00:15:02.520</v>
      </c>
      <c r="P98" s="1" t="str">
        <f ca="1">SUBSTITUTE(OFFSET(srt!$E$1,D100-2,0),",",".")</f>
        <v>00:15:06.160</v>
      </c>
      <c r="Q98" s="20">
        <f t="shared" ca="1" si="11"/>
        <v>1.7592592592591619E-5</v>
      </c>
      <c r="R98" s="20">
        <f t="shared" si="12"/>
        <v>4.8229166666666906E-5</v>
      </c>
      <c r="S98" s="20">
        <f t="shared" ca="1" si="13"/>
        <v>5.9722222222221427E-5</v>
      </c>
      <c r="T98" s="21">
        <f t="shared" ca="1" si="14"/>
        <v>0.99299999999991062</v>
      </c>
      <c r="U98" s="22" t="s">
        <v>819</v>
      </c>
    </row>
    <row r="99" spans="1:21" x14ac:dyDescent="0.3">
      <c r="A99" t="s">
        <v>616</v>
      </c>
      <c r="B99" s="1" t="str">
        <f t="shared" si="8"/>
        <v>00:09:09.167</v>
      </c>
      <c r="C99" t="str">
        <f t="shared" si="9"/>
        <v>有了p=Fb之后，后续的计算我们都不需要用到完整的B，而只需要B的第一行，即向量b。</v>
      </c>
      <c r="D99">
        <f t="shared" ca="1" si="15"/>
        <v>278</v>
      </c>
      <c r="E99">
        <f t="shared" ca="1" si="10"/>
        <v>1</v>
      </c>
      <c r="F99" t="str">
        <f ca="1">OFFSET(srt!$C$1,D100-1,0)</f>
        <v>有了P等于FB之后，</v>
      </c>
      <c r="G99">
        <f ca="1">PrefixLenNorm($C99,OFFSET(srt!$C$1,$D99+COLUMN()-7,0))</f>
        <v>9</v>
      </c>
      <c r="H99">
        <f ca="1">PrefixLenNorm($C99,OFFSET(srt!$C$1,$D99+COLUMN()-7,0))</f>
        <v>0</v>
      </c>
      <c r="I99">
        <f ca="1">PrefixLenNorm($C99,OFFSET(srt!$C$1,$D99+COLUMN()-7,0))</f>
        <v>0</v>
      </c>
      <c r="J99">
        <f ca="1">PrefixLenNorm($C99,OFFSET(srt!$C$1,$D99+COLUMN()-7,0))</f>
        <v>0</v>
      </c>
      <c r="K99">
        <f ca="1">PrefixLenNorm($C99,OFFSET(srt!$C$1,$D99+COLUMN()-7,0))</f>
        <v>0</v>
      </c>
      <c r="L99">
        <f ca="1">PrefixLenNorm($C99,OFFSET(srt!$C$1,$D99+COLUMN()-7,0))</f>
        <v>0</v>
      </c>
      <c r="M99">
        <f ca="1">PrefixLenNorm($C99,OFFSET(srt!$C$1,$D99+COLUMN()-7,0))</f>
        <v>0</v>
      </c>
      <c r="N99">
        <f ca="1">PrefixLenNorm($C99,OFFSET(srt!$C$1,$D99+COLUMN()-7,0))</f>
        <v>0</v>
      </c>
      <c r="O99" s="1" t="str">
        <f ca="1">SUBSTITUTE(OFFSET(srt!$D$1,D100-1,0),",",".")</f>
        <v>00:15:07.680</v>
      </c>
      <c r="P99" s="1" t="str">
        <f ca="1">SUBSTITUTE(OFFSET(srt!$E$1,D101-2,0),",",".")</f>
        <v>00:15:15.560</v>
      </c>
      <c r="Q99" s="20">
        <f t="shared" ca="1" si="11"/>
        <v>1.805555555555588E-5</v>
      </c>
      <c r="R99" s="20">
        <f t="shared" si="12"/>
        <v>8.6030092592592408E-5</v>
      </c>
      <c r="S99" s="20">
        <f t="shared" ca="1" si="13"/>
        <v>1.0925925925926033E-4</v>
      </c>
      <c r="T99" s="21">
        <f t="shared" ca="1" si="14"/>
        <v>2.0070000000001089</v>
      </c>
      <c r="U99" s="22" t="s">
        <v>820</v>
      </c>
    </row>
    <row r="100" spans="1:21" x14ac:dyDescent="0.3">
      <c r="A100" t="s">
        <v>617</v>
      </c>
      <c r="B100" s="1" t="str">
        <f t="shared" si="8"/>
        <v>00:09:16.600</v>
      </c>
      <c r="C100" t="str">
        <f t="shared" si="9"/>
        <v>这是因为，问题已经从Bx=y转化为了p(H)x=y。因此，在前面说到的生成矩阵，也只需要计算向量b，也就是矩阵B'。</v>
      </c>
      <c r="D100">
        <f t="shared" ca="1" si="15"/>
        <v>279</v>
      </c>
      <c r="E100">
        <f t="shared" ca="1" si="10"/>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1" t="str">
        <f ca="1">SUBSTITUTE(OFFSET(srt!$D$1,D101-1,0),",",".")</f>
        <v>00:15:17.120</v>
      </c>
      <c r="P100" s="1" t="str">
        <f ca="1">SUBSTITUTE(OFFSET(srt!$E$1,D102-2,0),",",".")</f>
        <v>00:15:28.840</v>
      </c>
      <c r="Q100" s="20">
        <f t="shared" ca="1" si="11"/>
        <v>1.8981481481480933E-5</v>
      </c>
      <c r="R100" s="20">
        <f t="shared" si="12"/>
        <v>6.51967592592579E-5</v>
      </c>
      <c r="S100" s="20">
        <f t="shared" ca="1" si="13"/>
        <v>1.5462962962962956E-4</v>
      </c>
      <c r="T100" s="21">
        <f t="shared" ca="1" si="14"/>
        <v>7.7270000000001113</v>
      </c>
      <c r="U100" s="22" t="s">
        <v>821</v>
      </c>
    </row>
    <row r="101" spans="1:21" x14ac:dyDescent="0.3">
      <c r="A101" t="s">
        <v>618</v>
      </c>
      <c r="B101" s="1" t="str">
        <f t="shared" si="8"/>
        <v>00:09:22.233</v>
      </c>
      <c r="C101" t="str">
        <f t="shared" si="9"/>
        <v>由于在不同n的情况下计算b的公式是一样的，我们可以把n-1情况下算出的b，直接用于计算n的情况。</v>
      </c>
      <c r="D101">
        <f t="shared" ca="1" si="15"/>
        <v>282</v>
      </c>
      <c r="E101">
        <f t="shared" ca="1" si="10"/>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1" t="str">
        <f ca="1">SUBSTITUTE(OFFSET(srt!$D$1,D102-1,0),",",".")</f>
        <v>00:15:30.480</v>
      </c>
      <c r="P101" s="1" t="str">
        <f ca="1">SUBSTITUTE(OFFSET(srt!$E$1,D103-2,0),",",".")</f>
        <v>00:15:38.520</v>
      </c>
      <c r="Q101" s="20">
        <f t="shared" ca="1" si="11"/>
        <v>1.7129629629629092E-5</v>
      </c>
      <c r="R101" s="20">
        <f t="shared" si="12"/>
        <v>4.0127314814816621E-5</v>
      </c>
      <c r="S101" s="20">
        <f t="shared" ca="1" si="13"/>
        <v>1.1018518518518539E-4</v>
      </c>
      <c r="T101" s="21">
        <f t="shared" ca="1" si="14"/>
        <v>6.0529999999998614</v>
      </c>
      <c r="U101" s="22" t="s">
        <v>822</v>
      </c>
    </row>
    <row r="102" spans="1:21" x14ac:dyDescent="0.3">
      <c r="A102" t="s">
        <v>619</v>
      </c>
      <c r="B102" s="1" t="str">
        <f t="shared" si="8"/>
        <v>00:09:25.700</v>
      </c>
      <c r="C102" t="str">
        <f t="shared" si="9"/>
        <v>这样，如果我们是从n=0开始计算的，我们只需要O(n)的时间复杂度便可求出b。</v>
      </c>
      <c r="D102">
        <f t="shared" ca="1" si="15"/>
        <v>285</v>
      </c>
      <c r="E102">
        <f t="shared" ca="1" si="10"/>
        <v>2</v>
      </c>
      <c r="F102" t="str">
        <f ca="1">OFFSET(srt!$C$1,D103-1,0)</f>
        <v>这样如果我们是从N等于0开始计算的，</v>
      </c>
      <c r="G102">
        <f ca="1">PrefixLenNorm($C102,OFFSET(srt!$C$1,$D102+COLUMN()-7,0))</f>
        <v>0</v>
      </c>
      <c r="H102">
        <f ca="1">PrefixLenNorm($C102,OFFSET(srt!$C$1,$D102+COLUMN()-7,0))</f>
        <v>17</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1" t="str">
        <f ca="1">SUBSTITUTE(OFFSET(srt!$D$1,D103-1,0),",",".")</f>
        <v>00:15:40.000</v>
      </c>
      <c r="P102" s="1" t="str">
        <f ca="1">SUBSTITUTE(OFFSET(srt!$E$1,D104-2,0),",",".")</f>
        <v>00:15:46.800</v>
      </c>
      <c r="Q102" s="20">
        <f t="shared" ca="1" si="11"/>
        <v>1.736111111111209E-5</v>
      </c>
      <c r="R102" s="20">
        <f t="shared" si="12"/>
        <v>5.1307870370369962E-5</v>
      </c>
      <c r="S102" s="20">
        <f t="shared" ca="1" si="13"/>
        <v>9.606481481481445E-5</v>
      </c>
      <c r="T102" s="21">
        <f t="shared" ca="1" si="14"/>
        <v>3.8670000000000035</v>
      </c>
      <c r="U102" s="22" t="s">
        <v>823</v>
      </c>
    </row>
    <row r="103" spans="1:21" x14ac:dyDescent="0.3">
      <c r="A103" t="s">
        <v>620</v>
      </c>
      <c r="B103" s="1" t="str">
        <f t="shared" si="8"/>
        <v>00:09:30.133</v>
      </c>
      <c r="C103" t="str">
        <f t="shared" si="9"/>
        <v>同样，计算K和F也是如此。因为每行之间有递推公式，如果从n=0开始计算，也可以在O(n)时间内求出。</v>
      </c>
      <c r="D103">
        <f t="shared" ca="1" si="15"/>
        <v>287</v>
      </c>
      <c r="E103">
        <f t="shared" ca="1" si="10"/>
        <v>2</v>
      </c>
      <c r="F103" t="str">
        <f ca="1">OFFSET(srt!$C$1,D104-1,0)</f>
        <v>同样计算K和F也是如此，</v>
      </c>
      <c r="G103">
        <f ca="1">PrefixLenNorm($C103,OFFSET(srt!$C$1,$D103+COLUMN()-7,0))</f>
        <v>0</v>
      </c>
      <c r="H103">
        <f ca="1">PrefixLenNorm($C103,OFFSET(srt!$C$1,$D103+COLUMN()-7,0))</f>
        <v>11</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1" t="str">
        <f ca="1">SUBSTITUTE(OFFSET(srt!$D$1,D104-1,0),",",".")</f>
        <v>00:15:48.300</v>
      </c>
      <c r="P103" s="1" t="str">
        <f ca="1">SUBSTITUTE(OFFSET(srt!$E$1,D105-2,0),",",".")</f>
        <v>00:15:58.020</v>
      </c>
      <c r="Q103" s="20">
        <f t="shared" ca="1" si="11"/>
        <v>1.7129629629630827E-5</v>
      </c>
      <c r="R103" s="20">
        <f t="shared" si="12"/>
        <v>7.1759259259258391E-5</v>
      </c>
      <c r="S103" s="20">
        <f t="shared" ca="1" si="13"/>
        <v>1.2962962962963058E-4</v>
      </c>
      <c r="T103" s="21">
        <f t="shared" ca="1" si="14"/>
        <v>5.0000000000001572</v>
      </c>
      <c r="U103" s="22" t="s">
        <v>824</v>
      </c>
    </row>
    <row r="104" spans="1:21" x14ac:dyDescent="0.3">
      <c r="A104" t="s">
        <v>621</v>
      </c>
      <c r="B104" s="1" t="str">
        <f t="shared" si="8"/>
        <v>00:09:36.333</v>
      </c>
      <c r="C104" t="str">
        <f t="shared" si="9"/>
        <v>如果需要直接计算特定n，可以用其它方法优化到O(n·log(n))。因为这里的算法不涉及这个优化，因此就不展开了。</v>
      </c>
      <c r="D104">
        <f t="shared" ca="1" si="15"/>
        <v>289</v>
      </c>
      <c r="E104">
        <f t="shared" ca="1" si="10"/>
        <v>4</v>
      </c>
      <c r="F104" t="str">
        <f ca="1">OFFSET(srt!$C$1,D105-1,0)</f>
        <v>如果需要直接计算特定N，</v>
      </c>
      <c r="G104">
        <f ca="1">PrefixLenNorm($C104,OFFSET(srt!$C$1,$D104+COLUMN()-7,0))</f>
        <v>0</v>
      </c>
      <c r="H104">
        <f ca="1">PrefixLenNorm($C104,OFFSET(srt!$C$1,$D104+COLUMN()-7,0))</f>
        <v>2</v>
      </c>
      <c r="I104">
        <f ca="1">PrefixLenNorm($C104,OFFSET(srt!$C$1,$D104+COLUMN()-7,0))</f>
        <v>0</v>
      </c>
      <c r="J104">
        <f ca="1">PrefixLenNorm($C104,OFFSET(srt!$C$1,$D104+COLUMN()-7,0))</f>
        <v>11</v>
      </c>
      <c r="K104">
        <f ca="1">PrefixLenNorm($C104,OFFSET(srt!$C$1,$D104+COLUMN()-7,0))</f>
        <v>0</v>
      </c>
      <c r="L104">
        <f ca="1">PrefixLenNorm($C104,OFFSET(srt!$C$1,$D104+COLUMN()-7,0))</f>
        <v>0</v>
      </c>
      <c r="M104">
        <f ca="1">PrefixLenNorm($C104,OFFSET(srt!$C$1,$D104+COLUMN()-7,0))</f>
        <v>0</v>
      </c>
      <c r="N104">
        <f ca="1">PrefixLenNorm($C104,OFFSET(srt!$C$1,$D104+COLUMN()-7,0))</f>
        <v>0</v>
      </c>
      <c r="O104" s="1" t="str">
        <f ca="1">SUBSTITUTE(OFFSET(srt!$D$1,D105-1,0),",",".")</f>
        <v>00:15:59.500</v>
      </c>
      <c r="P104" s="1" t="str">
        <f ca="1">SUBSTITUTE(OFFSET(srt!$E$1,D106-2,0),",",".")</f>
        <v>00:16:10.540</v>
      </c>
      <c r="Q104" s="20">
        <f t="shared" ca="1" si="11"/>
        <v>0</v>
      </c>
      <c r="R104" s="20">
        <f t="shared" si="12"/>
        <v>4.4375000000001011E-5</v>
      </c>
      <c r="S104" s="20">
        <f t="shared" ca="1" si="13"/>
        <v>1.27777777777777E-4</v>
      </c>
      <c r="T104" s="21">
        <f t="shared" ca="1" si="14"/>
        <v>7.2059999999998459</v>
      </c>
      <c r="U104" s="22" t="s">
        <v>825</v>
      </c>
    </row>
    <row r="105" spans="1:21" x14ac:dyDescent="0.3">
      <c r="A105" t="s">
        <v>622</v>
      </c>
      <c r="B105" s="1" t="str">
        <f t="shared" si="8"/>
        <v>00:09:40.167</v>
      </c>
      <c r="C105" t="str">
        <f t="shared" si="9"/>
        <v>为了求出p=Fb，我们需要将向量和矩阵相乘，一般情况下，其时间复杂度是O(n²)。</v>
      </c>
      <c r="D105">
        <f t="shared" ca="1" si="15"/>
        <v>293</v>
      </c>
      <c r="E105">
        <f t="shared" ca="1" si="10"/>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1" t="str">
        <f ca="1">SUBSTITUTE(OFFSET(srt!$D$1,D106-1,0),",",".")</f>
        <v>00:16:10.540</v>
      </c>
      <c r="P105" s="1" t="str">
        <f ca="1">SUBSTITUTE(OFFSET(srt!$E$1,D107-2,0),",",".")</f>
        <v>00:16:20.380</v>
      </c>
      <c r="Q105" s="20">
        <f t="shared" ca="1" si="11"/>
        <v>0</v>
      </c>
      <c r="R105" s="20">
        <f t="shared" si="12"/>
        <v>7.9467592592591917E-5</v>
      </c>
      <c r="S105" s="20">
        <f t="shared" ca="1" si="13"/>
        <v>1.1388888888888907E-4</v>
      </c>
      <c r="T105" s="21">
        <f t="shared" ca="1" si="14"/>
        <v>2.9740000000000739</v>
      </c>
      <c r="U105" s="22" t="s">
        <v>826</v>
      </c>
    </row>
    <row r="106" spans="1:21" x14ac:dyDescent="0.3">
      <c r="A106" t="s">
        <v>623</v>
      </c>
      <c r="B106" s="1" t="str">
        <f t="shared" si="8"/>
        <v>00:09:47.033</v>
      </c>
      <c r="C106" t="str">
        <f t="shared" si="9"/>
        <v>因为矩阵F是有递推规律的，理论上使用FFT等算法，可以把乘法优化到O(n·log(n))。</v>
      </c>
      <c r="D106">
        <f t="shared" ca="1" si="15"/>
        <v>297</v>
      </c>
      <c r="E106">
        <f t="shared" ca="1" si="10"/>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1" t="str">
        <f ca="1">SUBSTITUTE(OFFSET(srt!$D$1,D107-1,0),",",".")</f>
        <v>00:16:20.380</v>
      </c>
      <c r="P106" s="1" t="str">
        <f ca="1">SUBSTITUTE(OFFSET(srt!$E$1,D108-2,0),",",".")</f>
        <v>00:16:27.500</v>
      </c>
      <c r="Q106" s="20">
        <f t="shared" ca="1" si="11"/>
        <v>0</v>
      </c>
      <c r="R106" s="20">
        <f t="shared" si="12"/>
        <v>2.5081018518518898E-5</v>
      </c>
      <c r="S106" s="20">
        <f t="shared" ca="1" si="13"/>
        <v>8.2407407407407776E-5</v>
      </c>
      <c r="T106" s="21">
        <f t="shared" ca="1" si="14"/>
        <v>4.9529999999999994</v>
      </c>
      <c r="U106" s="22" t="s">
        <v>827</v>
      </c>
    </row>
    <row r="107" spans="1:21" x14ac:dyDescent="0.3">
      <c r="A107" t="s">
        <v>624</v>
      </c>
      <c r="B107" s="1" t="str">
        <f t="shared" si="8"/>
        <v>00:09:49.200</v>
      </c>
      <c r="C107" t="str">
        <f t="shared" si="9"/>
        <v>另一方面，这里在计算p的时候，我们将B''的对角线去除了，即P=B''F。假如我们保留B''的对角线，则有C=B'F。</v>
      </c>
      <c r="D107">
        <f t="shared" ca="1" si="15"/>
        <v>301</v>
      </c>
      <c r="E107">
        <f t="shared" ca="1" si="10"/>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1" t="str">
        <f ca="1">SUBSTITUTE(OFFSET(srt!$D$1,D108-1,0),",",".")</f>
        <v>00:16:27.500</v>
      </c>
      <c r="P107" s="1" t="str">
        <f ca="1">SUBSTITUTE(OFFSET(srt!$E$1,D109-2,0),",",".")</f>
        <v>00:16:41.020</v>
      </c>
      <c r="Q107" s="20">
        <f t="shared" ca="1" si="11"/>
        <v>1.8981481481480933E-5</v>
      </c>
      <c r="R107" s="20">
        <f t="shared" si="12"/>
        <v>9.4907407407406399E-5</v>
      </c>
      <c r="S107" s="20">
        <f t="shared" ca="1" si="13"/>
        <v>1.7546296296296233E-4</v>
      </c>
      <c r="T107" s="21">
        <f t="shared" ca="1" si="14"/>
        <v>6.9600000000000328</v>
      </c>
      <c r="U107" s="22" t="s">
        <v>828</v>
      </c>
    </row>
    <row r="108" spans="1:21" x14ac:dyDescent="0.3">
      <c r="A108" t="s">
        <v>625</v>
      </c>
      <c r="B108" s="1" t="str">
        <f t="shared" si="8"/>
        <v>00:09:57.400</v>
      </c>
      <c r="C108" t="str">
        <f t="shared" si="9"/>
        <v>为了证明这一点，我们假定B'F=C'，得出以上递推公式。由于C'的递推公式和C是相同的，因此这里的C'就是C，即C'=C=B'F。</v>
      </c>
      <c r="D108">
        <f t="shared" ca="1" si="15"/>
        <v>303</v>
      </c>
      <c r="E108">
        <f t="shared" ca="1" si="10"/>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1" t="str">
        <f ca="1">SUBSTITUTE(OFFSET(srt!$D$1,D109-1,0),",",".")</f>
        <v>00:16:42.660</v>
      </c>
      <c r="P108" s="1" t="str">
        <f ca="1">SUBSTITUTE(OFFSET(srt!$E$1,D110-2,0),",",".")</f>
        <v>00:16:56.180</v>
      </c>
      <c r="Q108" s="20">
        <f t="shared" ca="1" si="11"/>
        <v>1.7129629629629092E-5</v>
      </c>
      <c r="R108" s="20">
        <f t="shared" si="12"/>
        <v>6.5972222222223341E-5</v>
      </c>
      <c r="S108" s="20">
        <f t="shared" ca="1" si="13"/>
        <v>1.7361111111111049E-4</v>
      </c>
      <c r="T108" s="21">
        <f t="shared" ca="1" si="14"/>
        <v>9.2999999999998497</v>
      </c>
      <c r="U108" s="22" t="s">
        <v>829</v>
      </c>
    </row>
    <row r="109" spans="1:21" x14ac:dyDescent="0.3">
      <c r="A109" t="s">
        <v>626</v>
      </c>
      <c r="B109" s="1" t="str">
        <f t="shared" si="8"/>
        <v>00:10:03.100</v>
      </c>
      <c r="C109" t="str">
        <f t="shared" si="9"/>
        <v>由于C=B'F，我们可以推得P=C⊕F。因此，我们可以计算出C和F，叠加后直接求得P，无需使用矩阵乘法。</v>
      </c>
      <c r="D109">
        <f t="shared" ca="1" si="15"/>
        <v>309</v>
      </c>
      <c r="E109">
        <f t="shared" ca="1" si="10"/>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1" t="str">
        <f ca="1">SUBSTITUTE(OFFSET(srt!$D$1,D110-1,0),",",".")</f>
        <v>00:16:57.660</v>
      </c>
      <c r="P109" s="1" t="str">
        <f ca="1">SUBSTITUTE(OFFSET(srt!$E$1,D111-2,0),",",".")</f>
        <v>00:17:08.340</v>
      </c>
      <c r="Q109" s="20">
        <f t="shared" ca="1" si="11"/>
        <v>1.7129629629630827E-5</v>
      </c>
      <c r="R109" s="20">
        <f t="shared" si="12"/>
        <v>3.3564814814814395E-5</v>
      </c>
      <c r="S109" s="20">
        <f t="shared" ca="1" si="13"/>
        <v>1.4074074074074162E-4</v>
      </c>
      <c r="T109" s="21">
        <f t="shared" ca="1" si="14"/>
        <v>9.2600000000001117</v>
      </c>
      <c r="U109" s="22" t="s">
        <v>830</v>
      </c>
    </row>
    <row r="110" spans="1:21" x14ac:dyDescent="0.3">
      <c r="A110" t="s">
        <v>627</v>
      </c>
      <c r="B110" s="1" t="str">
        <f t="shared" si="8"/>
        <v>00:10:06.000</v>
      </c>
      <c r="C110" t="str">
        <f t="shared" si="9"/>
        <v>同时，由于P=C⊕F，P也可以写成这个递推公式，从而无需B，C或F，直接在O(n)的时间内，由P的递推公式推得。</v>
      </c>
      <c r="D110">
        <f t="shared" ca="1" si="15"/>
        <v>314</v>
      </c>
      <c r="E110">
        <f t="shared" ca="1" si="10"/>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1" t="str">
        <f ca="1">SUBSTITUTE(OFFSET(srt!$D$1,D111-1,0),",",".")</f>
        <v>00:17:09.820</v>
      </c>
      <c r="P110" s="1" t="str">
        <f ca="1">SUBSTITUTE(OFFSET(srt!$E$1,D112-2,0),",",".")</f>
        <v>00:17:20.940</v>
      </c>
      <c r="Q110" s="20">
        <f t="shared" ca="1" si="11"/>
        <v>1.8518518518518406E-5</v>
      </c>
      <c r="R110" s="20">
        <f t="shared" si="12"/>
        <v>3.703703703703768E-5</v>
      </c>
      <c r="S110" s="20">
        <f t="shared" ca="1" si="13"/>
        <v>1.472222222222222E-4</v>
      </c>
      <c r="T110" s="21">
        <f t="shared" ca="1" si="14"/>
        <v>9.5199999999999427</v>
      </c>
      <c r="U110" s="22" t="s">
        <v>831</v>
      </c>
    </row>
    <row r="111" spans="1:21" x14ac:dyDescent="0.3">
      <c r="A111" t="s">
        <v>628</v>
      </c>
      <c r="B111" s="1" t="str">
        <f t="shared" si="8"/>
        <v>00:10:09.200</v>
      </c>
      <c r="C111" t="str">
        <f t="shared" si="9"/>
        <v>由于这个证明较长，因此这里就不展示出来了。有兴趣的小伙伴可以从C和F的递推公式自行证明。</v>
      </c>
      <c r="D111">
        <f t="shared" ca="1" si="15"/>
        <v>319</v>
      </c>
      <c r="E111">
        <f t="shared" ca="1" si="10"/>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1" t="str">
        <f ca="1">SUBSTITUTE(OFFSET(srt!$D$1,D112-1,0),",",".")</f>
        <v>00:17:22.540</v>
      </c>
      <c r="P111" s="1" t="str">
        <f ca="1">SUBSTITUTE(OFFSET(srt!$E$1,D113-2,0),",",".")</f>
        <v>00:17:32.580</v>
      </c>
      <c r="Q111" s="20">
        <f t="shared" ca="1" si="11"/>
        <v>0</v>
      </c>
      <c r="R111" s="20">
        <f t="shared" si="12"/>
        <v>4.3981481481480782E-5</v>
      </c>
      <c r="S111" s="20">
        <f t="shared" ca="1" si="13"/>
        <v>1.1620370370370343E-4</v>
      </c>
      <c r="T111" s="21">
        <f t="shared" ca="1" si="14"/>
        <v>6.2400000000000375</v>
      </c>
      <c r="U111" s="22" t="s">
        <v>832</v>
      </c>
    </row>
    <row r="112" spans="1:21" x14ac:dyDescent="0.3">
      <c r="A112" t="s">
        <v>629</v>
      </c>
      <c r="B112" s="1" t="str">
        <f t="shared" si="8"/>
        <v>00:10:13.000</v>
      </c>
      <c r="C112" t="str">
        <f t="shared" si="9"/>
        <v>现在，我们已用多种方法求得了p，并将原始问题转化为了p(H)x=y，可这又有什么用呢？</v>
      </c>
      <c r="D112">
        <f t="shared" ca="1" si="15"/>
        <v>323</v>
      </c>
      <c r="E112">
        <f t="shared" ca="1" si="10"/>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1" t="str">
        <f ca="1">SUBSTITUTE(OFFSET(srt!$D$1,D113-1,0),",",".")</f>
        <v>00:17:32.580</v>
      </c>
      <c r="P112" s="1" t="str">
        <f ca="1">SUBSTITUTE(OFFSET(srt!$E$1,D114-2,0),",",".")</f>
        <v>00:17:40.060</v>
      </c>
      <c r="Q112" s="20">
        <f t="shared" ca="1" si="11"/>
        <v>1.7592592592591619E-5</v>
      </c>
      <c r="R112" s="20">
        <f t="shared" si="12"/>
        <v>5.6712962962962403E-5</v>
      </c>
      <c r="S112" s="20">
        <f t="shared" ca="1" si="13"/>
        <v>1.041666666666656E-4</v>
      </c>
      <c r="T112" s="21">
        <f t="shared" ca="1" si="14"/>
        <v>4.0999999999999561</v>
      </c>
      <c r="U112" s="22" t="s">
        <v>833</v>
      </c>
    </row>
    <row r="113" spans="1:21" x14ac:dyDescent="0.3">
      <c r="A113" t="s">
        <v>630</v>
      </c>
      <c r="B113" s="1" t="str">
        <f t="shared" si="8"/>
        <v>00:10:17.900</v>
      </c>
      <c r="C113" t="str">
        <f t="shared" si="9"/>
        <v>试想一下，如果有一个多项式q(x)，满足q(x)p(x)=1 mod f(x)。这里的f(x)就是前面提到的多项式f(n,x)。</v>
      </c>
      <c r="D113">
        <f t="shared" ca="1" si="15"/>
        <v>326</v>
      </c>
      <c r="E113">
        <f t="shared" ca="1" si="10"/>
        <v>3</v>
      </c>
      <c r="F113" t="str">
        <f ca="1">OFFSET(srt!$C$1,D114-1,0)</f>
        <v>试想一下，</v>
      </c>
      <c r="G113">
        <f ca="1">PrefixLenNorm($C113,OFFSET(srt!$C$1,$D113+COLUMN()-7,0))</f>
        <v>0</v>
      </c>
      <c r="H113">
        <f ca="1">PrefixLenNorm($C113,OFFSET(srt!$C$1,$D113+COLUMN()-7,0))</f>
        <v>0</v>
      </c>
      <c r="I113">
        <f ca="1">PrefixLenNorm($C113,OFFSET(srt!$C$1,$D113+COLUMN()-7,0))</f>
        <v>4</v>
      </c>
      <c r="J113">
        <f ca="1">PrefixLenNorm($C113,OFFSET(srt!$C$1,$D113+COLUMN()-7,0))</f>
        <v>0</v>
      </c>
      <c r="K113">
        <f ca="1">PrefixLenNorm($C113,OFFSET(srt!$C$1,$D113+COLUMN()-7,0))</f>
        <v>0</v>
      </c>
      <c r="L113">
        <f ca="1">PrefixLenNorm($C113,OFFSET(srt!$C$1,$D113+COLUMN()-7,0))</f>
        <v>0</v>
      </c>
      <c r="M113">
        <f ca="1">PrefixLenNorm($C113,OFFSET(srt!$C$1,$D113+COLUMN()-7,0))</f>
        <v>0</v>
      </c>
      <c r="N113">
        <f ca="1">PrefixLenNorm($C113,OFFSET(srt!$C$1,$D113+COLUMN()-7,0))</f>
        <v>0</v>
      </c>
      <c r="O113" s="1" t="str">
        <f ca="1">SUBSTITUTE(OFFSET(srt!$D$1,D114-1,0),",",".")</f>
        <v>00:17:41.580</v>
      </c>
      <c r="P113" s="1" t="str">
        <f ca="1">SUBSTITUTE(OFFSET(srt!$E$1,D115-2,0),",",".")</f>
        <v>00:17:51.980</v>
      </c>
      <c r="Q113" s="20">
        <f t="shared" ca="1" si="11"/>
        <v>1.7592592592593354E-5</v>
      </c>
      <c r="R113" s="20">
        <f t="shared" si="12"/>
        <v>1.1574074074074091E-4</v>
      </c>
      <c r="S113" s="20">
        <f t="shared" ca="1" si="13"/>
        <v>1.3796296296296473E-4</v>
      </c>
      <c r="T113" s="21">
        <f t="shared" ca="1" si="14"/>
        <v>1.9200000000001383</v>
      </c>
      <c r="U113" s="22" t="s">
        <v>834</v>
      </c>
    </row>
    <row r="114" spans="1:21" x14ac:dyDescent="0.3">
      <c r="A114" t="s">
        <v>631</v>
      </c>
      <c r="B114" s="1" t="str">
        <f t="shared" si="8"/>
        <v>00:10:27.900</v>
      </c>
      <c r="C114" t="str">
        <f t="shared" si="9"/>
        <v>那么，将式子两边同时乘以q(H)，便有：x=q(H)y。这样，我们就能立即求出x。</v>
      </c>
      <c r="D114">
        <f t="shared" ca="1" si="15"/>
        <v>329</v>
      </c>
      <c r="E114">
        <f t="shared" ca="1" si="10"/>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1" t="str">
        <f ca="1">SUBSTITUTE(OFFSET(srt!$D$1,D115-1,0),",",".")</f>
        <v>00:17:53.500</v>
      </c>
      <c r="P114" s="1" t="str">
        <f ca="1">SUBSTITUTE(OFFSET(srt!$E$1,D116-2,0),",",".")</f>
        <v>00:18:01.900</v>
      </c>
      <c r="Q114" s="20">
        <f t="shared" ca="1" si="11"/>
        <v>1.6666666666664831E-5</v>
      </c>
      <c r="R114" s="20">
        <f t="shared" si="12"/>
        <v>8.1400462962963674E-5</v>
      </c>
      <c r="S114" s="20">
        <f t="shared" ca="1" si="13"/>
        <v>1.1388888888888733E-4</v>
      </c>
      <c r="T114" s="21">
        <f t="shared" ca="1" si="14"/>
        <v>2.8069999999998041</v>
      </c>
      <c r="U114" s="22" t="s">
        <v>835</v>
      </c>
    </row>
    <row r="115" spans="1:21" x14ac:dyDescent="0.3">
      <c r="A115" t="s">
        <v>632</v>
      </c>
      <c r="B115" s="1" t="str">
        <f t="shared" si="8"/>
        <v>00:10:34.933</v>
      </c>
      <c r="C115" t="str">
        <f t="shared" si="9"/>
        <v>我们把这样的多项式q(x)称之为p(x)的逆多项式。那么，如何求出逆多项式q(x)呢？</v>
      </c>
      <c r="D115">
        <f t="shared" ca="1" si="15"/>
        <v>332</v>
      </c>
      <c r="E115">
        <f t="shared" ca="1" si="10"/>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1" t="str">
        <f ca="1">SUBSTITUTE(OFFSET(srt!$D$1,D116-1,0),",",".")</f>
        <v>00:18:03.340</v>
      </c>
      <c r="P115" s="1" t="str">
        <f ca="1">SUBSTITUTE(OFFSET(srt!$E$1,D117-2,0),",",".")</f>
        <v>00:18:11.220</v>
      </c>
      <c r="Q115" s="20">
        <f t="shared" ca="1" si="11"/>
        <v>1.6203703703702305E-5</v>
      </c>
      <c r="R115" s="20">
        <f t="shared" si="12"/>
        <v>3.7430555555555307E-5</v>
      </c>
      <c r="S115" s="20">
        <f t="shared" ca="1" si="13"/>
        <v>1.0740740740740676E-4</v>
      </c>
      <c r="T115" s="21">
        <f t="shared" ca="1" si="14"/>
        <v>6.0459999999999656</v>
      </c>
      <c r="U115" s="22" t="s">
        <v>836</v>
      </c>
    </row>
    <row r="116" spans="1:21" x14ac:dyDescent="0.3">
      <c r="A116" t="s">
        <v>633</v>
      </c>
      <c r="B116" s="1" t="str">
        <f t="shared" si="8"/>
        <v>00:10:38.167</v>
      </c>
      <c r="C116" t="str">
        <f t="shared" si="9"/>
        <v>我们可以使用扩展欧几里得算法，通过f(x)和p(x)来求取q(x)。</v>
      </c>
      <c r="D116">
        <f t="shared" ca="1" si="15"/>
        <v>334</v>
      </c>
      <c r="E116">
        <f t="shared" ca="1" si="10"/>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1" t="str">
        <f ca="1">SUBSTITUTE(OFFSET(srt!$D$1,D117-1,0),",",".")</f>
        <v>00:18:12.620</v>
      </c>
      <c r="P116" s="1" t="str">
        <f ca="1">SUBSTITUTE(OFFSET(srt!$E$1,D118-2,0),",",".")</f>
        <v>00:18:18.460</v>
      </c>
      <c r="Q116" s="20">
        <f t="shared" ca="1" si="11"/>
        <v>1.9444444444445194E-5</v>
      </c>
      <c r="R116" s="20">
        <f t="shared" si="12"/>
        <v>3.7037037037036813E-5</v>
      </c>
      <c r="S116" s="20">
        <f t="shared" ca="1" si="13"/>
        <v>8.703703703703998E-5</v>
      </c>
      <c r="T116" s="21">
        <f t="shared" ca="1" si="14"/>
        <v>4.3200000000002738</v>
      </c>
      <c r="U116" s="22" t="s">
        <v>837</v>
      </c>
    </row>
    <row r="117" spans="1:21" x14ac:dyDescent="0.3">
      <c r="A117" t="s">
        <v>634</v>
      </c>
      <c r="B117" s="1" t="str">
        <f t="shared" si="8"/>
        <v>00:10:41.367</v>
      </c>
      <c r="C117" t="str">
        <f t="shared" si="9"/>
        <v>这里，我们同时定义一个零多项式o(x)和单位多项式e(x)，在对f(x)和p(x)操作的同时，对o(x)和e(x)做相同的操作。</v>
      </c>
      <c r="D117">
        <f t="shared" ca="1" si="15"/>
        <v>336</v>
      </c>
      <c r="E117">
        <f t="shared" ca="1" si="10"/>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1" t="str">
        <f ca="1">SUBSTITUTE(OFFSET(srt!$D$1,D118-1,0),",",".")</f>
        <v>00:18:20.140</v>
      </c>
      <c r="P117" s="1" t="str">
        <f ca="1">SUBSTITUTE(OFFSET(srt!$E$1,D119-2,0),",",".")</f>
        <v>00:18:32.660</v>
      </c>
      <c r="Q117" s="20">
        <f t="shared" ca="1" si="11"/>
        <v>0</v>
      </c>
      <c r="R117" s="20">
        <f t="shared" si="12"/>
        <v>3.0092592592592844E-5</v>
      </c>
      <c r="S117" s="20">
        <f t="shared" ca="1" si="13"/>
        <v>1.4490740740740783E-4</v>
      </c>
      <c r="T117" s="21">
        <f t="shared" ca="1" si="14"/>
        <v>9.9200000000000141</v>
      </c>
      <c r="U117" s="22" t="s">
        <v>838</v>
      </c>
    </row>
    <row r="118" spans="1:21" x14ac:dyDescent="0.3">
      <c r="A118" t="s">
        <v>635</v>
      </c>
      <c r="B118" s="1" t="str">
        <f t="shared" si="8"/>
        <v>00:10:43.967</v>
      </c>
      <c r="C118" t="str">
        <f t="shared" si="9"/>
        <v>类似矩阵求逆，我们的目标是：将f(x)变为零多项式，p(x)变为单位多项式。</v>
      </c>
      <c r="D118">
        <f t="shared" ca="1" si="15"/>
        <v>338</v>
      </c>
      <c r="E118">
        <f t="shared" ca="1" si="10"/>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1" t="str">
        <f ca="1">SUBSTITUTE(OFFSET(srt!$D$1,D119-1,0),",",".")</f>
        <v>00:18:32.660</v>
      </c>
      <c r="P118" s="1" t="str">
        <f ca="1">SUBSTITUTE(OFFSET(srt!$E$1,D120-2,0),",",".")</f>
        <v>00:18:39.460</v>
      </c>
      <c r="Q118" s="20">
        <f t="shared" ca="1" si="11"/>
        <v>1.7592592592593354E-5</v>
      </c>
      <c r="R118" s="20">
        <f t="shared" si="12"/>
        <v>3.0092592592592844E-5</v>
      </c>
      <c r="S118" s="20">
        <f t="shared" ca="1" si="13"/>
        <v>9.6296296296295714E-5</v>
      </c>
      <c r="T118" s="21">
        <f t="shared" ca="1" si="14"/>
        <v>5.7199999999999278</v>
      </c>
      <c r="U118" s="22" t="s">
        <v>839</v>
      </c>
    </row>
    <row r="119" spans="1:21" x14ac:dyDescent="0.3">
      <c r="A119" t="s">
        <v>636</v>
      </c>
      <c r="B119" s="1" t="str">
        <f t="shared" si="8"/>
        <v>00:10:46.567</v>
      </c>
      <c r="C119" t="str">
        <f t="shared" si="9"/>
        <v>我们使用辗转相减法，将p(x)右移，使其最高次项和f(x)对齐，然后叠加到f(x)上，从而消去f(x)的最高次项。</v>
      </c>
      <c r="D119">
        <f t="shared" ca="1" si="15"/>
        <v>341</v>
      </c>
      <c r="E119">
        <f t="shared" ca="1" si="10"/>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1" t="str">
        <f ca="1">SUBSTITUTE(OFFSET(srt!$D$1,D120-1,0),",",".")</f>
        <v>00:18:40.980</v>
      </c>
      <c r="P119" s="1" t="str">
        <f ca="1">SUBSTITUTE(OFFSET(srt!$E$1,D121-2,0),",",".")</f>
        <v>00:18:52.780</v>
      </c>
      <c r="Q119" s="20">
        <f t="shared" ca="1" si="11"/>
        <v>0</v>
      </c>
      <c r="R119" s="20">
        <f t="shared" si="12"/>
        <v>4.1666666666666415E-5</v>
      </c>
      <c r="S119" s="20">
        <f t="shared" ca="1" si="13"/>
        <v>1.3657407407407195E-4</v>
      </c>
      <c r="T119" s="21">
        <f t="shared" ca="1" si="14"/>
        <v>8.1999999999998376</v>
      </c>
      <c r="U119" s="22" t="s">
        <v>840</v>
      </c>
    </row>
    <row r="120" spans="1:21" x14ac:dyDescent="0.3">
      <c r="A120" t="s">
        <v>637</v>
      </c>
      <c r="B120" s="1" t="str">
        <f t="shared" si="8"/>
        <v>00:10:50.167</v>
      </c>
      <c r="C120" t="str">
        <f t="shared" si="9"/>
        <v>叠加后，如果f(x)的最高次数仍旧大于等于p(x)，则继续右移p(x)并叠加到f(x)上。</v>
      </c>
      <c r="D120">
        <f t="shared" ca="1" si="15"/>
        <v>343</v>
      </c>
      <c r="E120">
        <f t="shared" ca="1" si="10"/>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1" t="str">
        <f ca="1">SUBSTITUTE(OFFSET(srt!$D$1,D121-1,0),",",".")</f>
        <v>00:18:52.780</v>
      </c>
      <c r="P120" s="1" t="str">
        <f ca="1">SUBSTITUTE(OFFSET(srt!$E$1,D122-2,0),",",".")</f>
        <v>00:19:02.020</v>
      </c>
      <c r="Q120" s="20">
        <f t="shared" ca="1" si="11"/>
        <v>0</v>
      </c>
      <c r="R120" s="20">
        <f t="shared" si="12"/>
        <v>4.1666666666667282E-5</v>
      </c>
      <c r="S120" s="20">
        <f t="shared" ca="1" si="13"/>
        <v>1.0694444444444597E-4</v>
      </c>
      <c r="T120" s="21">
        <f t="shared" ca="1" si="14"/>
        <v>5.6400000000000787</v>
      </c>
      <c r="U120" s="22" t="s">
        <v>841</v>
      </c>
    </row>
    <row r="121" spans="1:21" x14ac:dyDescent="0.3">
      <c r="A121" t="s">
        <v>638</v>
      </c>
      <c r="B121" s="1" t="str">
        <f t="shared" si="8"/>
        <v>00:10:53.767</v>
      </c>
      <c r="C121" t="str">
        <f t="shared" si="9"/>
        <v>否则，当f(x)的最高次数小于p(x)时，将p(x)和f(x)互换，使得f(x)的最高次数始终大于或等于p(x)，让叠加操作可以继续下去。</v>
      </c>
      <c r="D121">
        <f t="shared" ca="1" si="15"/>
        <v>347</v>
      </c>
      <c r="E121">
        <f t="shared" ca="1" si="10"/>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1" t="str">
        <f ca="1">SUBSTITUTE(OFFSET(srt!$D$1,D122-1,0),",",".")</f>
        <v>00:19:02.020</v>
      </c>
      <c r="P121" s="1" t="str">
        <f ca="1">SUBSTITUTE(OFFSET(srt!$E$1,D123-2,0),",",".")</f>
        <v>00:19:15.500</v>
      </c>
      <c r="Q121" s="20">
        <f t="shared" ca="1" si="11"/>
        <v>0</v>
      </c>
      <c r="R121" s="20">
        <f t="shared" si="12"/>
        <v>4.1666666666665547E-5</v>
      </c>
      <c r="S121" s="20">
        <f t="shared" ca="1" si="13"/>
        <v>1.5601851851851888E-4</v>
      </c>
      <c r="T121" s="21">
        <f t="shared" ca="1" si="14"/>
        <v>9.8800000000001269</v>
      </c>
      <c r="U121" s="22" t="s">
        <v>842</v>
      </c>
    </row>
    <row r="122" spans="1:21" x14ac:dyDescent="0.3">
      <c r="A122" t="s">
        <v>639</v>
      </c>
      <c r="B122" s="1" t="str">
        <f t="shared" si="8"/>
        <v>00:10:57.367</v>
      </c>
      <c r="C122" t="str">
        <f t="shared" si="9"/>
        <v>重复这样的操作，直到f(x)最终被叠加为零。</v>
      </c>
      <c r="D122">
        <f t="shared" ca="1" si="15"/>
        <v>350</v>
      </c>
      <c r="E122">
        <f t="shared" ca="1" si="10"/>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1" t="str">
        <f ca="1">SUBSTITUTE(OFFSET(srt!$D$1,D123-1,0),",",".")</f>
        <v>00:19:15.500</v>
      </c>
      <c r="P122" s="1" t="str">
        <f ca="1">SUBSTITUTE(OFFSET(srt!$E$1,D124-2,0),",",".")</f>
        <v>00:19:19.300</v>
      </c>
      <c r="Q122" s="20">
        <f t="shared" ca="1" si="11"/>
        <v>1.7129629629630827E-5</v>
      </c>
      <c r="R122" s="20">
        <f t="shared" si="12"/>
        <v>1.1111111111111131E-4</v>
      </c>
      <c r="S122" s="20">
        <f t="shared" ca="1" si="13"/>
        <v>6.1111111111110741E-5</v>
      </c>
      <c r="T122" s="21">
        <f t="shared" ca="1" si="14"/>
        <v>-4.3200000000000491</v>
      </c>
      <c r="U122" s="22" t="s">
        <v>843</v>
      </c>
    </row>
    <row r="123" spans="1:21" x14ac:dyDescent="0.3">
      <c r="A123" t="s">
        <v>640</v>
      </c>
      <c r="B123" s="1" t="str">
        <f t="shared" si="8"/>
        <v>00:11:06.967</v>
      </c>
      <c r="C123" t="str">
        <f t="shared" si="9"/>
        <v>最后，剩下的p(x)为两个多项式的最大公因子，记为g(x)，同时，剩下的e(x)为p(x)的逆，也就是q(x)。</v>
      </c>
      <c r="D123">
        <f t="shared" ca="1" si="15"/>
        <v>355</v>
      </c>
      <c r="E123">
        <f t="shared" ca="1" si="10"/>
        <v>2</v>
      </c>
      <c r="F123" t="str">
        <f ca="1">OFFSET(srt!$C$1,D124-1,0)</f>
        <v>最后剩下的PX为两个多项式的最大公因子，</v>
      </c>
      <c r="G123">
        <f ca="1">PrefixLenNorm($C123,OFFSET(srt!$C$1,$D123+COLUMN()-7,0))</f>
        <v>0</v>
      </c>
      <c r="H123">
        <f ca="1">PrefixLenNorm($C123,OFFSET(srt!$C$1,$D123+COLUMN()-7,0))</f>
        <v>19</v>
      </c>
      <c r="I123">
        <f ca="1">PrefixLenNorm($C123,OFFSET(srt!$C$1,$D123+COLUMN()-7,0))</f>
        <v>0</v>
      </c>
      <c r="J123">
        <f ca="1">PrefixLenNorm($C123,OFFSET(srt!$C$1,$D123+COLUMN()-7,0))</f>
        <v>0</v>
      </c>
      <c r="K123">
        <f ca="1">PrefixLenNorm($C123,OFFSET(srt!$C$1,$D123+COLUMN()-7,0))</f>
        <v>0</v>
      </c>
      <c r="L123">
        <f ca="1">PrefixLenNorm($C123,OFFSET(srt!$C$1,$D123+COLUMN()-7,0))</f>
        <v>0</v>
      </c>
      <c r="M123">
        <f ca="1">PrefixLenNorm($C123,OFFSET(srt!$C$1,$D123+COLUMN()-7,0))</f>
        <v>0</v>
      </c>
      <c r="N123">
        <f ca="1">PrefixLenNorm($C123,OFFSET(srt!$C$1,$D123+COLUMN()-7,0))</f>
        <v>0</v>
      </c>
      <c r="O123" s="1" t="str">
        <f ca="1">SUBSTITUTE(OFFSET(srt!$D$1,D124-1,0),",",".")</f>
        <v>00:19:20.780</v>
      </c>
      <c r="P123" s="1" t="str">
        <f ca="1">SUBSTITUTE(OFFSET(srt!$E$1,D125-2,0),",",".")</f>
        <v>00:19:30.460</v>
      </c>
      <c r="Q123" s="20">
        <f t="shared" ca="1" si="11"/>
        <v>1.6666666666666566E-5</v>
      </c>
      <c r="R123" s="20">
        <f t="shared" si="12"/>
        <v>5.4004629629630409E-5</v>
      </c>
      <c r="S123" s="20">
        <f t="shared" ca="1" si="13"/>
        <v>1.2870370370370379E-4</v>
      </c>
      <c r="T123" s="21">
        <f t="shared" ca="1" si="14"/>
        <v>6.4539999999999402</v>
      </c>
      <c r="U123" s="22" t="s">
        <v>844</v>
      </c>
    </row>
    <row r="124" spans="1:21" x14ac:dyDescent="0.3">
      <c r="A124" t="s">
        <v>641</v>
      </c>
      <c r="B124" s="1" t="str">
        <f t="shared" si="8"/>
        <v>00:11:11.633</v>
      </c>
      <c r="C124" t="str">
        <f t="shared" si="9"/>
        <v>我们将q(x)写成矩阵Q。注意，这里的矩阵Q不是前面的完整逆矩阵Q'，而是把把多个q(x)拼接起来的结果。</v>
      </c>
      <c r="D124">
        <f t="shared" ca="1" si="15"/>
        <v>357</v>
      </c>
      <c r="E124">
        <f t="shared" ca="1" si="10"/>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1" t="str">
        <f ca="1">SUBSTITUTE(OFFSET(srt!$D$1,D125-1,0),",",".")</f>
        <v>00:19:31.900</v>
      </c>
      <c r="P124" s="1" t="str">
        <f ca="1">SUBSTITUTE(OFFSET(srt!$E$1,D126-2,0),",",".")</f>
        <v>00:19:43.020</v>
      </c>
      <c r="Q124" s="20">
        <f t="shared" ca="1" si="11"/>
        <v>0</v>
      </c>
      <c r="R124" s="20">
        <f t="shared" si="12"/>
        <v>6.4432870370370078E-5</v>
      </c>
      <c r="S124" s="20">
        <f t="shared" ca="1" si="13"/>
        <v>1.2870370370370379E-4</v>
      </c>
      <c r="T124" s="21">
        <f t="shared" ca="1" si="14"/>
        <v>5.5530000000000328</v>
      </c>
      <c r="U124" s="22" t="s">
        <v>845</v>
      </c>
    </row>
    <row r="125" spans="1:21" x14ac:dyDescent="0.3">
      <c r="A125" t="s">
        <v>642</v>
      </c>
      <c r="B125" s="1" t="str">
        <f t="shared" si="8"/>
        <v>00:11:17.200</v>
      </c>
      <c r="C125" t="str">
        <f t="shared" si="9"/>
        <v>现在，我们已求得q(x)，接着，我们可以根据q(H)y的定义，用这个式子来求x。</v>
      </c>
      <c r="D125">
        <f t="shared" ca="1" si="15"/>
        <v>361</v>
      </c>
      <c r="E125">
        <f t="shared" ca="1" si="10"/>
        <v>3</v>
      </c>
      <c r="F125" t="str">
        <f ca="1">OFFSET(srt!$C$1,D126-1,0)</f>
        <v>现在我们已求得QX，</v>
      </c>
      <c r="G125">
        <f ca="1">PrefixLenNorm($C125,OFFSET(srt!$C$1,$D125+COLUMN()-7,0))</f>
        <v>0</v>
      </c>
      <c r="H125">
        <f ca="1">PrefixLenNorm($C125,OFFSET(srt!$C$1,$D125+COLUMN()-7,0))</f>
        <v>0</v>
      </c>
      <c r="I125">
        <f ca="1">PrefixLenNorm($C125,OFFSET(srt!$C$1,$D125+COLUMN()-7,0))</f>
        <v>9</v>
      </c>
      <c r="J125">
        <f ca="1">PrefixLenNorm($C125,OFFSET(srt!$C$1,$D125+COLUMN()-7,0))</f>
        <v>0</v>
      </c>
      <c r="K125">
        <f ca="1">PrefixLenNorm($C125,OFFSET(srt!$C$1,$D125+COLUMN()-7,0))</f>
        <v>0</v>
      </c>
      <c r="L125">
        <f ca="1">PrefixLenNorm($C125,OFFSET(srt!$C$1,$D125+COLUMN()-7,0))</f>
        <v>0</v>
      </c>
      <c r="M125">
        <f ca="1">PrefixLenNorm($C125,OFFSET(srt!$C$1,$D125+COLUMN()-7,0))</f>
        <v>0</v>
      </c>
      <c r="N125">
        <f ca="1">PrefixLenNorm($C125,OFFSET(srt!$C$1,$D125+COLUMN()-7,0))</f>
        <v>0</v>
      </c>
      <c r="O125" s="1" t="str">
        <f ca="1">SUBSTITUTE(OFFSET(srt!$D$1,D126-1,0),",",".")</f>
        <v>00:19:43.020</v>
      </c>
      <c r="P125" s="1" t="str">
        <f ca="1">SUBSTITUTE(OFFSET(srt!$E$1,D127-2,0),",",".")</f>
        <v>00:19:49.660</v>
      </c>
      <c r="Q125" s="20">
        <f t="shared" ca="1" si="11"/>
        <v>1.7592592592591619E-5</v>
      </c>
      <c r="R125" s="20">
        <f t="shared" si="12"/>
        <v>3.3564814814814395E-5</v>
      </c>
      <c r="S125" s="20">
        <f t="shared" ca="1" si="13"/>
        <v>9.4444444444443873E-5</v>
      </c>
      <c r="T125" s="21">
        <f t="shared" ca="1" si="14"/>
        <v>5.2599999999999874</v>
      </c>
      <c r="U125" s="22" t="s">
        <v>846</v>
      </c>
    </row>
    <row r="126" spans="1:21" x14ac:dyDescent="0.3">
      <c r="A126" t="s">
        <v>643</v>
      </c>
      <c r="B126" s="1" t="str">
        <f t="shared" si="8"/>
        <v>00:11:20.100</v>
      </c>
      <c r="C126" t="str">
        <f t="shared" si="9"/>
        <v>这里，我们将y不断乘以矩阵H进行左右扩散，再根据q(x)的值进行叠加，从而得到x。</v>
      </c>
      <c r="D126">
        <f t="shared" ca="1" si="15"/>
        <v>364</v>
      </c>
      <c r="E126">
        <f t="shared" ca="1" si="10"/>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1" t="str">
        <f ca="1">SUBSTITUTE(OFFSET(srt!$D$1,D127-1,0),",",".")</f>
        <v>00:19:51.180</v>
      </c>
      <c r="P126" s="1" t="str">
        <f ca="1">SUBSTITUTE(OFFSET(srt!$E$1,D128-2,0),",",".")</f>
        <v>00:19:59.140</v>
      </c>
      <c r="Q126" s="20">
        <f t="shared" ca="1" si="11"/>
        <v>1.7592592592591619E-5</v>
      </c>
      <c r="R126" s="20">
        <f t="shared" si="12"/>
        <v>8.1400462962963674E-5</v>
      </c>
      <c r="S126" s="20">
        <f t="shared" ca="1" si="13"/>
        <v>1.0972222222222286E-4</v>
      </c>
      <c r="T126" s="21">
        <f t="shared" ca="1" si="14"/>
        <v>2.4469999999999938</v>
      </c>
      <c r="U126" s="22" t="s">
        <v>847</v>
      </c>
    </row>
    <row r="127" spans="1:21" x14ac:dyDescent="0.3">
      <c r="A127" t="s">
        <v>644</v>
      </c>
      <c r="B127" s="1" t="str">
        <f t="shared" si="8"/>
        <v>00:11:27.133</v>
      </c>
      <c r="C127" t="str">
        <f t="shared" si="9"/>
        <v>另一方面，由于q(H)就是B的逆矩阵Q'，并且可以证明Q'也满足十字偶校验约束。</v>
      </c>
      <c r="D127">
        <f t="shared" ca="1" si="15"/>
        <v>367</v>
      </c>
      <c r="E127">
        <f t="shared" ca="1" si="10"/>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1" t="str">
        <f ca="1">SUBSTITUTE(OFFSET(srt!$D$1,D128-1,0),",",".")</f>
        <v>00:20:00.660</v>
      </c>
      <c r="P127" s="1" t="str">
        <f ca="1">SUBSTITUTE(OFFSET(srt!$E$1,D129-2,0),",",".")</f>
        <v>00:20:07.820</v>
      </c>
      <c r="Q127" s="20">
        <f t="shared" ca="1" si="11"/>
        <v>1.6666666666668301E-5</v>
      </c>
      <c r="R127" s="20">
        <f t="shared" si="12"/>
        <v>4.0902777777776858E-5</v>
      </c>
      <c r="S127" s="20">
        <f t="shared" ca="1" si="13"/>
        <v>9.9537037037036868E-5</v>
      </c>
      <c r="T127" s="21">
        <f t="shared" ca="1" si="14"/>
        <v>5.0660000000000647</v>
      </c>
      <c r="U127" s="22" t="s">
        <v>848</v>
      </c>
    </row>
    <row r="128" spans="1:21" x14ac:dyDescent="0.3">
      <c r="A128" t="s">
        <v>645</v>
      </c>
      <c r="B128" s="1" t="str">
        <f t="shared" si="8"/>
        <v>00:11:30.667</v>
      </c>
      <c r="C128" t="str">
        <f t="shared" si="9"/>
        <v>因此，我们也可以通过Kq求出逆矩阵Q'的第一行，再通过递推公式求得完整的Q'，最后再和y相乘求得x。</v>
      </c>
      <c r="D128">
        <f t="shared" ca="1" si="15"/>
        <v>370</v>
      </c>
      <c r="E128">
        <f t="shared" ca="1" si="10"/>
        <v>3</v>
      </c>
      <c r="F128" t="str">
        <f ca="1">OFFSET(srt!$C$1,D129-1,0)</f>
        <v>因此我们也可以通过KQ求出逆矩阵Q撇的第一行，</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1" t="str">
        <f ca="1">SUBSTITUTE(OFFSET(srt!$D$1,D129-1,0),",",".")</f>
        <v>00:20:09.260</v>
      </c>
      <c r="P128" s="1" t="str">
        <f ca="1">SUBSTITUTE(OFFSET(srt!$E$1,D130-2,0),",",".")</f>
        <v>00:20:20.660</v>
      </c>
      <c r="Q128" s="20">
        <f t="shared" ca="1" si="11"/>
        <v>0</v>
      </c>
      <c r="R128" s="20">
        <f t="shared" si="12"/>
        <v>5.0150462962963646E-5</v>
      </c>
      <c r="S128" s="20">
        <f t="shared" ca="1" si="13"/>
        <v>1.3194444444444495E-4</v>
      </c>
      <c r="T128" s="21">
        <f t="shared" ca="1" si="14"/>
        <v>7.0669999999999842</v>
      </c>
      <c r="U128" s="22" t="s">
        <v>849</v>
      </c>
    </row>
    <row r="129" spans="1:21" x14ac:dyDescent="0.3">
      <c r="A129" t="s">
        <v>646</v>
      </c>
      <c r="B129" s="1" t="str">
        <f t="shared" si="8"/>
        <v>00:11:35.000</v>
      </c>
      <c r="C129" t="str">
        <f t="shared" si="9"/>
        <v>两种方法求得的x是相同的，有兴趣的小伙伴可以自行证明。</v>
      </c>
      <c r="D129">
        <f t="shared" ca="1" si="15"/>
        <v>373</v>
      </c>
      <c r="E129">
        <f t="shared" ca="1" si="10"/>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1" t="str">
        <f ca="1">SUBSTITUTE(OFFSET(srt!$D$1,D130-1,0),",",".")</f>
        <v>00:20:20.660</v>
      </c>
      <c r="P129" s="1" t="str">
        <f ca="1">SUBSTITUTE(OFFSET(srt!$E$1,D131-2,0),",",".")</f>
        <v>00:20:27.060</v>
      </c>
      <c r="Q129" s="20">
        <f t="shared" ca="1" si="11"/>
        <v>0</v>
      </c>
      <c r="R129" s="20">
        <f t="shared" si="12"/>
        <v>3.0092592592591977E-5</v>
      </c>
      <c r="S129" s="20">
        <f t="shared" ca="1" si="13"/>
        <v>7.4074074074071891E-5</v>
      </c>
      <c r="T129" s="21">
        <f t="shared" ca="1" si="14"/>
        <v>3.7999999999998648</v>
      </c>
      <c r="U129" s="22" t="s">
        <v>850</v>
      </c>
    </row>
    <row r="130" spans="1:21" x14ac:dyDescent="0.3">
      <c r="A130" t="s">
        <v>647</v>
      </c>
      <c r="B130" s="1" t="str">
        <f t="shared" ref="B130:B193" si="16">LEFT(A130,12)</f>
        <v>00:11:37.600</v>
      </c>
      <c r="C130" t="str">
        <f t="shared" ref="C130:C193" si="17">RIGHT(A130,LEN(A130)-13)</f>
        <v>不过，整个求解的过程中有一个问题，那就是我们假设满足q(x)p(x)=1 mod f(x)的多项式q(x)存在。</v>
      </c>
      <c r="D130">
        <f t="shared" ca="1" si="15"/>
        <v>376</v>
      </c>
      <c r="E130">
        <f t="shared" ref="E130:E193" ca="1" si="1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1" t="str">
        <f ca="1">SUBSTITUTE(OFFSET(srt!$D$1,D131-1,0),",",".")</f>
        <v>00:20:27.060</v>
      </c>
      <c r="P130" s="1" t="str">
        <f ca="1">SUBSTITUTE(OFFSET(srt!$E$1,D132-2,0),",",".")</f>
        <v>00:20:36.380</v>
      </c>
      <c r="Q130" s="20">
        <f t="shared" ref="Q130:Q193" ca="1" si="19">O131-P130</f>
        <v>1.6666666666664831E-5</v>
      </c>
      <c r="R130" s="20">
        <f t="shared" ref="R130:R193" si="20">B131-B130</f>
        <v>3.0092592592593712E-5</v>
      </c>
      <c r="S130" s="20">
        <f t="shared" ref="S130:S193" ca="1" si="21">O131-O130</f>
        <v>1.2453703703703758E-4</v>
      </c>
      <c r="T130" s="21">
        <f t="shared" ref="T130:T193" ca="1" si="22">(S130-R130)*86400</f>
        <v>8.1599999999999504</v>
      </c>
      <c r="U130" s="22" t="s">
        <v>851</v>
      </c>
    </row>
    <row r="131" spans="1:21" x14ac:dyDescent="0.3">
      <c r="A131" t="s">
        <v>648</v>
      </c>
      <c r="B131" s="1" t="str">
        <f t="shared" si="16"/>
        <v>00:11:40.200</v>
      </c>
      <c r="C131" t="str">
        <f t="shared" si="17"/>
        <v>如果这样的多项式q(x)不存在，我们又当如何呢？</v>
      </c>
      <c r="D131">
        <f t="shared" ref="D131:D194" ca="1" si="23">D130+IFERROR(E130,1)</f>
        <v>378</v>
      </c>
      <c r="E131">
        <f t="shared" ca="1" si="18"/>
        <v>2</v>
      </c>
      <c r="F131" t="str">
        <f ca="1">OFFSET(srt!$C$1,D132-1,0)</f>
        <v>如果这样的多项式不存在，</v>
      </c>
      <c r="G131">
        <f ca="1">PrefixLenNorm($C131,OFFSET(srt!$C$1,$D131+COLUMN()-7,0))</f>
        <v>0</v>
      </c>
      <c r="H131">
        <f ca="1">PrefixLenNorm($C131,OFFSET(srt!$C$1,$D131+COLUMN()-7,0))</f>
        <v>8</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1" t="str">
        <f ca="1">SUBSTITUTE(OFFSET(srt!$D$1,D132-1,0),",",".")</f>
        <v>00:20:37.820</v>
      </c>
      <c r="P131" s="1" t="str">
        <f ca="1">SUBSTITUTE(OFFSET(srt!$E$1,D133-2,0),",",".")</f>
        <v>00:20:43.140</v>
      </c>
      <c r="Q131" s="20">
        <f t="shared" ca="1" si="19"/>
        <v>0</v>
      </c>
      <c r="R131" s="20">
        <f t="shared" si="20"/>
        <v>6.4432870370370945E-5</v>
      </c>
      <c r="S131" s="20">
        <f t="shared" ca="1" si="21"/>
        <v>6.1574074074075003E-5</v>
      </c>
      <c r="T131" s="21">
        <f t="shared" ca="1" si="22"/>
        <v>-0.24699999999996947</v>
      </c>
      <c r="U131" s="22" t="s">
        <v>852</v>
      </c>
    </row>
    <row r="132" spans="1:21" x14ac:dyDescent="0.3">
      <c r="A132" t="s">
        <v>649</v>
      </c>
      <c r="B132" s="1" t="str">
        <f t="shared" si="16"/>
        <v>00:11:45.767</v>
      </c>
      <c r="C132" t="str">
        <f t="shared" si="17"/>
        <v>在上集视频《解的数量》章节中，我们提到了公式r'(n)。</v>
      </c>
      <c r="D132">
        <f t="shared" ca="1" si="23"/>
        <v>380</v>
      </c>
      <c r="E132">
        <f t="shared" ca="1" si="18"/>
        <v>2</v>
      </c>
      <c r="F132" t="str">
        <f ca="1">OFFSET(srt!$C$1,D133-1,0)</f>
        <v>在上集视频解的数量章节中，</v>
      </c>
      <c r="G132">
        <f ca="1">PrefixLenNorm($C132,OFFSET(srt!$C$1,$D132+COLUMN()-7,0))</f>
        <v>0</v>
      </c>
      <c r="H132">
        <f ca="1">PrefixLenNorm($C132,OFFSET(srt!$C$1,$D132+COLUMN()-7,0))</f>
        <v>12</v>
      </c>
      <c r="I132">
        <f ca="1">PrefixLenNorm($C132,OFFSET(srt!$C$1,$D132+COLUMN()-7,0))</f>
        <v>0</v>
      </c>
      <c r="J132">
        <f ca="1">PrefixLenNorm($C132,OFFSET(srt!$C$1,$D132+COLUMN()-7,0))</f>
        <v>0</v>
      </c>
      <c r="K132">
        <f ca="1">PrefixLenNorm($C132,OFFSET(srt!$C$1,$D132+COLUMN()-7,0))</f>
        <v>0</v>
      </c>
      <c r="L132">
        <f ca="1">PrefixLenNorm($C132,OFFSET(srt!$C$1,$D132+COLUMN()-7,0))</f>
        <v>0</v>
      </c>
      <c r="M132">
        <f ca="1">PrefixLenNorm($C132,OFFSET(srt!$C$1,$D132+COLUMN()-7,0))</f>
        <v>0</v>
      </c>
      <c r="N132">
        <f ca="1">PrefixLenNorm($C132,OFFSET(srt!$C$1,$D132+COLUMN()-7,0))</f>
        <v>0</v>
      </c>
      <c r="O132" s="1" t="str">
        <f ca="1">SUBSTITUTE(OFFSET(srt!$D$1,D133-1,0),",",".")</f>
        <v>00:20:43.140</v>
      </c>
      <c r="P132" s="1" t="str">
        <f ca="1">SUBSTITUTE(OFFSET(srt!$E$1,D134-2,0),",",".")</f>
        <v>00:20:47.620</v>
      </c>
      <c r="Q132" s="20">
        <f t="shared" ca="1" si="19"/>
        <v>1.8055555555557615E-5</v>
      </c>
      <c r="R132" s="20">
        <f t="shared" si="20"/>
        <v>3.3564814814814395E-5</v>
      </c>
      <c r="S132" s="20">
        <f t="shared" ca="1" si="21"/>
        <v>6.9907407407407418E-5</v>
      </c>
      <c r="T132" s="21">
        <f t="shared" ca="1" si="22"/>
        <v>3.140000000000037</v>
      </c>
      <c r="U132" s="22" t="s">
        <v>853</v>
      </c>
    </row>
    <row r="133" spans="1:21" x14ac:dyDescent="0.3">
      <c r="A133" t="s">
        <v>650</v>
      </c>
      <c r="B133" s="1" t="str">
        <f t="shared" si="16"/>
        <v>00:11:48.667</v>
      </c>
      <c r="C133" t="str">
        <f t="shared" si="17"/>
        <v>这里，gcd表示最大公因子。不难发现，这里的gcd(f,c)就是前面扩展欧几里得算法中的g。</v>
      </c>
      <c r="D133">
        <f t="shared" ca="1" si="23"/>
        <v>382</v>
      </c>
      <c r="E133">
        <f t="shared" ca="1" si="18"/>
        <v>2</v>
      </c>
      <c r="F133" t="str">
        <f ca="1">OFFSET(srt!$C$1,D134-1,0)</f>
        <v>这里GCD表示最大公因子，</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1" t="str">
        <f ca="1">SUBSTITUTE(OFFSET(srt!$D$1,D134-1,0),",",".")</f>
        <v>00:20:49.180</v>
      </c>
      <c r="P133" s="1" t="str">
        <f ca="1">SUBSTITUTE(OFFSET(srt!$E$1,D135-2,0),",",".")</f>
        <v>00:20:57.340</v>
      </c>
      <c r="Q133" s="20">
        <f t="shared" ca="1" si="19"/>
        <v>1.8518518518520141E-5</v>
      </c>
      <c r="R133" s="20">
        <f t="shared" si="20"/>
        <v>4.2824074074071863E-5</v>
      </c>
      <c r="S133" s="20">
        <f t="shared" ca="1" si="21"/>
        <v>1.1296296296296401E-4</v>
      </c>
      <c r="T133" s="21">
        <f t="shared" ca="1" si="22"/>
        <v>6.060000000000282</v>
      </c>
      <c r="U133" s="22" t="s">
        <v>854</v>
      </c>
    </row>
    <row r="134" spans="1:21" x14ac:dyDescent="0.3">
      <c r="A134" t="s">
        <v>651</v>
      </c>
      <c r="B134" s="1" t="str">
        <f t="shared" si="16"/>
        <v>00:11:52.367</v>
      </c>
      <c r="C134" t="str">
        <f t="shared" si="17"/>
        <v>同时，由于F=C⊕P，因此gcd(f,c)和gcd(f,p)是相等的。</v>
      </c>
      <c r="D134">
        <f t="shared" ca="1" si="23"/>
        <v>384</v>
      </c>
      <c r="E134">
        <f t="shared" ca="1" si="18"/>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1" t="str">
        <f ca="1">SUBSTITUTE(OFFSET(srt!$D$1,D135-1,0),",",".")</f>
        <v>00:20:58.940</v>
      </c>
      <c r="P134" s="1" t="str">
        <f ca="1">SUBSTITUTE(OFFSET(srt!$E$1,D136-2,0),",",".")</f>
        <v>00:21:06.660</v>
      </c>
      <c r="Q134" s="20">
        <f t="shared" ca="1" si="19"/>
        <v>0</v>
      </c>
      <c r="R134" s="20">
        <f t="shared" si="20"/>
        <v>5.2083333333334536E-5</v>
      </c>
      <c r="S134" s="20">
        <f t="shared" ca="1" si="21"/>
        <v>8.9351851851850878E-5</v>
      </c>
      <c r="T134" s="21">
        <f t="shared" ca="1" si="22"/>
        <v>3.2199999999998119</v>
      </c>
      <c r="U134" s="22" t="s">
        <v>855</v>
      </c>
    </row>
    <row r="135" spans="1:21" x14ac:dyDescent="0.3">
      <c r="A135" t="s">
        <v>652</v>
      </c>
      <c r="B135" s="1" t="str">
        <f t="shared" si="16"/>
        <v>00:11:56.867</v>
      </c>
      <c r="C135" t="str">
        <f t="shared" si="17"/>
        <v>这里，deg表示最高次数，r'代表矩阵B丢失的秩，也就是n-r。r'的值决定了解的数量，即2ʳ'。</v>
      </c>
      <c r="D135">
        <f t="shared" ca="1" si="23"/>
        <v>386</v>
      </c>
      <c r="E135">
        <f t="shared" ca="1" si="18"/>
        <v>3</v>
      </c>
      <c r="F135" t="str">
        <f ca="1">OFFSET(srt!$C$1,D136-1,0)</f>
        <v>这里DEG表示最高次数R撇代表矩阵B丢失的值，</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1" t="str">
        <f ca="1">SUBSTITUTE(OFFSET(srt!$D$1,D136-1,0),",",".")</f>
        <v>00:21:06.660</v>
      </c>
      <c r="P135" s="1" t="str">
        <f ca="1">SUBSTITUTE(OFFSET(srt!$E$1,D137-2,0),",",".")</f>
        <v>00:21:18.700</v>
      </c>
      <c r="Q135" s="20">
        <f t="shared" ca="1" si="19"/>
        <v>0</v>
      </c>
      <c r="R135" s="20">
        <f t="shared" si="20"/>
        <v>4.6296296296296016E-5</v>
      </c>
      <c r="S135" s="20">
        <f t="shared" ca="1" si="21"/>
        <v>1.3935185185185231E-4</v>
      </c>
      <c r="T135" s="21">
        <f t="shared" ca="1" si="22"/>
        <v>8.0400000000000631</v>
      </c>
      <c r="U135" s="22" t="s">
        <v>856</v>
      </c>
    </row>
    <row r="136" spans="1:21" x14ac:dyDescent="0.3">
      <c r="A136" t="s">
        <v>653</v>
      </c>
      <c r="B136" s="1" t="str">
        <f t="shared" si="16"/>
        <v>00:12:00.867</v>
      </c>
      <c r="C136" t="str">
        <f t="shared" si="17"/>
        <v>将g(x)写成矩阵的形式，记为G。</v>
      </c>
      <c r="D136">
        <f t="shared" ca="1" si="23"/>
        <v>389</v>
      </c>
      <c r="E136">
        <f t="shared" ca="1" si="18"/>
        <v>2</v>
      </c>
      <c r="F136" t="str">
        <f ca="1">OFFSET(srt!$C$1,D137-1,0)</f>
        <v>将GX写成矩阵的形式记为G，</v>
      </c>
      <c r="G136">
        <f ca="1">PrefixLenNorm($C136,OFFSET(srt!$C$1,$D136+COLUMN()-7,0))</f>
        <v>0</v>
      </c>
      <c r="H136">
        <f ca="1">PrefixLenNorm($C136,OFFSET(srt!$C$1,$D136+COLUMN()-7,0))</f>
        <v>13</v>
      </c>
      <c r="I136">
        <f ca="1">PrefixLenNorm($C136,OFFSET(srt!$C$1,$D136+COLUMN()-7,0))</f>
        <v>0</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1" t="str">
        <f ca="1">SUBSTITUTE(OFFSET(srt!$D$1,D137-1,0),",",".")</f>
        <v>00:21:18.700</v>
      </c>
      <c r="P136" s="1" t="str">
        <f ca="1">SUBSTITUTE(OFFSET(srt!$E$1,D138-2,0),",",".")</f>
        <v>00:21:21.740</v>
      </c>
      <c r="Q136" s="20">
        <f t="shared" ca="1" si="19"/>
        <v>1.6666666666666566E-5</v>
      </c>
      <c r="R136" s="20">
        <f t="shared" si="20"/>
        <v>4.0891203703704443E-5</v>
      </c>
      <c r="S136" s="20">
        <f t="shared" ca="1" si="21"/>
        <v>5.1851851851851538E-5</v>
      </c>
      <c r="T136" s="21">
        <f t="shared" ca="1" si="22"/>
        <v>0.94699999999990903</v>
      </c>
      <c r="U136" s="22" t="s">
        <v>857</v>
      </c>
    </row>
    <row r="137" spans="1:21" x14ac:dyDescent="0.3">
      <c r="A137" t="s">
        <v>654</v>
      </c>
      <c r="B137" s="1" t="str">
        <f t="shared" si="16"/>
        <v>00:12:04.400</v>
      </c>
      <c r="C137" t="str">
        <f t="shared" si="17"/>
        <v>不难注意到，只有当矩阵B为可逆矩阵时，g(x)=1，并且g(x)的最高次数为r'=n-r=0。</v>
      </c>
      <c r="D137">
        <f t="shared" ca="1" si="23"/>
        <v>391</v>
      </c>
      <c r="E137">
        <f t="shared" ca="1" si="18"/>
        <v>1</v>
      </c>
      <c r="F137" t="str">
        <f ca="1">OFFSET(srt!$C$1,D138-1,0)</f>
        <v>不难注意到只有当矩阵B为可逆矩阵时GX等于1。</v>
      </c>
      <c r="G137">
        <f ca="1">PrefixLenNorm($C137,OFFSET(srt!$C$1,$D137+COLUMN()-7,0))</f>
        <v>22</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1" t="str">
        <f ca="1">SUBSTITUTE(OFFSET(srt!$D$1,D138-1,0),",",".")</f>
        <v>00:21:23.180</v>
      </c>
      <c r="P137" s="1" t="str">
        <f ca="1">SUBSTITUTE(OFFSET(srt!$E$1,D139-2,0),",",".")</f>
        <v>00:21:32.540</v>
      </c>
      <c r="Q137" s="20">
        <f t="shared" ca="1" si="19"/>
        <v>1.9444444444445194E-5</v>
      </c>
      <c r="R137" s="20">
        <f t="shared" si="20"/>
        <v>4.4363425925925126E-5</v>
      </c>
      <c r="S137" s="20">
        <f t="shared" ca="1" si="21"/>
        <v>1.27777777777777E-4</v>
      </c>
      <c r="T137" s="21">
        <f t="shared" ca="1" si="22"/>
        <v>7.2070000000000025</v>
      </c>
      <c r="U137" s="22" t="s">
        <v>858</v>
      </c>
    </row>
    <row r="138" spans="1:21" x14ac:dyDescent="0.3">
      <c r="A138" t="s">
        <v>655</v>
      </c>
      <c r="B138" s="1" t="str">
        <f t="shared" si="16"/>
        <v>00:12:08.233</v>
      </c>
      <c r="C138" t="str">
        <f t="shared" si="17"/>
        <v>例如，当n=5时，高斯消元后的B的伪逆矩阵Q'和单位矩阵E'矩阵是这样的。</v>
      </c>
      <c r="D138">
        <f t="shared" ca="1" si="23"/>
        <v>392</v>
      </c>
      <c r="E138">
        <f t="shared" ca="1" si="18"/>
        <v>2</v>
      </c>
      <c r="F138" t="str">
        <f ca="1">OFFSET(srt!$C$1,D139-1,0)</f>
        <v>例如当N等于5时，</v>
      </c>
      <c r="G138">
        <f ca="1">PrefixLenNorm($C138,OFFSET(srt!$C$1,$D138+COLUMN()-7,0))</f>
        <v>0</v>
      </c>
      <c r="H138">
        <f ca="1">PrefixLenNorm($C138,OFFSET(srt!$C$1,$D138+COLUMN()-7,0))</f>
        <v>8</v>
      </c>
      <c r="I138">
        <f ca="1">PrefixLenNorm($C138,OFFSET(srt!$C$1,$D138+COLUMN()-7,0))</f>
        <v>0</v>
      </c>
      <c r="J138">
        <f ca="1">PrefixLenNorm($C138,OFFSET(srt!$C$1,$D138+COLUMN()-7,0))</f>
        <v>0</v>
      </c>
      <c r="K138">
        <f ca="1">PrefixLenNorm($C138,OFFSET(srt!$C$1,$D138+COLUMN()-7,0))</f>
        <v>0</v>
      </c>
      <c r="L138">
        <f ca="1">PrefixLenNorm($C138,OFFSET(srt!$C$1,$D138+COLUMN()-7,0))</f>
        <v>0</v>
      </c>
      <c r="M138">
        <f ca="1">PrefixLenNorm($C138,OFFSET(srt!$C$1,$D138+COLUMN()-7,0))</f>
        <v>0</v>
      </c>
      <c r="N138">
        <f ca="1">PrefixLenNorm($C138,OFFSET(srt!$C$1,$D138+COLUMN()-7,0))</f>
        <v>0</v>
      </c>
      <c r="O138" s="1" t="str">
        <f ca="1">SUBSTITUTE(OFFSET(srt!$D$1,D139-1,0),",",".")</f>
        <v>00:21:34.220</v>
      </c>
      <c r="P138" s="1" t="str">
        <f ca="1">SUBSTITUTE(OFFSET(srt!$E$1,D140-2,0),",",".")</f>
        <v>00:21:42.860</v>
      </c>
      <c r="Q138" s="20">
        <f t="shared" ca="1" si="19"/>
        <v>0</v>
      </c>
      <c r="R138" s="20">
        <f t="shared" si="20"/>
        <v>4.9768518518518434E-5</v>
      </c>
      <c r="S138" s="20">
        <f t="shared" ca="1" si="21"/>
        <v>9.9999999999999395E-5</v>
      </c>
      <c r="T138" s="21">
        <f t="shared" ca="1" si="22"/>
        <v>4.3399999999999554</v>
      </c>
      <c r="U138" s="22" t="s">
        <v>859</v>
      </c>
    </row>
    <row r="139" spans="1:21" x14ac:dyDescent="0.3">
      <c r="A139" t="s">
        <v>656</v>
      </c>
      <c r="B139" s="1" t="str">
        <f t="shared" si="16"/>
        <v>00:12:12.533</v>
      </c>
      <c r="C139" t="str">
        <f t="shared" si="17"/>
        <v>这里，矩阵B不可逆，其秩为r=3。我们以r×r为界将矩阵分为四块，则会有这些结论。</v>
      </c>
      <c r="D139">
        <f t="shared" ca="1" si="23"/>
        <v>394</v>
      </c>
      <c r="E139">
        <f t="shared" ca="1" si="1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1" t="str">
        <f ca="1">SUBSTITUTE(OFFSET(srt!$D$1,D140-1,0),",",".")</f>
        <v>00:21:42.860</v>
      </c>
      <c r="P139" s="1" t="str">
        <f ca="1">SUBSTITUTE(OFFSET(srt!$E$1,D141-2,0),",",".")</f>
        <v>00:21:53.060</v>
      </c>
      <c r="Q139" s="20">
        <f t="shared" ca="1" si="19"/>
        <v>0</v>
      </c>
      <c r="R139" s="20">
        <f t="shared" si="20"/>
        <v>4.1666666666667282E-5</v>
      </c>
      <c r="S139" s="20">
        <f t="shared" ca="1" si="21"/>
        <v>1.1805555555555527E-4</v>
      </c>
      <c r="T139" s="21">
        <f t="shared" ca="1" si="22"/>
        <v>6.5999999999999224</v>
      </c>
      <c r="U139" s="22" t="s">
        <v>860</v>
      </c>
    </row>
    <row r="140" spans="1:21" x14ac:dyDescent="0.3">
      <c r="A140" t="s">
        <v>657</v>
      </c>
      <c r="B140" s="1" t="str">
        <f t="shared" si="16"/>
        <v>00:12:16.133</v>
      </c>
      <c r="C140" t="str">
        <f t="shared" si="17"/>
        <v>1. 矩阵B左上角r×r的子矩阵满秩，并且和Q'左上角r×r的子矩阵互为逆矩阵。</v>
      </c>
      <c r="D140">
        <f t="shared" ca="1" si="23"/>
        <v>396</v>
      </c>
      <c r="E140">
        <f t="shared" ca="1" si="18"/>
        <v>5</v>
      </c>
      <c r="F140" t="str">
        <f ca="1">OFFSET(srt!$C$1,D141-1,0)</f>
        <v>1矩阵B左上角R乘2的子矩阵满质。</v>
      </c>
      <c r="G140">
        <f ca="1">PrefixLenNorm($C140,OFFSET(srt!$C$1,$D140+COLUMN()-7,0))</f>
        <v>0</v>
      </c>
      <c r="H140">
        <f ca="1">PrefixLenNorm($C140,OFFSET(srt!$C$1,$D140+COLUMN()-7,0))</f>
        <v>0</v>
      </c>
      <c r="I140">
        <f ca="1">PrefixLenNorm($C140,OFFSET(srt!$C$1,$D140+COLUMN()-7,0))</f>
        <v>0</v>
      </c>
      <c r="J140">
        <f ca="1">PrefixLenNorm($C140,OFFSET(srt!$C$1,$D140+COLUMN()-7,0))</f>
        <v>0</v>
      </c>
      <c r="K140">
        <f ca="1">PrefixLenNorm($C140,OFFSET(srt!$C$1,$D140+COLUMN()-7,0))</f>
        <v>9</v>
      </c>
      <c r="L140">
        <f ca="1">PrefixLenNorm($C140,OFFSET(srt!$C$1,$D140+COLUMN()-7,0))</f>
        <v>0</v>
      </c>
      <c r="M140">
        <f ca="1">PrefixLenNorm($C140,OFFSET(srt!$C$1,$D140+COLUMN()-7,0))</f>
        <v>0</v>
      </c>
      <c r="N140">
        <f ca="1">PrefixLenNorm($C140,OFFSET(srt!$C$1,$D140+COLUMN()-7,0))</f>
        <v>0</v>
      </c>
      <c r="O140" s="1" t="str">
        <f ca="1">SUBSTITUTE(OFFSET(srt!$D$1,D141-1,0),",",".")</f>
        <v>00:21:53.060</v>
      </c>
      <c r="P140" s="1" t="str">
        <f ca="1">SUBSTITUTE(OFFSET(srt!$E$1,D142-2,0),",",".")</f>
        <v>00:22:02.740</v>
      </c>
      <c r="Q140" s="20">
        <f t="shared" ca="1" si="19"/>
        <v>0</v>
      </c>
      <c r="R140" s="20">
        <f t="shared" si="20"/>
        <v>4.3981481481481649E-5</v>
      </c>
      <c r="S140" s="20">
        <f t="shared" ca="1" si="21"/>
        <v>1.1203703703703896E-4</v>
      </c>
      <c r="T140" s="21">
        <f t="shared" ca="1" si="22"/>
        <v>5.8800000000001518</v>
      </c>
      <c r="U140" s="22" t="s">
        <v>861</v>
      </c>
    </row>
    <row r="141" spans="1:21" x14ac:dyDescent="0.3">
      <c r="A141" t="s">
        <v>658</v>
      </c>
      <c r="B141" s="1" t="str">
        <f t="shared" si="16"/>
        <v>00:12:19.933</v>
      </c>
      <c r="C141" t="str">
        <f t="shared" si="17"/>
        <v>2. Q'右下角和E'左上角为单位矩阵，Q'右上角和E'下方为零矩阵。</v>
      </c>
      <c r="D141">
        <f t="shared" ca="1" si="23"/>
        <v>401</v>
      </c>
      <c r="E141">
        <f t="shared" ca="1" si="18"/>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1" t="str">
        <f ca="1">SUBSTITUTE(OFFSET(srt!$D$1,D142-1,0),",",".")</f>
        <v>00:22:02.740</v>
      </c>
      <c r="P141" s="1" t="str">
        <f ca="1">SUBSTITUTE(OFFSET(srt!$E$1,D143-2,0),",",".")</f>
        <v>00:22:11.620</v>
      </c>
      <c r="Q141" s="20">
        <f t="shared" ca="1" si="19"/>
        <v>0</v>
      </c>
      <c r="R141" s="20">
        <f t="shared" si="20"/>
        <v>6.2893518518517683E-5</v>
      </c>
      <c r="S141" s="20">
        <f t="shared" ca="1" si="21"/>
        <v>1.0277777777777629E-4</v>
      </c>
      <c r="T141" s="21">
        <f t="shared" ca="1" si="22"/>
        <v>3.4459999999999438</v>
      </c>
      <c r="U141" s="22" t="s">
        <v>862</v>
      </c>
    </row>
    <row r="142" spans="1:21" x14ac:dyDescent="0.3">
      <c r="A142" t="s">
        <v>659</v>
      </c>
      <c r="B142" s="1" t="str">
        <f t="shared" si="16"/>
        <v>00:12:25.367</v>
      </c>
      <c r="C142" t="str">
        <f t="shared" si="17"/>
        <v>3. Q'左下角Wr和E'右上角的静默操作相同，并且其值等于Q'左上角乘以B右上角，或者B左下角乘以Q'左上角。</v>
      </c>
      <c r="D142">
        <f t="shared" ca="1" si="23"/>
        <v>403</v>
      </c>
      <c r="E142">
        <f t="shared" ca="1" si="1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1" t="str">
        <f ca="1">SUBSTITUTE(OFFSET(srt!$D$1,D143-1,0),",",".")</f>
        <v>00:22:11.620</v>
      </c>
      <c r="P142" s="1" t="str">
        <f ca="1">SUBSTITUTE(OFFSET(srt!$E$1,D144-2,0),",",".")</f>
        <v>00:22:23.620</v>
      </c>
      <c r="Q142" s="20">
        <f t="shared" ca="1" si="19"/>
        <v>1.9907407407407721E-5</v>
      </c>
      <c r="R142" s="20">
        <f t="shared" si="20"/>
        <v>7.0208333333333581E-5</v>
      </c>
      <c r="S142" s="20">
        <f t="shared" ca="1" si="21"/>
        <v>1.5879629629629577E-4</v>
      </c>
      <c r="T142" s="21">
        <f t="shared" ca="1" si="22"/>
        <v>7.6539999999999333</v>
      </c>
      <c r="U142" s="22" t="s">
        <v>863</v>
      </c>
    </row>
    <row r="143" spans="1:21" x14ac:dyDescent="0.3">
      <c r="A143" t="s">
        <v>660</v>
      </c>
      <c r="B143" s="1" t="str">
        <f t="shared" si="16"/>
        <v>00:12:31.433</v>
      </c>
      <c r="C143" t="str">
        <f t="shared" si="17"/>
        <v>这些性质可以通过分块矩阵乘法，结合高斯消元法和矩阵B的对称性得出，有兴趣的小伙伴可以自行证明。</v>
      </c>
      <c r="D143">
        <f t="shared" ca="1" si="23"/>
        <v>405</v>
      </c>
      <c r="E143">
        <f t="shared" ca="1" si="1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1" t="str">
        <f ca="1">SUBSTITUTE(OFFSET(srt!$D$1,D144-1,0),",",".")</f>
        <v>00:22:25.340</v>
      </c>
      <c r="P143" s="1" t="str">
        <f ca="1">SUBSTITUTE(OFFSET(srt!$E$1,D145-2,0),",",".")</f>
        <v>00:22:34.260</v>
      </c>
      <c r="Q143" s="20">
        <f t="shared" ca="1" si="19"/>
        <v>1.7129629629630827E-5</v>
      </c>
      <c r="R143" s="20">
        <f t="shared" si="20"/>
        <v>4.2442129629630121E-5</v>
      </c>
      <c r="S143" s="20">
        <f t="shared" ca="1" si="21"/>
        <v>1.2037037037037311E-4</v>
      </c>
      <c r="T143" s="21">
        <f t="shared" ca="1" si="22"/>
        <v>6.7330000000001942</v>
      </c>
      <c r="U143" s="22" t="s">
        <v>864</v>
      </c>
    </row>
    <row r="144" spans="1:21" x14ac:dyDescent="0.3">
      <c r="A144" t="s">
        <v>661</v>
      </c>
      <c r="B144" s="1" t="str">
        <f t="shared" si="16"/>
        <v>00:12:35.100</v>
      </c>
      <c r="C144" t="str">
        <f t="shared" si="17"/>
        <v>可以发现，Q'不满足十字偶校验约束，因而无法通过公式递推求得。并且使用Q'第一行求得的x也不是原方程的解。</v>
      </c>
      <c r="D144">
        <f t="shared" ca="1" si="23"/>
        <v>408</v>
      </c>
      <c r="E144">
        <f t="shared" ca="1" si="18"/>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1" t="str">
        <f ca="1">SUBSTITUTE(OFFSET(srt!$D$1,D145-1,0),",",".")</f>
        <v>00:22:35.740</v>
      </c>
      <c r="P144" s="1" t="str">
        <f ca="1">SUBSTITUTE(OFFSET(srt!$E$1,D146-2,0),",",".")</f>
        <v>00:22:45.620</v>
      </c>
      <c r="Q144" s="20">
        <f t="shared" ca="1" si="19"/>
        <v>1.7129629629630827E-5</v>
      </c>
      <c r="R144" s="20">
        <f t="shared" si="20"/>
        <v>8.255787037036999E-5</v>
      </c>
      <c r="S144" s="20">
        <f t="shared" ca="1" si="21"/>
        <v>1.3148148148147895E-4</v>
      </c>
      <c r="T144" s="21">
        <f t="shared" ca="1" si="22"/>
        <v>4.2269999999998138</v>
      </c>
      <c r="U144" s="22" t="s">
        <v>865</v>
      </c>
    </row>
    <row r="145" spans="1:21" x14ac:dyDescent="0.3">
      <c r="A145" t="s">
        <v>662</v>
      </c>
      <c r="B145" s="1" t="str">
        <f t="shared" si="16"/>
        <v>00:12:42.233</v>
      </c>
      <c r="C145" t="str">
        <f t="shared" si="17"/>
        <v>如果我们令Q'第一行为q(x)，并且和p(x)相乘，得到的g(x)不为1，最高次数为4。</v>
      </c>
      <c r="D145">
        <f t="shared" ca="1" si="23"/>
        <v>411</v>
      </c>
      <c r="E145">
        <f t="shared" ca="1" si="18"/>
        <v>3</v>
      </c>
      <c r="F145" t="str">
        <f ca="1">OFFSET(srt!$C$1,D146-1,0)</f>
        <v>如果我们令Q撇第一行为QX并且和PX相乘得到的GX不为一，</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4</v>
      </c>
      <c r="M145">
        <f ca="1">PrefixLenNorm($C145,OFFSET(srt!$C$1,$D145+COLUMN()-7,0))</f>
        <v>0</v>
      </c>
      <c r="N145">
        <f ca="1">PrefixLenNorm($C145,OFFSET(srt!$C$1,$D145+COLUMN()-7,0))</f>
        <v>0</v>
      </c>
      <c r="O145" s="1" t="str">
        <f ca="1">SUBSTITUTE(OFFSET(srt!$D$1,D146-1,0),",",".")</f>
        <v>00:22:47.100</v>
      </c>
      <c r="P145" s="1" t="str">
        <f ca="1">SUBSTITUTE(OFFSET(srt!$E$1,D147-2,0),",",".")</f>
        <v>00:22:54.980</v>
      </c>
      <c r="Q145" s="20">
        <f t="shared" ca="1" si="19"/>
        <v>1.6203703703705774E-5</v>
      </c>
      <c r="R145" s="20">
        <f t="shared" si="20"/>
        <v>1.307870370370369E-4</v>
      </c>
      <c r="S145" s="20">
        <f t="shared" ca="1" si="21"/>
        <v>1.0740740740741023E-4</v>
      </c>
      <c r="T145" s="21">
        <f t="shared" ca="1" si="22"/>
        <v>-2.0199999999997442</v>
      </c>
      <c r="U145" s="22" t="s">
        <v>866</v>
      </c>
    </row>
    <row r="146" spans="1:21" x14ac:dyDescent="0.3">
      <c r="A146" t="s">
        <v>663</v>
      </c>
      <c r="B146" s="1" t="str">
        <f t="shared" si="16"/>
        <v>00:12:53.533</v>
      </c>
      <c r="C146" t="str">
        <f t="shared" si="17"/>
        <v>另一方面，如果我们直接使用扩展欧几里得法，通过p(x)和f(x)进行求解，得到的g(x)也不为1。</v>
      </c>
      <c r="D146">
        <f t="shared" ca="1" si="23"/>
        <v>414</v>
      </c>
      <c r="E146">
        <f t="shared" ca="1" si="18"/>
        <v>2</v>
      </c>
      <c r="F146" t="str">
        <f ca="1">OFFSET(srt!$C$1,D147-1,0)</f>
        <v>另一方面，</v>
      </c>
      <c r="G146">
        <f ca="1">PrefixLenNorm($C146,OFFSET(srt!$C$1,$D146+COLUMN()-7,0))</f>
        <v>0</v>
      </c>
      <c r="H146">
        <f ca="1">PrefixLenNorm($C146,OFFSET(srt!$C$1,$D146+COLUMN()-7,0))</f>
        <v>4</v>
      </c>
      <c r="I146">
        <f ca="1">PrefixLenNorm($C146,OFFSET(srt!$C$1,$D146+COLUMN()-7,0))</f>
        <v>0</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1" t="str">
        <f ca="1">SUBSTITUTE(OFFSET(srt!$D$1,D147-1,0),",",".")</f>
        <v>00:22:56.380</v>
      </c>
      <c r="P146" s="1" t="str">
        <f ca="1">SUBSTITUTE(OFFSET(srt!$E$1,D148-2,0),",",".")</f>
        <v>00:23:06.100</v>
      </c>
      <c r="Q146" s="20">
        <f t="shared" ca="1" si="19"/>
        <v>0</v>
      </c>
      <c r="R146" s="20">
        <f t="shared" si="20"/>
        <v>8.1412037037037824E-5</v>
      </c>
      <c r="S146" s="20">
        <f t="shared" ca="1" si="21"/>
        <v>1.1249999999999802E-4</v>
      </c>
      <c r="T146" s="21">
        <f t="shared" ca="1" si="22"/>
        <v>2.685999999999761</v>
      </c>
      <c r="U146" s="22" t="s">
        <v>867</v>
      </c>
    </row>
    <row r="147" spans="1:21" x14ac:dyDescent="0.3">
      <c r="A147" t="s">
        <v>664</v>
      </c>
      <c r="B147" s="1" t="str">
        <f t="shared" si="16"/>
        <v>00:13:00.567</v>
      </c>
      <c r="C147" t="str">
        <f t="shared" si="17"/>
        <v>将求得的q(x)和p(x)相乘，得到刚才求得的g(x)，其最高次数为2。</v>
      </c>
      <c r="D147">
        <f t="shared" ca="1" si="23"/>
        <v>416</v>
      </c>
      <c r="E147">
        <f t="shared" ca="1" si="1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1" t="str">
        <f ca="1">SUBSTITUTE(OFFSET(srt!$D$1,D148-1,0),",",".")</f>
        <v>00:23:06.100</v>
      </c>
      <c r="P147" s="1" t="str">
        <f ca="1">SUBSTITUTE(OFFSET(srt!$E$1,D149-2,0),",",".")</f>
        <v>00:23:12.460</v>
      </c>
      <c r="Q147" s="20">
        <f t="shared" ca="1" si="19"/>
        <v>1.7592592592593354E-5</v>
      </c>
      <c r="R147" s="20">
        <f t="shared" si="20"/>
        <v>1.0879629629629607E-4</v>
      </c>
      <c r="S147" s="20">
        <f t="shared" ca="1" si="21"/>
        <v>9.1203703703704453E-5</v>
      </c>
      <c r="T147" s="21">
        <f t="shared" ca="1" si="22"/>
        <v>-1.5199999999999159</v>
      </c>
      <c r="U147" s="22" t="s">
        <v>868</v>
      </c>
    </row>
    <row r="148" spans="1:21" x14ac:dyDescent="0.3">
      <c r="A148" t="s">
        <v>665</v>
      </c>
      <c r="B148" s="1" t="str">
        <f t="shared" si="16"/>
        <v>00:13:09.967</v>
      </c>
      <c r="C148" t="str">
        <f t="shared" si="17"/>
        <v>这里，我们计算q(H)y，发现求得的x也不是正确解。</v>
      </c>
      <c r="D148">
        <f t="shared" ca="1" si="23"/>
        <v>420</v>
      </c>
      <c r="E148">
        <f t="shared" ca="1" si="1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1" t="str">
        <f ca="1">SUBSTITUTE(OFFSET(srt!$D$1,D149-1,0),",",".")</f>
        <v>00:23:13.980</v>
      </c>
      <c r="P148" s="1" t="str">
        <f ca="1">SUBSTITUTE(OFFSET(srt!$E$1,D150-2,0),",",".")</f>
        <v>00:23:20.140</v>
      </c>
      <c r="Q148" s="20">
        <f t="shared" ca="1" si="19"/>
        <v>0</v>
      </c>
      <c r="R148" s="20">
        <f t="shared" si="20"/>
        <v>8.6030092592592408E-5</v>
      </c>
      <c r="S148" s="20">
        <f t="shared" ca="1" si="21"/>
        <v>7.1296296296298467E-5</v>
      </c>
      <c r="T148" s="21">
        <f t="shared" ca="1" si="22"/>
        <v>-1.2729999999997965</v>
      </c>
      <c r="U148" s="22" t="s">
        <v>869</v>
      </c>
    </row>
    <row r="149" spans="1:21" x14ac:dyDescent="0.3">
      <c r="A149" t="s">
        <v>666</v>
      </c>
      <c r="B149" s="1" t="str">
        <f t="shared" si="16"/>
        <v>00:13:17.400</v>
      </c>
      <c r="C149" t="str">
        <f t="shared" si="17"/>
        <v>两种方法求得的q(x)和g(x)都不相同，g(x)都不为1，并且q(H)y也都不是正确解。</v>
      </c>
      <c r="D149">
        <f t="shared" ca="1" si="23"/>
        <v>423</v>
      </c>
      <c r="E149">
        <f t="shared" ca="1" si="1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1" t="str">
        <f ca="1">SUBSTITUTE(OFFSET(srt!$D$1,D150-1,0),",",".")</f>
        <v>00:23:20.140</v>
      </c>
      <c r="P149" s="1" t="str">
        <f ca="1">SUBSTITUTE(OFFSET(srt!$E$1,D151-2,0),",",".")</f>
        <v>00:23:29.820</v>
      </c>
      <c r="Q149" s="20">
        <f t="shared" ca="1" si="19"/>
        <v>0</v>
      </c>
      <c r="R149" s="20">
        <f t="shared" si="20"/>
        <v>6.2500000000000056E-5</v>
      </c>
      <c r="S149" s="20">
        <f t="shared" ca="1" si="21"/>
        <v>1.1203703703703202E-4</v>
      </c>
      <c r="T149" s="21">
        <f t="shared" ca="1" si="22"/>
        <v>4.2799999999995624</v>
      </c>
      <c r="U149" s="22" t="s">
        <v>870</v>
      </c>
    </row>
    <row r="150" spans="1:21" x14ac:dyDescent="0.3">
      <c r="A150" t="s">
        <v>667</v>
      </c>
      <c r="B150" s="1" t="str">
        <f t="shared" si="16"/>
        <v>00:13:22.800</v>
      </c>
      <c r="C150" t="str">
        <f t="shared" si="17"/>
        <v>因此，如果g(x)不为1，则q(x)不满足q(x)p(x)=1 mod f(x)。或者说，满足q(x)p(x)=1 mod f(x)的q(x)不存在。</v>
      </c>
      <c r="D150">
        <f t="shared" ca="1" si="23"/>
        <v>425</v>
      </c>
      <c r="E150">
        <f t="shared" ca="1" si="1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1" t="str">
        <f ca="1">SUBSTITUTE(OFFSET(srt!$D$1,D151-1,0),",",".")</f>
        <v>00:23:29.820</v>
      </c>
      <c r="P150" s="1" t="str">
        <f ca="1">SUBSTITUTE(OFFSET(srt!$E$1,D152-2,0),",",".")</f>
        <v>00:23:42.020</v>
      </c>
      <c r="Q150" s="20">
        <f t="shared" ca="1" si="19"/>
        <v>1.7129629629630827E-5</v>
      </c>
      <c r="R150" s="20">
        <f t="shared" si="20"/>
        <v>3.5497685185185285E-5</v>
      </c>
      <c r="S150" s="20">
        <f t="shared" ca="1" si="21"/>
        <v>1.5833333333333671E-4</v>
      </c>
      <c r="T150" s="21">
        <f t="shared" ca="1" si="22"/>
        <v>10.613000000000284</v>
      </c>
      <c r="U150" s="22" t="s">
        <v>871</v>
      </c>
    </row>
    <row r="151" spans="1:21" x14ac:dyDescent="0.3">
      <c r="A151" t="s">
        <v>668</v>
      </c>
      <c r="B151" s="1" t="str">
        <f t="shared" si="16"/>
        <v>00:13:25.867</v>
      </c>
      <c r="C151" t="str">
        <f t="shared" si="17"/>
        <v>那么对于不可逆的矩阵B，我们又有什么方法可以求出正确的解呢？</v>
      </c>
      <c r="D151">
        <f t="shared" ca="1" si="23"/>
        <v>428</v>
      </c>
      <c r="E151">
        <f t="shared" ca="1" si="18"/>
        <v>4</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2</v>
      </c>
      <c r="K151">
        <f ca="1">PrefixLenNorm($C151,OFFSET(srt!$C$1,$D151+COLUMN()-7,0))</f>
        <v>0</v>
      </c>
      <c r="L151">
        <f ca="1">PrefixLenNorm($C151,OFFSET(srt!$C$1,$D151+COLUMN()-7,0))</f>
        <v>0</v>
      </c>
      <c r="M151">
        <f ca="1">PrefixLenNorm($C151,OFFSET(srt!$C$1,$D151+COLUMN()-7,0))</f>
        <v>0</v>
      </c>
      <c r="N151">
        <f ca="1">PrefixLenNorm($C151,OFFSET(srt!$C$1,$D151+COLUMN()-7,0))</f>
        <v>0</v>
      </c>
      <c r="O151" s="1" t="str">
        <f ca="1">SUBSTITUTE(OFFSET(srt!$D$1,D152-1,0),",",".")</f>
        <v>00:23:43.500</v>
      </c>
      <c r="P151" s="1" t="str">
        <f ca="1">SUBSTITUTE(OFFSET(srt!$E$1,D153-2,0),",",".")</f>
        <v>00:23:48.220</v>
      </c>
      <c r="Q151" s="20">
        <f t="shared" ca="1" si="19"/>
        <v>1.6666666666664831E-5</v>
      </c>
      <c r="R151" s="20">
        <f t="shared" si="20"/>
        <v>7.8310185185184733E-5</v>
      </c>
      <c r="S151" s="20">
        <f t="shared" ca="1" si="21"/>
        <v>7.1296296296294998E-5</v>
      </c>
      <c r="T151" s="21">
        <f t="shared" ca="1" si="22"/>
        <v>-0.60600000000007315</v>
      </c>
      <c r="U151" s="22" t="s">
        <v>872</v>
      </c>
    </row>
    <row r="152" spans="1:21" x14ac:dyDescent="0.3">
      <c r="A152" t="s">
        <v>669</v>
      </c>
      <c r="B152" s="1" t="str">
        <f t="shared" si="16"/>
        <v>00:13:32.633</v>
      </c>
      <c r="C152" t="str">
        <f t="shared" si="17"/>
        <v>在刚才的《首行求逆法》中，我们有这些公式。</v>
      </c>
      <c r="D152">
        <f t="shared" ca="1" si="23"/>
        <v>432</v>
      </c>
      <c r="E152">
        <f t="shared" ca="1" si="18"/>
        <v>3</v>
      </c>
      <c r="F152" t="str">
        <f ca="1">OFFSET(srt!$C$1,D153-1,0)</f>
        <v>在刚才的首行求逆法中，</v>
      </c>
      <c r="G152">
        <f ca="1">PrefixLenNorm($C152,OFFSET(srt!$C$1,$D152+COLUMN()-7,0))</f>
        <v>0</v>
      </c>
      <c r="H152">
        <f ca="1">PrefixLenNorm($C152,OFFSET(srt!$C$1,$D152+COLUMN()-7,0))</f>
        <v>0</v>
      </c>
      <c r="I152">
        <f ca="1">PrefixLenNorm($C152,OFFSET(srt!$C$1,$D152+COLUMN()-7,0))</f>
        <v>10</v>
      </c>
      <c r="J152">
        <f ca="1">PrefixLenNorm($C152,OFFSET(srt!$C$1,$D152+COLUMN()-7,0))</f>
        <v>0</v>
      </c>
      <c r="K152">
        <f ca="1">PrefixLenNorm($C152,OFFSET(srt!$C$1,$D152+COLUMN()-7,0))</f>
        <v>0</v>
      </c>
      <c r="L152">
        <f ca="1">PrefixLenNorm($C152,OFFSET(srt!$C$1,$D152+COLUMN()-7,0))</f>
        <v>0</v>
      </c>
      <c r="M152">
        <f ca="1">PrefixLenNorm($C152,OFFSET(srt!$C$1,$D152+COLUMN()-7,0))</f>
        <v>0</v>
      </c>
      <c r="N152">
        <f ca="1">PrefixLenNorm($C152,OFFSET(srt!$C$1,$D152+COLUMN()-7,0))</f>
        <v>0</v>
      </c>
      <c r="O152" s="1" t="str">
        <f ca="1">SUBSTITUTE(OFFSET(srt!$D$1,D153-1,0),",",".")</f>
        <v>00:23:49.660</v>
      </c>
      <c r="P152" s="1" t="str">
        <f ca="1">SUBSTITUTE(OFFSET(srt!$E$1,D154-2,0),",",".")</f>
        <v>00:23:52.660</v>
      </c>
      <c r="Q152" s="20">
        <f t="shared" ca="1" si="19"/>
        <v>1.7129629629627358E-5</v>
      </c>
      <c r="R152" s="20">
        <f t="shared" si="20"/>
        <v>4.0509259259259231E-5</v>
      </c>
      <c r="S152" s="20">
        <f t="shared" ca="1" si="21"/>
        <v>5.1851851851851538E-5</v>
      </c>
      <c r="T152" s="21">
        <f t="shared" ca="1" si="22"/>
        <v>0.97999999999997534</v>
      </c>
      <c r="U152" s="22" t="s">
        <v>873</v>
      </c>
    </row>
    <row r="153" spans="1:21" x14ac:dyDescent="0.3">
      <c r="A153" t="s">
        <v>670</v>
      </c>
      <c r="B153" s="1" t="str">
        <f t="shared" si="16"/>
        <v>00:13:36.133</v>
      </c>
      <c r="C153" t="str">
        <f t="shared" si="17"/>
        <v>现在，我们定义多项式q'(x)，满足q'(x)p(x)=g(x) mod f(x)。</v>
      </c>
      <c r="D153">
        <f t="shared" ca="1" si="23"/>
        <v>435</v>
      </c>
      <c r="E153">
        <f t="shared" ca="1" si="18"/>
        <v>2</v>
      </c>
      <c r="F153" t="str">
        <f ca="1">OFFSET(srt!$C$1,D154-1,0)</f>
        <v>现在我们定义多项是Q撇X满足Q撇XPX等于GXmodFX其中</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1" t="str">
        <f ca="1">SUBSTITUTE(OFFSET(srt!$D$1,D154-1,0),",",".")</f>
        <v>00:23:54.140</v>
      </c>
      <c r="P153" s="1" t="str">
        <f ca="1">SUBSTITUTE(OFFSET(srt!$E$1,D155-2,0),",",".")</f>
        <v>00:24:02.780</v>
      </c>
      <c r="Q153" s="20">
        <f t="shared" ca="1" si="19"/>
        <v>9.2592592592505296E-7</v>
      </c>
      <c r="R153" s="20">
        <f t="shared" si="20"/>
        <v>3.9351851851852915E-5</v>
      </c>
      <c r="S153" s="20">
        <f t="shared" ca="1" si="21"/>
        <v>1.0092592592592445E-4</v>
      </c>
      <c r="T153" s="21">
        <f t="shared" ca="1" si="22"/>
        <v>5.31999999999978</v>
      </c>
      <c r="U153" s="22" t="s">
        <v>874</v>
      </c>
    </row>
    <row r="154" spans="1:21" x14ac:dyDescent="0.3">
      <c r="A154" t="s">
        <v>671</v>
      </c>
      <c r="B154" s="1" t="str">
        <f t="shared" si="16"/>
        <v>00:13:39.533</v>
      </c>
      <c r="C154" s="18" t="str">
        <f t="shared" si="17"/>
        <v>其中，g(x)也就是刚才提到的最大公因子，q'(x)就是刚才求得的q(x)。</v>
      </c>
      <c r="D154">
        <f t="shared" ca="1" si="23"/>
        <v>437</v>
      </c>
      <c r="E154">
        <f t="shared" ca="1" si="18"/>
        <v>1</v>
      </c>
      <c r="F154" t="str">
        <f ca="1">OFFSET(srt!$C$1,D155-1,0)</f>
        <v>GX也就是刚才提到的最大公因子Q撇X就是刚才求得的QX由于原</v>
      </c>
      <c r="G154">
        <f ca="1">PrefixLenNorm($C154,OFFSET(srt!$C$1,$D154+COLUMN()-7,0))</f>
        <v>0</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1" t="str">
        <f ca="1">SUBSTITUTE(OFFSET(srt!$D$1,D155-1,0),",",".")</f>
        <v>00:24:02.860</v>
      </c>
      <c r="P154" s="1" t="str">
        <f ca="1">SUBSTITUTE(OFFSET(srt!$E$1,D156-2,0),",",".")</f>
        <v>00:24:11.140</v>
      </c>
      <c r="Q154" s="20">
        <f t="shared" ca="1" si="19"/>
        <v>0</v>
      </c>
      <c r="R154" s="20">
        <f t="shared" si="20"/>
        <v>3.3564814814814395E-5</v>
      </c>
      <c r="S154" s="20">
        <f t="shared" ca="1" si="21"/>
        <v>9.5833333333336657E-5</v>
      </c>
      <c r="T154" s="21">
        <f t="shared" ca="1" si="22"/>
        <v>5.3800000000003232</v>
      </c>
      <c r="U154" s="22" t="s">
        <v>875</v>
      </c>
    </row>
    <row r="155" spans="1:21" x14ac:dyDescent="0.3">
      <c r="A155" t="s">
        <v>672</v>
      </c>
      <c r="B155" s="1" t="str">
        <f t="shared" si="16"/>
        <v>00:13:42.433</v>
      </c>
      <c r="C155" s="18" t="str">
        <f t="shared" si="17"/>
        <v>由于原本求得的x并不是最终解，我们将其重命名为z，即z=q'(H)y。</v>
      </c>
      <c r="D155">
        <f t="shared" ca="1" si="23"/>
        <v>438</v>
      </c>
      <c r="E155">
        <f t="shared" ca="1" si="18"/>
        <v>1</v>
      </c>
      <c r="F155" t="str">
        <f ca="1">OFFSET(srt!$C$1,D156-1,0)</f>
        <v>本求得的X并不是最终解，</v>
      </c>
      <c r="G155">
        <f ca="1">PrefixLenNorm($C155,OFFSET(srt!$C$1,$D155+COLUMN()-7,0))</f>
        <v>0</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1" t="str">
        <f ca="1">SUBSTITUTE(OFFSET(srt!$D$1,D156-1,0),",",".")</f>
        <v>00:24:11.140</v>
      </c>
      <c r="P155" s="1" t="str">
        <f ca="1">SUBSTITUTE(OFFSET(srt!$E$1,D157-2,0),",",".")</f>
        <v>00:24:17.500</v>
      </c>
      <c r="Q155" s="20">
        <f t="shared" ca="1" si="19"/>
        <v>2.1296296296293565E-5</v>
      </c>
      <c r="R155" s="20">
        <f t="shared" si="20"/>
        <v>4.8611111111110383E-5</v>
      </c>
      <c r="S155" s="20">
        <f t="shared" ca="1" si="21"/>
        <v>9.4907407407404665E-5</v>
      </c>
      <c r="T155" s="21">
        <f t="shared" ca="1" si="22"/>
        <v>3.9999999999998259</v>
      </c>
      <c r="U155" s="22" t="s">
        <v>876</v>
      </c>
    </row>
    <row r="156" spans="1:21" x14ac:dyDescent="0.3">
      <c r="A156" t="s">
        <v>673</v>
      </c>
      <c r="B156" s="1" t="str">
        <f t="shared" si="16"/>
        <v>00:13:46.633</v>
      </c>
      <c r="C156" s="22" t="str">
        <f t="shared" si="17"/>
        <v>同时，我们定义q'(x)的逆多项式p'(x)，即q'(x)p'(x)=1 mod f(x)。</v>
      </c>
      <c r="D156">
        <f t="shared" ca="1" si="23"/>
        <v>439</v>
      </c>
      <c r="E156">
        <f t="shared" ca="1" si="18"/>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1" t="str">
        <f ca="1">SUBSTITUTE(OFFSET(srt!$D$1,D157-1,0),",",".")</f>
        <v>00:24:19.340</v>
      </c>
      <c r="P156" s="1" t="str">
        <f ca="1">SUBSTITUTE(OFFSET(srt!$E$1,D158-2,0),",",".")</f>
        <v>00:24:26.540</v>
      </c>
      <c r="Q156" s="20">
        <f t="shared" ca="1" si="19"/>
        <v>1.7592592592593354E-5</v>
      </c>
      <c r="R156" s="20">
        <f t="shared" si="20"/>
        <v>3.356481481481613E-5</v>
      </c>
      <c r="S156" s="20">
        <f t="shared" ca="1" si="21"/>
        <v>1.0092592592592792E-4</v>
      </c>
      <c r="T156" s="21">
        <f t="shared" ca="1" si="22"/>
        <v>5.8200000000000589</v>
      </c>
      <c r="U156" s="22" t="s">
        <v>877</v>
      </c>
    </row>
    <row r="157" spans="1:21" x14ac:dyDescent="0.3">
      <c r="A157" t="s">
        <v>674</v>
      </c>
      <c r="B157" s="1" t="str">
        <f t="shared" si="16"/>
        <v>00:13:49.533</v>
      </c>
      <c r="C157" t="str">
        <f t="shared" si="17"/>
        <v>我们不难推出这些式子。为了方便表示，这里将mod f(x)的部分省去。</v>
      </c>
      <c r="D157">
        <f t="shared" ca="1" si="23"/>
        <v>441</v>
      </c>
      <c r="E157">
        <f t="shared" ca="1" si="1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2</v>
      </c>
      <c r="M157">
        <f ca="1">PrefixLenNorm($C157,OFFSET(srt!$C$1,$D157+COLUMN()-7,0))</f>
        <v>0</v>
      </c>
      <c r="N157">
        <f ca="1">PrefixLenNorm($C157,OFFSET(srt!$C$1,$D157+COLUMN()-7,0))</f>
        <v>0</v>
      </c>
      <c r="O157" s="1" t="str">
        <f ca="1">SUBSTITUTE(OFFSET(srt!$D$1,D158-1,0),",",".")</f>
        <v>00:24:28.060</v>
      </c>
      <c r="P157" s="1" t="str">
        <f ca="1">SUBSTITUTE(OFFSET(srt!$E$1,D159-2,0),",",".")</f>
        <v>00:24:36.140</v>
      </c>
      <c r="Q157" s="20">
        <f t="shared" ca="1" si="19"/>
        <v>0</v>
      </c>
      <c r="R157" s="20">
        <f t="shared" si="20"/>
        <v>6.5972222222220739E-5</v>
      </c>
      <c r="S157" s="20">
        <f t="shared" ca="1" si="21"/>
        <v>9.3518518518520555E-5</v>
      </c>
      <c r="T157" s="21">
        <f t="shared" ca="1" si="22"/>
        <v>2.3800000000003041</v>
      </c>
      <c r="U157" s="22" t="s">
        <v>878</v>
      </c>
    </row>
    <row r="158" spans="1:21" x14ac:dyDescent="0.3">
      <c r="A158" t="s">
        <v>675</v>
      </c>
      <c r="B158" s="1" t="str">
        <f t="shared" si="16"/>
        <v>00:13:55.233</v>
      </c>
      <c r="C158" s="18" t="str">
        <f t="shared" si="17"/>
        <v>整理后，我们可以得到这些式子。</v>
      </c>
      <c r="D158">
        <f t="shared" ca="1" si="23"/>
        <v>445</v>
      </c>
      <c r="E158">
        <v>2</v>
      </c>
      <c r="F158" t="str">
        <f ca="1">OFFSET(srt!$C$1,D159-1,0)</f>
        <v>我们可以得到这些式子。</v>
      </c>
      <c r="G158">
        <f ca="1">PrefixLenNorm($C158,OFFSET(srt!$C$1,$D158+COLUMN()-7,0))</f>
        <v>0</v>
      </c>
      <c r="H158">
        <f ca="1">PrefixLenNorm($C158,OFFSET(srt!$C$1,$D158+COLUMN()-7,0))</f>
        <v>0</v>
      </c>
      <c r="I158">
        <f ca="1">PrefixLenNorm($C158,OFFSET(srt!$C$1,$D158+COLUMN()-7,0))</f>
        <v>0</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1" t="str">
        <f ca="1">SUBSTITUTE(OFFSET(srt!$D$1,D159-1,0),",",".")</f>
        <v>00:24:36.140</v>
      </c>
      <c r="P158" s="1" t="str">
        <f ca="1">SUBSTITUTE(OFFSET(srt!$E$1,D160-2,0),",",".")</f>
        <v>00:24:37.700</v>
      </c>
      <c r="Q158" s="20">
        <f t="shared" ca="1" si="19"/>
        <v>1.7129629629630827E-5</v>
      </c>
      <c r="R158" s="20">
        <f t="shared" si="20"/>
        <v>1.3657407407407542E-4</v>
      </c>
      <c r="S158" s="20">
        <f t="shared" ca="1" si="21"/>
        <v>3.5185185185183238E-5</v>
      </c>
      <c r="T158" s="21">
        <f t="shared" ca="1" si="22"/>
        <v>-8.760000000000284</v>
      </c>
      <c r="U158" s="22" t="s">
        <v>879</v>
      </c>
    </row>
    <row r="159" spans="1:21" x14ac:dyDescent="0.3">
      <c r="A159" t="s">
        <v>676</v>
      </c>
      <c r="B159" s="1" t="str">
        <f t="shared" si="16"/>
        <v>00:14:07.033</v>
      </c>
      <c r="C159" t="str">
        <f t="shared" si="17"/>
        <v>最终，我们得到了z=g(H)x。这里，如果g(x)=1，则会有右边这些式子。</v>
      </c>
      <c r="D159">
        <f t="shared" ca="1" si="23"/>
        <v>447</v>
      </c>
      <c r="E159">
        <f t="shared" ca="1" si="18"/>
        <v>1</v>
      </c>
      <c r="F159" t="str">
        <f ca="1">OFFSET(srt!$C$1,D160-1,0)</f>
        <v>最终我们得到了C等于GHX这里，</v>
      </c>
      <c r="G159">
        <f ca="1">PrefixLenNorm($C159,OFFSET(srt!$C$1,$D159+COLUMN()-7,0))</f>
        <v>7</v>
      </c>
      <c r="H159">
        <f ca="1">PrefixLenNorm($C159,OFFSET(srt!$C$1,$D159+COLUMN()-7,0))</f>
        <v>0</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1" t="str">
        <f ca="1">SUBSTITUTE(OFFSET(srt!$D$1,D160-1,0),",",".")</f>
        <v>00:24:39.180</v>
      </c>
      <c r="P159" s="1" t="str">
        <f ca="1">SUBSTITUTE(OFFSET(srt!$E$1,D161-2,0),",",".")</f>
        <v>00:24:46.620</v>
      </c>
      <c r="Q159" s="20">
        <f t="shared" ca="1" si="19"/>
        <v>2.0370370370371982E-5</v>
      </c>
      <c r="R159" s="20">
        <f t="shared" si="20"/>
        <v>7.5231481481479942E-5</v>
      </c>
      <c r="S159" s="20">
        <f t="shared" ca="1" si="21"/>
        <v>1.064814814814817E-4</v>
      </c>
      <c r="T159" s="21">
        <f t="shared" ca="1" si="22"/>
        <v>2.7000000000001521</v>
      </c>
      <c r="U159" s="22" t="s">
        <v>880</v>
      </c>
    </row>
    <row r="160" spans="1:21" x14ac:dyDescent="0.3">
      <c r="A160" t="s">
        <v>677</v>
      </c>
      <c r="B160" s="1" t="str">
        <f t="shared" si="16"/>
        <v>00:14:13.533</v>
      </c>
      <c r="C160" t="str">
        <f t="shared" si="17"/>
        <v>前面使用的扩展欧几里得法中，我们已求得q'(x)和g(x)。因此，接下来只需要使用g(x)和z即可求得x。</v>
      </c>
      <c r="D160">
        <f t="shared" ca="1" si="23"/>
        <v>448</v>
      </c>
      <c r="E160">
        <f t="shared" ca="1" si="18"/>
        <v>3</v>
      </c>
      <c r="F160" t="str">
        <f ca="1">OFFSET(srt!$C$1,D161-1,0)</f>
        <v>前面使用的扩展欧几里得法中，</v>
      </c>
      <c r="G160">
        <f ca="1">PrefixLenNorm($C160,OFFSET(srt!$C$1,$D160+COLUMN()-7,0))</f>
        <v>0</v>
      </c>
      <c r="H160">
        <f ca="1">PrefixLenNorm($C160,OFFSET(srt!$C$1,$D160+COLUMN()-7,0))</f>
        <v>0</v>
      </c>
      <c r="I160">
        <f ca="1">PrefixLenNorm($C160,OFFSET(srt!$C$1,$D160+COLUMN()-7,0))</f>
        <v>13</v>
      </c>
      <c r="J160">
        <f ca="1">PrefixLenNorm($C160,OFFSET(srt!$C$1,$D160+COLUMN()-7,0))</f>
        <v>0</v>
      </c>
      <c r="K160">
        <f ca="1">PrefixLenNorm($C160,OFFSET(srt!$C$1,$D160+COLUMN()-7,0))</f>
        <v>0</v>
      </c>
      <c r="L160">
        <f ca="1">PrefixLenNorm($C160,OFFSET(srt!$C$1,$D160+COLUMN()-7,0))</f>
        <v>1</v>
      </c>
      <c r="M160">
        <f ca="1">PrefixLenNorm($C160,OFFSET(srt!$C$1,$D160+COLUMN()-7,0))</f>
        <v>0</v>
      </c>
      <c r="N160">
        <f ca="1">PrefixLenNorm($C160,OFFSET(srt!$C$1,$D160+COLUMN()-7,0))</f>
        <v>0</v>
      </c>
      <c r="O160" s="1" t="str">
        <f ca="1">SUBSTITUTE(OFFSET(srt!$D$1,D161-1,0),",",".")</f>
        <v>00:24:48.380</v>
      </c>
      <c r="P160" s="1" t="str">
        <f ca="1">SUBSTITUTE(OFFSET(srt!$E$1,D162-2,0),",",".")</f>
        <v>00:24:58.140</v>
      </c>
      <c r="Q160" s="20">
        <f t="shared" ca="1" si="19"/>
        <v>1.7592592592589884E-5</v>
      </c>
      <c r="R160" s="20">
        <f t="shared" si="20"/>
        <v>3.356481481481613E-5</v>
      </c>
      <c r="S160" s="20">
        <f t="shared" ca="1" si="21"/>
        <v>1.305555555555539E-4</v>
      </c>
      <c r="T160" s="21">
        <f t="shared" ca="1" si="22"/>
        <v>8.3799999999997432</v>
      </c>
      <c r="U160" s="22" t="s">
        <v>881</v>
      </c>
    </row>
    <row r="161" spans="1:21" x14ac:dyDescent="0.3">
      <c r="A161" t="s">
        <v>678</v>
      </c>
      <c r="B161" s="1" t="str">
        <f t="shared" si="16"/>
        <v>00:14:16.433</v>
      </c>
      <c r="C161" t="str">
        <f t="shared" si="17"/>
        <v>前者，我们有公式z=q'(H)y。我们不断让y乘以H，然后使用向量乘以矩阵的方法求得z。</v>
      </c>
      <c r="D161">
        <f t="shared" ca="1" si="23"/>
        <v>451</v>
      </c>
      <c r="E161">
        <f t="shared" ca="1" si="1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1" t="str">
        <f ca="1">SUBSTITUTE(OFFSET(srt!$D$1,D162-1,0),",",".")</f>
        <v>00:24:59.660</v>
      </c>
      <c r="P161" s="1" t="str">
        <f ca="1">SUBSTITUTE(OFFSET(srt!$E$1,D163-2,0),",",".")</f>
        <v>00:25:08.620</v>
      </c>
      <c r="Q161" s="20">
        <f t="shared" ca="1" si="19"/>
        <v>1.7592592592596823E-5</v>
      </c>
      <c r="R161" s="20">
        <f t="shared" si="20"/>
        <v>3.935185185185118E-5</v>
      </c>
      <c r="S161" s="20">
        <f t="shared" ca="1" si="21"/>
        <v>1.212962962962999E-4</v>
      </c>
      <c r="T161" s="21">
        <f t="shared" ca="1" si="22"/>
        <v>7.0800000000003696</v>
      </c>
      <c r="U161" s="22" t="s">
        <v>882</v>
      </c>
    </row>
    <row r="162" spans="1:21" x14ac:dyDescent="0.3">
      <c r="A162" t="s">
        <v>679</v>
      </c>
      <c r="B162" s="1" t="str">
        <f t="shared" si="16"/>
        <v>00:14:19.833</v>
      </c>
      <c r="C162" t="str">
        <f t="shared" si="17"/>
        <v>现在，我们有公式z=g(H)x。由于需要求得的是x，因此不能再使用这个方法来求解。</v>
      </c>
      <c r="D162">
        <f t="shared" ca="1" si="23"/>
        <v>454</v>
      </c>
      <c r="E162">
        <f t="shared" ca="1" si="1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1" t="str">
        <f ca="1">SUBSTITUTE(OFFSET(srt!$D$1,D163-1,0),",",".")</f>
        <v>00:25:10.140</v>
      </c>
      <c r="P162" s="1" t="str">
        <f ca="1">SUBSTITUTE(OFFSET(srt!$E$1,D164-2,0),",",".")</f>
        <v>00:25:18.220</v>
      </c>
      <c r="Q162" s="20">
        <f t="shared" ca="1" si="19"/>
        <v>1.7592592592589884E-5</v>
      </c>
      <c r="R162" s="20">
        <f t="shared" si="20"/>
        <v>5.9027777777777637E-5</v>
      </c>
      <c r="S162" s="20">
        <f t="shared" ca="1" si="21"/>
        <v>1.1111111111110697E-4</v>
      </c>
      <c r="T162" s="21">
        <f t="shared" ca="1" si="22"/>
        <v>4.4999999999996545</v>
      </c>
      <c r="U162" s="22" t="s">
        <v>883</v>
      </c>
    </row>
    <row r="163" spans="1:21" x14ac:dyDescent="0.3">
      <c r="A163" t="s">
        <v>680</v>
      </c>
      <c r="B163" s="1" t="str">
        <f t="shared" si="16"/>
        <v>00:14:24.933</v>
      </c>
      <c r="C163" t="str">
        <f t="shared" si="17"/>
        <v>这次，我们需要用反向叠加法来求x。让我们以n=5为例。</v>
      </c>
      <c r="D163">
        <f t="shared" ca="1" si="23"/>
        <v>457</v>
      </c>
      <c r="E163">
        <f t="shared" ca="1" si="18"/>
        <v>3</v>
      </c>
      <c r="F163" t="str">
        <f ca="1">OFFSET(srt!$C$1,D164-1,0)</f>
        <v>这次我们需要用反向叠加法来求X，</v>
      </c>
      <c r="G163">
        <f ca="1">PrefixLenNorm($C163,OFFSET(srt!$C$1,$D163+COLUMN()-7,0))</f>
        <v>0</v>
      </c>
      <c r="H163">
        <f ca="1">PrefixLenNorm($C163,OFFSET(srt!$C$1,$D163+COLUMN()-7,0))</f>
        <v>0</v>
      </c>
      <c r="I163">
        <f ca="1">PrefixLenNorm($C163,OFFSET(srt!$C$1,$D163+COLUMN()-7,0))</f>
        <v>15</v>
      </c>
      <c r="J163">
        <f ca="1">PrefixLenNorm($C163,OFFSET(srt!$C$1,$D163+COLUMN()-7,0))</f>
        <v>0</v>
      </c>
      <c r="K163">
        <f ca="1">PrefixLenNorm($C163,OFFSET(srt!$C$1,$D163+COLUMN()-7,0))</f>
        <v>0</v>
      </c>
      <c r="L163">
        <f ca="1">PrefixLenNorm($C163,OFFSET(srt!$C$1,$D163+COLUMN()-7,0))</f>
        <v>1</v>
      </c>
      <c r="M163">
        <f ca="1">PrefixLenNorm($C163,OFFSET(srt!$C$1,$D163+COLUMN()-7,0))</f>
        <v>0</v>
      </c>
      <c r="N163">
        <f ca="1">PrefixLenNorm($C163,OFFSET(srt!$C$1,$D163+COLUMN()-7,0))</f>
        <v>0</v>
      </c>
      <c r="O163" s="1" t="str">
        <f ca="1">SUBSTITUTE(OFFSET(srt!$D$1,D164-1,0),",",".")</f>
        <v>00:25:19.740</v>
      </c>
      <c r="P163" s="1" t="str">
        <f ca="1">SUBSTITUTE(OFFSET(srt!$E$1,D165-2,0),",",".")</f>
        <v>00:25:26.740</v>
      </c>
      <c r="Q163" s="20">
        <f t="shared" ca="1" si="19"/>
        <v>0</v>
      </c>
      <c r="R163" s="20">
        <f t="shared" si="20"/>
        <v>3.0092592592593712E-5</v>
      </c>
      <c r="S163" s="20">
        <f t="shared" ca="1" si="21"/>
        <v>8.1018518518518462E-5</v>
      </c>
      <c r="T163" s="21">
        <f t="shared" ca="1" si="22"/>
        <v>4.3999999999998982</v>
      </c>
      <c r="U163" s="22" t="s">
        <v>884</v>
      </c>
    </row>
    <row r="164" spans="1:21" x14ac:dyDescent="0.3">
      <c r="A164" t="s">
        <v>681</v>
      </c>
      <c r="B164" s="1" t="str">
        <f t="shared" si="16"/>
        <v>00:14:27.533</v>
      </c>
      <c r="C164" t="str">
        <f t="shared" si="17"/>
        <v>首先，我们需要使用类似生成矩阵B的方法生成g(H)，这里记为矩阵D，其秩与矩阵B相同。</v>
      </c>
      <c r="D164">
        <f t="shared" ca="1" si="23"/>
        <v>460</v>
      </c>
      <c r="E164">
        <f t="shared" ca="1" si="1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1" t="str">
        <f ca="1">SUBSTITUTE(OFFSET(srt!$D$1,D165-1,0),",",".")</f>
        <v>00:25:26.740</v>
      </c>
      <c r="P164" s="1" t="str">
        <f ca="1">SUBSTITUTE(OFFSET(srt!$E$1,D166-2,0),",",".")</f>
        <v>00:25:34.660</v>
      </c>
      <c r="Q164" s="20">
        <f t="shared" ca="1" si="19"/>
        <v>2.0833333333331039E-5</v>
      </c>
      <c r="R164" s="20">
        <f t="shared" si="20"/>
        <v>3.0092592592591977E-5</v>
      </c>
      <c r="S164" s="20">
        <f t="shared" ca="1" si="21"/>
        <v>1.1250000000000149E-4</v>
      </c>
      <c r="T164" s="21">
        <f t="shared" ca="1" si="22"/>
        <v>7.1200000000001822</v>
      </c>
      <c r="U164" s="22" t="s">
        <v>885</v>
      </c>
    </row>
    <row r="165" spans="1:21" x14ac:dyDescent="0.3">
      <c r="A165" t="s">
        <v>682</v>
      </c>
      <c r="B165" s="1" t="str">
        <f t="shared" si="16"/>
        <v>00:14:30.133</v>
      </c>
      <c r="C165" t="str">
        <f t="shared" si="17"/>
        <v>1. 创建n个单位向量，也就是矩阵D的第一行。这里和矩阵B相同，一共有n个向量。</v>
      </c>
      <c r="D165">
        <f t="shared" ca="1" si="23"/>
        <v>462</v>
      </c>
      <c r="E165">
        <f t="shared" ca="1" si="1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1" t="str">
        <f ca="1">SUBSTITUTE(OFFSET(srt!$D$1,D166-1,0),",",".")</f>
        <v>00:25:36.460</v>
      </c>
      <c r="P165" s="1" t="str">
        <f ca="1">SUBSTITUTE(OFFSET(srt!$E$1,D167-2,0),",",".")</f>
        <v>00:25:43.980</v>
      </c>
      <c r="Q165" s="20">
        <f t="shared" ca="1" si="19"/>
        <v>2.2222222222222088E-5</v>
      </c>
      <c r="R165" s="20">
        <f t="shared" si="20"/>
        <v>2.4305555555555192E-5</v>
      </c>
      <c r="S165" s="20">
        <f t="shared" ca="1" si="21"/>
        <v>1.0925925925926033E-4</v>
      </c>
      <c r="T165" s="21">
        <f t="shared" ca="1" si="22"/>
        <v>7.3400000000001242</v>
      </c>
      <c r="U165" s="22" t="s">
        <v>886</v>
      </c>
    </row>
    <row r="166" spans="1:21" x14ac:dyDescent="0.3">
      <c r="A166" t="s">
        <v>683</v>
      </c>
      <c r="B166" s="1" t="str">
        <f t="shared" si="16"/>
        <v>00:14:32.233</v>
      </c>
      <c r="C166" t="str">
        <f t="shared" si="17"/>
        <v>2. 使用矩阵H，将每个矩阵D的第一行扩散到后续的行。</v>
      </c>
      <c r="D166">
        <f t="shared" ca="1" si="23"/>
        <v>465</v>
      </c>
      <c r="E166">
        <f t="shared" ca="1" si="1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1" t="str">
        <f ca="1">SUBSTITUTE(OFFSET(srt!$D$1,D167-1,0),",",".")</f>
        <v>00:25:45.900</v>
      </c>
      <c r="P166" s="1" t="str">
        <f ca="1">SUBSTITUTE(OFFSET(srt!$E$1,D168-2,0),",",".")</f>
        <v>00:25:50.460</v>
      </c>
      <c r="Q166" s="20">
        <f t="shared" ca="1" si="19"/>
        <v>2.2222222222222088E-5</v>
      </c>
      <c r="R166" s="20">
        <f t="shared" si="20"/>
        <v>3.0092592592591977E-5</v>
      </c>
      <c r="S166" s="20">
        <f t="shared" ca="1" si="21"/>
        <v>7.4999999999998679E-5</v>
      </c>
      <c r="T166" s="21">
        <f t="shared" ca="1" si="22"/>
        <v>3.8799999999999391</v>
      </c>
      <c r="U166" s="22" t="s">
        <v>887</v>
      </c>
    </row>
    <row r="167" spans="1:21" x14ac:dyDescent="0.3">
      <c r="A167" t="s">
        <v>684</v>
      </c>
      <c r="B167" s="1" t="str">
        <f t="shared" si="16"/>
        <v>00:14:34.833</v>
      </c>
      <c r="C167" t="str">
        <f t="shared" si="17"/>
        <v>3. 根据多项式g(x)，将每个矩阵D的对应行叠加起来，叠加完的行共同构成一个新的矩阵D。</v>
      </c>
      <c r="D167">
        <f t="shared" ca="1" si="23"/>
        <v>469</v>
      </c>
      <c r="E167">
        <f t="shared" ca="1" si="1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1" t="str">
        <f ca="1">SUBSTITUTE(OFFSET(srt!$D$1,D168-1,0),",",".")</f>
        <v>00:25:52.380</v>
      </c>
      <c r="P167" s="1" t="str">
        <f ca="1">SUBSTITUTE(OFFSET(srt!$E$1,D169-2,0),",",".")</f>
        <v>00:26:00.140</v>
      </c>
      <c r="Q167" s="20">
        <f t="shared" ca="1" si="19"/>
        <v>1.7592592592589884E-5</v>
      </c>
      <c r="R167" s="20">
        <f t="shared" si="20"/>
        <v>1.2770833333333384E-4</v>
      </c>
      <c r="S167" s="20">
        <f t="shared" ca="1" si="21"/>
        <v>1.0740740740740676E-4</v>
      </c>
      <c r="T167" s="21">
        <f t="shared" ca="1" si="22"/>
        <v>-1.7540000000000999</v>
      </c>
      <c r="U167" s="22" t="s">
        <v>888</v>
      </c>
    </row>
    <row r="168" spans="1:21" x14ac:dyDescent="0.3">
      <c r="A168" t="s">
        <v>685</v>
      </c>
      <c r="B168" s="1" t="str">
        <f t="shared" si="16"/>
        <v>00:14:45.867</v>
      </c>
      <c r="C168" t="str">
        <f t="shared" si="17"/>
        <v>可以发现，这里的步骤和《首行叠加法》类似，共有n个矩阵要生成，时间复杂度是O(n³)。</v>
      </c>
      <c r="D168">
        <f t="shared" ca="1" si="23"/>
        <v>470</v>
      </c>
      <c r="E168">
        <f t="shared" ca="1" si="1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1" t="str">
        <f ca="1">SUBSTITUTE(OFFSET(srt!$D$1,D169-1,0),",",".")</f>
        <v>00:26:01.660</v>
      </c>
      <c r="P168" s="1" t="str">
        <f ca="1">SUBSTITUTE(OFFSET(srt!$E$1,D170-2,0),",",".")</f>
        <v>00:26:11.020</v>
      </c>
      <c r="Q168" s="20">
        <f t="shared" ca="1" si="19"/>
        <v>0</v>
      </c>
      <c r="R168" s="20">
        <f t="shared" si="20"/>
        <v>3.0092592592591977E-5</v>
      </c>
      <c r="S168" s="20">
        <f t="shared" ca="1" si="21"/>
        <v>1.0833333333333528E-4</v>
      </c>
      <c r="T168" s="21">
        <f t="shared" ca="1" si="22"/>
        <v>6.7600000000002218</v>
      </c>
      <c r="U168" s="22" t="s">
        <v>889</v>
      </c>
    </row>
    <row r="169" spans="1:21" x14ac:dyDescent="0.3">
      <c r="A169" t="s">
        <v>686</v>
      </c>
      <c r="B169" s="1" t="str">
        <f t="shared" si="16"/>
        <v>00:14:48.467</v>
      </c>
      <c r="C169" t="str">
        <f t="shared" si="17"/>
        <v>不过，聪明的你一定能想到，通过《生成矩阵法》调换矩阵的行以后，这些矩阵也都满足十字偶校验约束。</v>
      </c>
      <c r="D169">
        <f t="shared" ca="1" si="23"/>
        <v>472</v>
      </c>
      <c r="E169">
        <f t="shared" ca="1" si="1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1" t="str">
        <f ca="1">SUBSTITUTE(OFFSET(srt!$D$1,D170-1,0),",",".")</f>
        <v>00:26:11.020</v>
      </c>
      <c r="P169" s="1" t="str">
        <f ca="1">SUBSTITUTE(OFFSET(srt!$E$1,D171-2,0),",",".")</f>
        <v>00:26:18.940</v>
      </c>
      <c r="Q169" s="20">
        <f t="shared" ca="1" si="19"/>
        <v>1.7592592592589884E-5</v>
      </c>
      <c r="R169" s="20">
        <f t="shared" si="20"/>
        <v>1.0300925925925929E-4</v>
      </c>
      <c r="S169" s="20">
        <f t="shared" ca="1" si="21"/>
        <v>1.0925925925925686E-4</v>
      </c>
      <c r="T169" s="21">
        <f t="shared" ca="1" si="22"/>
        <v>0.53999999999979065</v>
      </c>
      <c r="U169" s="22" t="s">
        <v>890</v>
      </c>
    </row>
    <row r="170" spans="1:21" x14ac:dyDescent="0.3">
      <c r="A170" t="s">
        <v>687</v>
      </c>
      <c r="B170" s="1" t="str">
        <f t="shared" si="16"/>
        <v>00:14:57.367</v>
      </c>
      <c r="C170" t="str">
        <f t="shared" si="17"/>
        <v>因此，我们同样只需要生成第一个矩阵，然后递推即可得到矩阵D，时间复杂度降为了O(n²)。</v>
      </c>
      <c r="D170">
        <f t="shared" ca="1" si="23"/>
        <v>475</v>
      </c>
      <c r="E170">
        <f t="shared" ca="1" si="1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1" t="str">
        <f ca="1">SUBSTITUTE(OFFSET(srt!$D$1,D171-1,0),",",".")</f>
        <v>00:26:20.460</v>
      </c>
      <c r="P170" s="1" t="str">
        <f ca="1">SUBSTITUTE(OFFSET(srt!$E$1,D172-2,0),",",".")</f>
        <v>00:26:30.300</v>
      </c>
      <c r="Q170" s="20">
        <f t="shared" ca="1" si="19"/>
        <v>0</v>
      </c>
      <c r="R170" s="20">
        <f t="shared" si="20"/>
        <v>8.6805555555555247E-5</v>
      </c>
      <c r="S170" s="20">
        <f t="shared" ca="1" si="21"/>
        <v>1.1388888888888907E-4</v>
      </c>
      <c r="T170" s="21">
        <f t="shared" ca="1" si="22"/>
        <v>2.340000000000042</v>
      </c>
      <c r="U170" s="22" t="s">
        <v>891</v>
      </c>
    </row>
    <row r="171" spans="1:21" x14ac:dyDescent="0.3">
      <c r="A171" t="s">
        <v>688</v>
      </c>
      <c r="B171" s="1" t="str">
        <f t="shared" si="16"/>
        <v>00:15:04.867</v>
      </c>
      <c r="C171" t="str">
        <f t="shared" si="17"/>
        <v>在生成第一个矩阵的过程中，每行乘以矩阵H的结果，就是刚才的矩阵K。</v>
      </c>
      <c r="D171">
        <f t="shared" ca="1" si="23"/>
        <v>478</v>
      </c>
      <c r="E171">
        <f t="shared" ca="1" si="1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1" t="str">
        <f ca="1">SUBSTITUTE(OFFSET(srt!$D$1,D172-1,0),",",".")</f>
        <v>00:26:30.300</v>
      </c>
      <c r="P171" s="1" t="str">
        <f ca="1">SUBSTITUTE(OFFSET(srt!$E$1,D173-2,0),",",".")</f>
        <v>00:26:36.060</v>
      </c>
      <c r="Q171" s="20">
        <f t="shared" ca="1" si="19"/>
        <v>1.7592592592593354E-5</v>
      </c>
      <c r="R171" s="20">
        <f t="shared" si="20"/>
        <v>1.7743055555555567E-5</v>
      </c>
      <c r="S171" s="20">
        <f t="shared" ca="1" si="21"/>
        <v>8.4259259259259617E-5</v>
      </c>
      <c r="T171" s="21">
        <f t="shared" ca="1" si="22"/>
        <v>5.7470000000000301</v>
      </c>
      <c r="U171" s="22" t="s">
        <v>892</v>
      </c>
    </row>
    <row r="172" spans="1:21" x14ac:dyDescent="0.3">
      <c r="A172" t="s">
        <v>689</v>
      </c>
      <c r="B172" s="1" t="str">
        <f t="shared" si="16"/>
        <v>00:15:06.400</v>
      </c>
      <c r="C172" t="str">
        <f t="shared" si="17"/>
        <v>因此，只需要将g(x)和K直接相乘，即可得到第一个矩阵的最后一行，即矩阵D的第一行。</v>
      </c>
      <c r="D172">
        <f t="shared" ca="1" si="23"/>
        <v>481</v>
      </c>
      <c r="E172">
        <f t="shared" ca="1" si="18"/>
        <v>2</v>
      </c>
      <c r="F172" t="str">
        <f ca="1">OFFSET(srt!$C$1,D173-1,0)</f>
        <v>因此只需要将GX和K直接相乘。</v>
      </c>
      <c r="G172">
        <f ca="1">PrefixLenNorm($C172,OFFSET(srt!$C$1,$D172+COLUMN()-7,0))</f>
        <v>0</v>
      </c>
      <c r="H172">
        <f ca="1">PrefixLenNorm($C172,OFFSET(srt!$C$1,$D172+COLUMN()-7,0))</f>
        <v>14</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1" t="str">
        <f ca="1">SUBSTITUTE(OFFSET(srt!$D$1,D173-1,0),",",".")</f>
        <v>00:26:37.580</v>
      </c>
      <c r="P172" s="1" t="str">
        <f ca="1">SUBSTITUTE(OFFSET(srt!$E$1,D174-2,0),",",".")</f>
        <v>00:26:45.020</v>
      </c>
      <c r="Q172" s="20">
        <f t="shared" ca="1" si="19"/>
        <v>1.7592592592589884E-5</v>
      </c>
      <c r="R172" s="20">
        <f t="shared" si="20"/>
        <v>6.9444444444444892E-5</v>
      </c>
      <c r="S172" s="20">
        <f t="shared" ca="1" si="21"/>
        <v>1.0370370370370308E-4</v>
      </c>
      <c r="T172" s="21">
        <f t="shared" ca="1" si="22"/>
        <v>2.9599999999999071</v>
      </c>
      <c r="U172" s="22" t="s">
        <v>893</v>
      </c>
    </row>
    <row r="173" spans="1:21" x14ac:dyDescent="0.3">
      <c r="A173" t="s">
        <v>690</v>
      </c>
      <c r="B173" s="1" t="str">
        <f t="shared" si="16"/>
        <v>00:15:12.400</v>
      </c>
      <c r="C173" t="str">
        <f t="shared" si="17"/>
        <v>然后，我们就可以使用十字偶校验约束的递推关系，求得之后的行。</v>
      </c>
      <c r="D173">
        <f t="shared" ca="1" si="23"/>
        <v>483</v>
      </c>
      <c r="E173">
        <f t="shared" ca="1" si="18"/>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1" t="str">
        <f ca="1">SUBSTITUTE(OFFSET(srt!$D$1,D174-1,0),",",".")</f>
        <v>00:26:46.540</v>
      </c>
      <c r="P173" s="1" t="str">
        <f ca="1">SUBSTITUTE(OFFSET(srt!$E$1,D175-2,0),",",".")</f>
        <v>00:26:51.340</v>
      </c>
      <c r="Q173" s="20">
        <f t="shared" ca="1" si="19"/>
        <v>1.7592592592593354E-5</v>
      </c>
      <c r="R173" s="20">
        <f t="shared" si="20"/>
        <v>8.9120370370371349E-5</v>
      </c>
      <c r="S173" s="20">
        <f t="shared" ca="1" si="21"/>
        <v>7.3148148148148573E-5</v>
      </c>
      <c r="T173" s="21">
        <f t="shared" ca="1" si="22"/>
        <v>-1.3800000000000479</v>
      </c>
      <c r="U173" s="22" t="s">
        <v>894</v>
      </c>
    </row>
    <row r="174" spans="1:21" x14ac:dyDescent="0.3">
      <c r="A174" t="s">
        <v>691</v>
      </c>
      <c r="B174" s="1" t="str">
        <f t="shared" si="16"/>
        <v>00:15:20.100</v>
      </c>
      <c r="C174" t="str">
        <f t="shared" si="17"/>
        <v>由于矩阵D是由矩阵H生成的，因此具有以下这些性质。这里，n=5，r=3，r'=2。</v>
      </c>
      <c r="D174">
        <f t="shared" ca="1" si="23"/>
        <v>486</v>
      </c>
      <c r="E174">
        <f t="shared" ca="1" si="1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1" t="str">
        <f ca="1">SUBSTITUTE(OFFSET(srt!$D$1,D175-1,0),",",".")</f>
        <v>00:26:52.860</v>
      </c>
      <c r="P174" s="1" t="str">
        <f ca="1">SUBSTITUTE(OFFSET(srt!$E$1,D176-2,0),",",".")</f>
        <v>00:27:01.580</v>
      </c>
      <c r="Q174" s="20">
        <f t="shared" ca="1" si="19"/>
        <v>2.4074074074075663E-5</v>
      </c>
      <c r="R174" s="20">
        <f t="shared" si="20"/>
        <v>3.3564814814814395E-5</v>
      </c>
      <c r="S174" s="20">
        <f t="shared" ca="1" si="21"/>
        <v>1.2500000000000011E-4</v>
      </c>
      <c r="T174" s="21">
        <f t="shared" ca="1" si="22"/>
        <v>7.9000000000000457</v>
      </c>
      <c r="U174" s="22" t="s">
        <v>895</v>
      </c>
    </row>
    <row r="175" spans="1:21" x14ac:dyDescent="0.3">
      <c r="A175" t="s">
        <v>692</v>
      </c>
      <c r="B175" s="1" t="str">
        <f t="shared" si="16"/>
        <v>00:15:23.000</v>
      </c>
      <c r="C175" t="str">
        <f t="shared" si="17"/>
        <v>1. 后r=3行，第n行最左边的n-r'-1=n-3个元素为0。</v>
      </c>
      <c r="D175">
        <f t="shared" ca="1" si="23"/>
        <v>487</v>
      </c>
      <c r="E175">
        <f t="shared" ca="1" si="18"/>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1" t="str">
        <f ca="1">SUBSTITUTE(OFFSET(srt!$D$1,D176-1,0),",",".")</f>
        <v>00:27:03.660</v>
      </c>
      <c r="P175" s="1" t="str">
        <f ca="1">SUBSTITUTE(OFFSET(srt!$E$1,D177-2,0),",",".")</f>
        <v>00:27:09.820</v>
      </c>
      <c r="Q175" s="20">
        <f t="shared" ca="1" si="19"/>
        <v>2.4074074074075663E-5</v>
      </c>
      <c r="R175" s="20">
        <f t="shared" si="20"/>
        <v>4.0509259259259231E-5</v>
      </c>
      <c r="S175" s="20">
        <f t="shared" ca="1" si="21"/>
        <v>9.5370370370370661E-5</v>
      </c>
      <c r="T175" s="21">
        <f t="shared" ca="1" si="22"/>
        <v>4.7400000000000277</v>
      </c>
      <c r="U175" s="22" t="s">
        <v>896</v>
      </c>
    </row>
    <row r="176" spans="1:21" x14ac:dyDescent="0.3">
      <c r="A176" t="s">
        <v>693</v>
      </c>
      <c r="B176" s="1" t="str">
        <f t="shared" si="16"/>
        <v>00:15:26.500</v>
      </c>
      <c r="C176" t="str">
        <f t="shared" si="17"/>
        <v>2. 后r=3行，第n行第n-r'=n-2个元素为1。</v>
      </c>
      <c r="D176">
        <f t="shared" ca="1" si="23"/>
        <v>492</v>
      </c>
      <c r="E176">
        <f t="shared" ca="1" si="18"/>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1" t="str">
        <f ca="1">SUBSTITUTE(OFFSET(srt!$D$1,D177-1,0),",",".")</f>
        <v>00:27:11.900</v>
      </c>
      <c r="P176" s="1" t="str">
        <f ca="1">SUBSTITUTE(OFFSET(srt!$E$1,D178-2,0),",",".")</f>
        <v>00:27:17.500</v>
      </c>
      <c r="Q176" s="20">
        <f t="shared" ca="1" si="19"/>
        <v>2.0370370370368512E-5</v>
      </c>
      <c r="R176" s="20">
        <f t="shared" si="20"/>
        <v>3.7037037037036813E-5</v>
      </c>
      <c r="S176" s="20">
        <f t="shared" ca="1" si="21"/>
        <v>8.518518518518467E-5</v>
      </c>
      <c r="T176" s="21">
        <f t="shared" ca="1" si="22"/>
        <v>4.1599999999999753</v>
      </c>
      <c r="U176" s="22" t="s">
        <v>897</v>
      </c>
    </row>
    <row r="177" spans="1:21" x14ac:dyDescent="0.3">
      <c r="A177" t="s">
        <v>694</v>
      </c>
      <c r="B177" s="1" t="str">
        <f t="shared" si="16"/>
        <v>00:15:29.700</v>
      </c>
      <c r="C177" t="str">
        <f t="shared" si="17"/>
        <v>3. 后r=3行，任意一行都不能由别的行叠加，即线性无关。</v>
      </c>
      <c r="D177">
        <f t="shared" ca="1" si="23"/>
        <v>494</v>
      </c>
      <c r="E177">
        <f t="shared" ca="1" si="18"/>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1" t="str">
        <f ca="1">SUBSTITUTE(OFFSET(srt!$D$1,D178-1,0),",",".")</f>
        <v>00:27:19.260</v>
      </c>
      <c r="P177" s="1" t="str">
        <f ca="1">SUBSTITUTE(OFFSET(srt!$E$1,D179-2,0),",",".")</f>
        <v>00:27:25.100</v>
      </c>
      <c r="Q177" s="20">
        <f t="shared" ca="1" si="19"/>
        <v>2.0370370370371982E-5</v>
      </c>
      <c r="R177" s="20">
        <f t="shared" si="20"/>
        <v>4.0509259259259231E-5</v>
      </c>
      <c r="S177" s="20">
        <f t="shared" ca="1" si="21"/>
        <v>8.7962962962963298E-5</v>
      </c>
      <c r="T177" s="21">
        <f t="shared" ca="1" si="22"/>
        <v>4.1000000000000316</v>
      </c>
      <c r="U177" s="22" t="s">
        <v>898</v>
      </c>
    </row>
    <row r="178" spans="1:21" x14ac:dyDescent="0.3">
      <c r="A178" t="s">
        <v>695</v>
      </c>
      <c r="B178" s="1" t="str">
        <f t="shared" si="16"/>
        <v>00:15:33.200</v>
      </c>
      <c r="C178" t="str">
        <f t="shared" si="17"/>
        <v>4. 前r'=2行，任意一行都可以由后r=3行叠加。</v>
      </c>
      <c r="D178">
        <f t="shared" ca="1" si="23"/>
        <v>496</v>
      </c>
      <c r="E178">
        <f t="shared" ca="1" si="18"/>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1" t="str">
        <f ca="1">SUBSTITUTE(OFFSET(srt!$D$1,D179-1,0),",",".")</f>
        <v>00:27:26.860</v>
      </c>
      <c r="P178" s="1" t="str">
        <f ca="1">SUBSTITUTE(OFFSET(srt!$E$1,D180-2,0),",",".")</f>
        <v>00:27:33.460</v>
      </c>
      <c r="Q178" s="20">
        <f t="shared" ca="1" si="19"/>
        <v>0</v>
      </c>
      <c r="R178" s="20">
        <f t="shared" si="20"/>
        <v>4.0509259259259231E-5</v>
      </c>
      <c r="S178" s="20">
        <f t="shared" ca="1" si="21"/>
        <v>7.6388888888889728E-5</v>
      </c>
      <c r="T178" s="21">
        <f t="shared" ca="1" si="22"/>
        <v>3.1000000000000751</v>
      </c>
      <c r="U178" s="22" t="s">
        <v>899</v>
      </c>
    </row>
    <row r="179" spans="1:21" x14ac:dyDescent="0.3">
      <c r="A179" t="s">
        <v>696</v>
      </c>
      <c r="B179" s="1" t="str">
        <f t="shared" si="16"/>
        <v>00:15:36.700</v>
      </c>
      <c r="C179" t="str">
        <f t="shared" si="17"/>
        <v>这些性质都不难证明，有兴趣的小伙伴可以自行证明。</v>
      </c>
      <c r="D179">
        <f t="shared" ca="1" si="23"/>
        <v>498</v>
      </c>
      <c r="E179">
        <f t="shared" ca="1" si="18"/>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1" t="str">
        <f ca="1">SUBSTITUTE(OFFSET(srt!$D$1,D180-1,0),",",".")</f>
        <v>00:27:33.460</v>
      </c>
      <c r="P179" s="1" t="str">
        <f ca="1">SUBSTITUTE(OFFSET(srt!$E$1,D181-2,0),",",".")</f>
        <v>00:27:37.540</v>
      </c>
      <c r="Q179" s="20">
        <f t="shared" ca="1" si="19"/>
        <v>1.8055555555552411E-5</v>
      </c>
      <c r="R179" s="20">
        <f t="shared" si="20"/>
        <v>3.7037037037036813E-5</v>
      </c>
      <c r="S179" s="20">
        <f t="shared" ca="1" si="21"/>
        <v>6.5277777777775214E-5</v>
      </c>
      <c r="T179" s="21">
        <f t="shared" ca="1" si="22"/>
        <v>2.4399999999997979</v>
      </c>
      <c r="U179" s="22" t="s">
        <v>900</v>
      </c>
    </row>
    <row r="180" spans="1:21" x14ac:dyDescent="0.3">
      <c r="A180" t="s">
        <v>697</v>
      </c>
      <c r="B180" s="1" t="str">
        <f t="shared" si="16"/>
        <v>00:15:39.900</v>
      </c>
      <c r="C180" t="str">
        <f t="shared" si="17"/>
        <v>现在，我们有z=g(H)x=Dx。我们可以利用D的性质进行求解。接下来，我们需要将z拆解成矩阵D的若干行的叠加，从而表示出x。</v>
      </c>
      <c r="D180">
        <f t="shared" ca="1" si="23"/>
        <v>500</v>
      </c>
      <c r="E180">
        <f t="shared" ca="1" si="18"/>
        <v>2</v>
      </c>
      <c r="F180" t="str">
        <f ca="1">OFFSET(srt!$C$1,D181-1,0)</f>
        <v>现在我们有Z等于GHX等于DX，</v>
      </c>
      <c r="G180">
        <f ca="1">PrefixLenNorm($C180,OFFSET(srt!$C$1,$D180+COLUMN()-7,0))</f>
        <v>0</v>
      </c>
      <c r="H180">
        <f ca="1">PrefixLenNorm($C180,OFFSET(srt!$C$1,$D180+COLUMN()-7,0))</f>
        <v>15</v>
      </c>
      <c r="I180">
        <f ca="1">PrefixLenNorm($C180,OFFSET(srt!$C$1,$D180+COLUMN()-7,0))</f>
        <v>0</v>
      </c>
      <c r="J180">
        <f ca="1">PrefixLenNorm($C180,OFFSET(srt!$C$1,$D180+COLUMN()-7,0))</f>
        <v>0</v>
      </c>
      <c r="K180">
        <f ca="1">PrefixLenNorm($C180,OFFSET(srt!$C$1,$D180+COLUMN()-7,0))</f>
        <v>0</v>
      </c>
      <c r="L180">
        <f ca="1">PrefixLenNorm($C180,OFFSET(srt!$C$1,$D180+COLUMN()-7,0))</f>
        <v>0</v>
      </c>
      <c r="M180">
        <f ca="1">PrefixLenNorm($C180,OFFSET(srt!$C$1,$D180+COLUMN()-7,0))</f>
        <v>0</v>
      </c>
      <c r="N180">
        <f ca="1">PrefixLenNorm($C180,OFFSET(srt!$C$1,$D180+COLUMN()-7,0))</f>
        <v>0</v>
      </c>
      <c r="O180" s="1" t="str">
        <f ca="1">SUBSTITUTE(OFFSET(srt!$D$1,D181-1,0),",",".")</f>
        <v>00:27:39.100</v>
      </c>
      <c r="P180" s="1" t="str">
        <f ca="1">SUBSTITUTE(OFFSET(srt!$E$1,D182-2,0),",",".")</f>
        <v>00:27:53.140</v>
      </c>
      <c r="Q180" s="20">
        <f t="shared" ca="1" si="19"/>
        <v>0</v>
      </c>
      <c r="R180" s="20">
        <f t="shared" si="20"/>
        <v>7.4849537037036465E-5</v>
      </c>
      <c r="S180" s="20">
        <f t="shared" ca="1" si="21"/>
        <v>1.6250000000000292E-4</v>
      </c>
      <c r="T180" s="21">
        <f t="shared" ca="1" si="22"/>
        <v>7.5730000000003015</v>
      </c>
      <c r="U180" s="22" t="s">
        <v>901</v>
      </c>
    </row>
    <row r="181" spans="1:21" x14ac:dyDescent="0.3">
      <c r="A181" t="s">
        <v>698</v>
      </c>
      <c r="B181" s="1" t="str">
        <f t="shared" si="16"/>
        <v>00:15:46.367</v>
      </c>
      <c r="C181" t="str">
        <f t="shared" si="17"/>
        <v>由于矩阵D后三行线性无关，因此我们只考虑把后三行叠加起来，不需考虑前二行。</v>
      </c>
      <c r="D181">
        <f t="shared" ca="1" si="23"/>
        <v>502</v>
      </c>
      <c r="E181">
        <f t="shared" ca="1" si="1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1" t="str">
        <f ca="1">SUBSTITUTE(OFFSET(srt!$D$1,D182-1,0),",",".")</f>
        <v>00:27:53.140</v>
      </c>
      <c r="P181" s="1" t="str">
        <f ca="1">SUBSTITUTE(OFFSET(srt!$E$1,D183-2,0),",",".")</f>
        <v>00:28:00.060</v>
      </c>
      <c r="Q181" s="20">
        <f t="shared" ca="1" si="19"/>
        <v>1.7592592592593354E-5</v>
      </c>
      <c r="R181" s="20">
        <f t="shared" si="20"/>
        <v>3.356481481481613E-5</v>
      </c>
      <c r="S181" s="20">
        <f t="shared" ca="1" si="21"/>
        <v>9.7685185185183293E-5</v>
      </c>
      <c r="T181" s="21">
        <f t="shared" ca="1" si="22"/>
        <v>5.5399999999997229</v>
      </c>
      <c r="U181" s="22" t="s">
        <v>902</v>
      </c>
    </row>
    <row r="182" spans="1:21" x14ac:dyDescent="0.3">
      <c r="A182" t="s">
        <v>699</v>
      </c>
      <c r="B182" s="1" t="str">
        <f t="shared" si="16"/>
        <v>00:15:49.267</v>
      </c>
      <c r="C182" t="str">
        <f t="shared" si="17"/>
        <v>这里，我们尝试将后三行的若干行叠加到现有的z上，使其被消去。</v>
      </c>
      <c r="D182">
        <f t="shared" ca="1" si="23"/>
        <v>506</v>
      </c>
      <c r="E182">
        <f t="shared" ca="1" si="1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1" t="str">
        <f ca="1">SUBSTITUTE(OFFSET(srt!$D$1,D183-1,0),",",".")</f>
        <v>00:28:01.580</v>
      </c>
      <c r="P182" s="1" t="str">
        <f ca="1">SUBSTITUTE(OFFSET(srt!$E$1,D184-2,0),",",".")</f>
        <v>00:28:06.900</v>
      </c>
      <c r="Q182" s="20">
        <f t="shared" ca="1" si="19"/>
        <v>1.805555555555588E-5</v>
      </c>
      <c r="R182" s="20">
        <f t="shared" si="20"/>
        <v>3.3564814814814395E-5</v>
      </c>
      <c r="S182" s="20">
        <f t="shared" ca="1" si="21"/>
        <v>7.9629629629630883E-5</v>
      </c>
      <c r="T182" s="21">
        <f t="shared" ca="1" si="22"/>
        <v>3.9800000000001443</v>
      </c>
      <c r="U182" s="22" t="s">
        <v>903</v>
      </c>
    </row>
    <row r="183" spans="1:21" x14ac:dyDescent="0.3">
      <c r="A183" t="s">
        <v>700</v>
      </c>
      <c r="B183" s="1" t="str">
        <f t="shared" si="16"/>
        <v>00:15:52.167</v>
      </c>
      <c r="C183" t="str">
        <f t="shared" si="17"/>
        <v>让我们观察z的第一个元素和D的后三行。在D的后三行中，第三行的第一个元素为1。</v>
      </c>
      <c r="D183">
        <f t="shared" ca="1" si="23"/>
        <v>509</v>
      </c>
      <c r="E183">
        <f t="shared" ca="1" si="1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1" t="str">
        <f ca="1">SUBSTITUTE(OFFSET(srt!$D$1,D184-1,0),",",".")</f>
        <v>00:28:08.460</v>
      </c>
      <c r="P183" s="1" t="str">
        <f ca="1">SUBSTITUTE(OFFSET(srt!$E$1,D185-2,0),",",".")</f>
        <v>00:28:15.380</v>
      </c>
      <c r="Q183" s="20">
        <f t="shared" ca="1" si="19"/>
        <v>0</v>
      </c>
      <c r="R183" s="20">
        <f t="shared" si="20"/>
        <v>3.7037037037036813E-5</v>
      </c>
      <c r="S183" s="20">
        <f t="shared" ca="1" si="21"/>
        <v>8.0092592592593409E-5</v>
      </c>
      <c r="T183" s="21">
        <f t="shared" ca="1" si="22"/>
        <v>3.7200000000000899</v>
      </c>
      <c r="U183" s="22" t="s">
        <v>904</v>
      </c>
    </row>
    <row r="184" spans="1:21" x14ac:dyDescent="0.3">
      <c r="A184" t="s">
        <v>701</v>
      </c>
      <c r="B184" s="1" t="str">
        <f t="shared" si="16"/>
        <v>00:15:55.367</v>
      </c>
      <c r="C184" t="str">
        <f t="shared" si="17"/>
        <v>z的第一个元素已经为0。如果我们叠加第三行，则z的第一个元素会变为1，因此不能叠加第三行。</v>
      </c>
      <c r="D184">
        <f t="shared" ca="1" si="23"/>
        <v>511</v>
      </c>
      <c r="E184">
        <f t="shared" ca="1" si="18"/>
        <v>3</v>
      </c>
      <c r="F184" t="str">
        <f ca="1">OFFSET(srt!$C$1,D185-1,0)</f>
        <v>Z的第一个元素已经为0，</v>
      </c>
      <c r="G184">
        <f ca="1">PrefixLenNorm($C184,OFFSET(srt!$C$1,$D184+COLUMN()-7,0))</f>
        <v>0</v>
      </c>
      <c r="H184">
        <f ca="1">PrefixLenNorm($C184,OFFSET(srt!$C$1,$D184+COLUMN()-7,0))</f>
        <v>0</v>
      </c>
      <c r="I184">
        <f ca="1">PrefixLenNorm($C184,OFFSET(srt!$C$1,$D184+COLUMN()-7,0))</f>
        <v>11</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1" t="str">
        <f ca="1">SUBSTITUTE(OFFSET(srt!$D$1,D185-1,0),",",".")</f>
        <v>00:28:15.380</v>
      </c>
      <c r="P184" s="1" t="str">
        <f ca="1">SUBSTITUTE(OFFSET(srt!$E$1,D186-2,0),",",".")</f>
        <v>00:28:25.580</v>
      </c>
      <c r="Q184" s="20">
        <f t="shared" ca="1" si="19"/>
        <v>1.6666666666664831E-5</v>
      </c>
      <c r="R184" s="20">
        <f t="shared" si="20"/>
        <v>3.7037037037036813E-5</v>
      </c>
      <c r="S184" s="20">
        <f t="shared" ca="1" si="21"/>
        <v>1.3472222222222011E-4</v>
      </c>
      <c r="T184" s="21">
        <f t="shared" ca="1" si="22"/>
        <v>8.4399999999998361</v>
      </c>
      <c r="U184" s="22" t="s">
        <v>905</v>
      </c>
    </row>
    <row r="185" spans="1:21" x14ac:dyDescent="0.3">
      <c r="A185" t="s">
        <v>702</v>
      </c>
      <c r="B185" s="1" t="str">
        <f t="shared" si="16"/>
        <v>00:15:58.567</v>
      </c>
      <c r="C185" t="str">
        <f t="shared" si="17"/>
        <v>我们再看z的第二个元素，该元素为1，因此，我们需要将第四行叠加到z上。</v>
      </c>
      <c r="D185">
        <f t="shared" ca="1" si="23"/>
        <v>514</v>
      </c>
      <c r="E185">
        <f t="shared" ca="1" si="1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1" t="str">
        <f ca="1">SUBSTITUTE(OFFSET(srt!$D$1,D186-1,0),",",".")</f>
        <v>00:28:27.020</v>
      </c>
      <c r="P185" s="1" t="str">
        <f ca="1">SUBSTITUTE(OFFSET(srt!$E$1,D187-2,0),",",".")</f>
        <v>00:28:34.660</v>
      </c>
      <c r="Q185" s="20">
        <f t="shared" ca="1" si="19"/>
        <v>0</v>
      </c>
      <c r="R185" s="20">
        <f t="shared" si="20"/>
        <v>3.7037037037038548E-5</v>
      </c>
      <c r="S185" s="20">
        <f t="shared" ca="1" si="21"/>
        <v>8.8425925925929294E-5</v>
      </c>
      <c r="T185" s="21">
        <f t="shared" ca="1" si="22"/>
        <v>4.4400000000001603</v>
      </c>
      <c r="U185" s="22" t="s">
        <v>906</v>
      </c>
    </row>
    <row r="186" spans="1:21" x14ac:dyDescent="0.3">
      <c r="A186" t="s">
        <v>703</v>
      </c>
      <c r="B186" s="1" t="str">
        <f t="shared" si="16"/>
        <v>00:16:01.767</v>
      </c>
      <c r="C186" t="str">
        <f t="shared" si="17"/>
        <v>现在，z的第二个元素被消去了，同时，x的第四个元素被标记为1。</v>
      </c>
      <c r="D186">
        <f t="shared" ca="1" si="23"/>
        <v>518</v>
      </c>
      <c r="E186">
        <f t="shared" ca="1" si="18"/>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1" t="str">
        <f ca="1">SUBSTITUTE(OFFSET(srt!$D$1,D187-1,0),",",".")</f>
        <v>00:28:34.660</v>
      </c>
      <c r="P186" s="1" t="str">
        <f ca="1">SUBSTITUTE(OFFSET(srt!$E$1,D188-2,0),",",".")</f>
        <v>00:28:40.620</v>
      </c>
      <c r="Q186" s="20">
        <f t="shared" ca="1" si="19"/>
        <v>1.6666666666668301E-5</v>
      </c>
      <c r="R186" s="20">
        <f t="shared" si="20"/>
        <v>4.9768518518518434E-5</v>
      </c>
      <c r="S186" s="20">
        <f t="shared" ca="1" si="21"/>
        <v>8.5648148148147196E-5</v>
      </c>
      <c r="T186" s="21">
        <f t="shared" ca="1" si="22"/>
        <v>3.099999999999925</v>
      </c>
      <c r="U186" s="22" t="s">
        <v>907</v>
      </c>
    </row>
    <row r="187" spans="1:21" x14ac:dyDescent="0.3">
      <c r="A187" t="s">
        <v>704</v>
      </c>
      <c r="B187" s="1" t="str">
        <f t="shared" si="16"/>
        <v>00:16:06.067</v>
      </c>
      <c r="C187" t="str">
        <f t="shared" si="17"/>
        <v>我们接着看z的第三个元素。由于z的第三个元素变为了1，我们需要叠加D的第五行。</v>
      </c>
      <c r="D187">
        <f t="shared" ca="1" si="23"/>
        <v>521</v>
      </c>
      <c r="E187">
        <f t="shared" ca="1" si="18"/>
        <v>3</v>
      </c>
      <c r="F187" t="str">
        <f ca="1">OFFSET(srt!$C$1,D188-1,0)</f>
        <v>我们接着看Z的第三个元素，</v>
      </c>
      <c r="G187">
        <f ca="1">PrefixLenNorm($C187,OFFSET(srt!$C$1,$D187+COLUMN()-7,0))</f>
        <v>0</v>
      </c>
      <c r="H187">
        <f ca="1">PrefixLenNorm($C187,OFFSET(srt!$C$1,$D187+COLUMN()-7,0))</f>
        <v>0</v>
      </c>
      <c r="I187">
        <f ca="1">PrefixLenNorm($C187,OFFSET(srt!$C$1,$D187+COLUMN()-7,0))</f>
        <v>12</v>
      </c>
      <c r="J187">
        <f ca="1">PrefixLenNorm($C187,OFFSET(srt!$C$1,$D187+COLUMN()-7,0))</f>
        <v>0</v>
      </c>
      <c r="K187">
        <f ca="1">PrefixLenNorm($C187,OFFSET(srt!$C$1,$D187+COLUMN()-7,0))</f>
        <v>2</v>
      </c>
      <c r="L187">
        <f ca="1">PrefixLenNorm($C187,OFFSET(srt!$C$1,$D187+COLUMN()-7,0))</f>
        <v>0</v>
      </c>
      <c r="M187">
        <f ca="1">PrefixLenNorm($C187,OFFSET(srt!$C$1,$D187+COLUMN()-7,0))</f>
        <v>0</v>
      </c>
      <c r="N187">
        <f ca="1">PrefixLenNorm($C187,OFFSET(srt!$C$1,$D187+COLUMN()-7,0))</f>
        <v>0</v>
      </c>
      <c r="O187" s="1" t="str">
        <f ca="1">SUBSTITUTE(OFFSET(srt!$D$1,D188-1,0),",",".")</f>
        <v>00:28:42.060</v>
      </c>
      <c r="P187" s="1" t="str">
        <f ca="1">SUBSTITUTE(OFFSET(srt!$E$1,D189-2,0),",",".")</f>
        <v>00:28:49.020</v>
      </c>
      <c r="Q187" s="20">
        <f t="shared" ca="1" si="19"/>
        <v>1.7592592592589884E-5</v>
      </c>
      <c r="R187" s="20">
        <f t="shared" si="20"/>
        <v>3.7037037037036813E-5</v>
      </c>
      <c r="S187" s="20">
        <f t="shared" ca="1" si="21"/>
        <v>9.814814814814582E-5</v>
      </c>
      <c r="T187" s="21">
        <f t="shared" ca="1" si="22"/>
        <v>5.2799999999998182</v>
      </c>
      <c r="U187" s="22" t="s">
        <v>908</v>
      </c>
    </row>
    <row r="188" spans="1:21" x14ac:dyDescent="0.3">
      <c r="A188" t="s">
        <v>705</v>
      </c>
      <c r="B188" s="1" t="str">
        <f t="shared" si="16"/>
        <v>00:16:09.267</v>
      </c>
      <c r="C188" t="str">
        <f t="shared" si="17"/>
        <v>这次，z被彻底消去了，变为了零，并且，x的第五个元素被标记为1。</v>
      </c>
      <c r="D188">
        <f t="shared" ca="1" si="23"/>
        <v>524</v>
      </c>
      <c r="E188">
        <f t="shared" ca="1" si="1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1" t="str">
        <f ca="1">SUBSTITUTE(OFFSET(srt!$D$1,D189-1,0),",",".")</f>
        <v>00:28:50.540</v>
      </c>
      <c r="P188" s="1" t="str">
        <f ca="1">SUBSTITUTE(OFFSET(srt!$E$1,D190-2,0),",",".")</f>
        <v>00:28:58.260</v>
      </c>
      <c r="Q188" s="20">
        <f t="shared" ca="1" si="19"/>
        <v>0</v>
      </c>
      <c r="R188" s="20">
        <f t="shared" si="20"/>
        <v>4.9768518518518434E-5</v>
      </c>
      <c r="S188" s="20">
        <f t="shared" ca="1" si="21"/>
        <v>8.9351851851854347E-5</v>
      </c>
      <c r="T188" s="21">
        <f t="shared" ca="1" si="22"/>
        <v>3.4200000000002229</v>
      </c>
      <c r="U188" s="22" t="s">
        <v>909</v>
      </c>
    </row>
    <row r="189" spans="1:21" x14ac:dyDescent="0.3">
      <c r="A189" t="s">
        <v>706</v>
      </c>
      <c r="B189" s="1" t="str">
        <f t="shared" si="16"/>
        <v>00:16:13.567</v>
      </c>
      <c r="C189" t="str">
        <f t="shared" si="17"/>
        <v>由此，我们通过依次叠加D的后三行，将z的元素依次消去。同时，将叠加的行标记为1，也就求得了最终的x。</v>
      </c>
      <c r="D189">
        <f t="shared" ca="1" si="23"/>
        <v>527</v>
      </c>
      <c r="E189">
        <f t="shared" ca="1" si="1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0</v>
      </c>
      <c r="O189" s="1" t="str">
        <f ca="1">SUBSTITUTE(OFFSET(srt!$D$1,D190-1,0),",",".")</f>
        <v>00:28:58.260</v>
      </c>
      <c r="P189" s="1" t="str">
        <f ca="1">SUBSTITUTE(OFFSET(srt!$E$1,D191-2,0),",",".")</f>
        <v>00:29:07.780</v>
      </c>
      <c r="Q189" s="20">
        <f t="shared" ca="1" si="19"/>
        <v>1.8055555555552411E-5</v>
      </c>
      <c r="R189" s="20">
        <f t="shared" si="20"/>
        <v>4.0509259259259231E-5</v>
      </c>
      <c r="S189" s="20">
        <f t="shared" ca="1" si="21"/>
        <v>1.282407407407378E-4</v>
      </c>
      <c r="T189" s="21">
        <f t="shared" ca="1" si="22"/>
        <v>7.5799999999997478</v>
      </c>
      <c r="U189" s="22" t="s">
        <v>910</v>
      </c>
    </row>
    <row r="190" spans="1:21" x14ac:dyDescent="0.3">
      <c r="A190" t="s">
        <v>707</v>
      </c>
      <c r="B190" s="1" t="str">
        <f t="shared" si="16"/>
        <v>00:16:17.067</v>
      </c>
      <c r="C190" t="str">
        <f t="shared" si="17"/>
        <v>不难发现这里求得的x是一个特解。</v>
      </c>
      <c r="D190">
        <f t="shared" ca="1" si="23"/>
        <v>530</v>
      </c>
      <c r="E190">
        <f t="shared" ca="1" si="18"/>
        <v>4</v>
      </c>
      <c r="F190" t="str">
        <f ca="1">OFFSET(srt!$C$1,D191-1,0)</f>
        <v>不难发现，</v>
      </c>
      <c r="G190">
        <f ca="1">PrefixLenNorm($C190,OFFSET(srt!$C$1,$D190+COLUMN()-7,0))</f>
        <v>0</v>
      </c>
      <c r="H190">
        <f ca="1">PrefixLenNorm($C190,OFFSET(srt!$C$1,$D190+COLUMN()-7,0))</f>
        <v>0</v>
      </c>
      <c r="I190">
        <f ca="1">PrefixLenNorm($C190,OFFSET(srt!$C$1,$D190+COLUMN()-7,0))</f>
        <v>0</v>
      </c>
      <c r="J190">
        <f ca="1">PrefixLenNorm($C190,OFFSET(srt!$C$1,$D190+COLUMN()-7,0))</f>
        <v>4</v>
      </c>
      <c r="K190">
        <f ca="1">PrefixLenNorm($C190,OFFSET(srt!$C$1,$D190+COLUMN()-7,0))</f>
        <v>0</v>
      </c>
      <c r="L190">
        <f ca="1">PrefixLenNorm($C190,OFFSET(srt!$C$1,$D190+COLUMN()-7,0))</f>
        <v>0</v>
      </c>
      <c r="M190">
        <f ca="1">PrefixLenNorm($C190,OFFSET(srt!$C$1,$D190+COLUMN()-7,0))</f>
        <v>0</v>
      </c>
      <c r="N190">
        <f ca="1">PrefixLenNorm($C190,OFFSET(srt!$C$1,$D190+COLUMN()-7,0))</f>
        <v>0</v>
      </c>
      <c r="O190" s="1" t="str">
        <f ca="1">SUBSTITUTE(OFFSET(srt!$D$1,D191-1,0),",",".")</f>
        <v>00:29:09.340</v>
      </c>
      <c r="P190" s="1" t="str">
        <f ca="1">SUBSTITUTE(OFFSET(srt!$E$1,D192-2,0),",",".")</f>
        <v>00:29:12.260</v>
      </c>
      <c r="Q190" s="20">
        <f t="shared" ca="1" si="19"/>
        <v>1.7129629629627358E-5</v>
      </c>
      <c r="R190" s="20">
        <f t="shared" si="20"/>
        <v>3.0092592592591977E-5</v>
      </c>
      <c r="S190" s="20">
        <f t="shared" ca="1" si="21"/>
        <v>5.0925925925926485E-5</v>
      </c>
      <c r="T190" s="21">
        <f t="shared" ca="1" si="22"/>
        <v>1.8000000000001015</v>
      </c>
      <c r="U190" s="22" t="s">
        <v>911</v>
      </c>
    </row>
    <row r="191" spans="1:21" x14ac:dyDescent="0.3">
      <c r="A191" t="s">
        <v>708</v>
      </c>
      <c r="B191" s="1" t="str">
        <f t="shared" si="16"/>
        <v>00:16:19.667</v>
      </c>
      <c r="C191" t="str">
        <f t="shared" si="17"/>
        <v>由于前r'行可以表示为后r行的线性叠加，因此我们可以在操作y之前，先将其和前r'的任意行叠加，然后再求解。</v>
      </c>
      <c r="D191">
        <f t="shared" ca="1" si="23"/>
        <v>534</v>
      </c>
      <c r="E191">
        <f t="shared" ca="1" si="18"/>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1" t="str">
        <f ca="1">SUBSTITUTE(OFFSET(srt!$D$1,D192-1,0),",",".")</f>
        <v>00:29:13.740</v>
      </c>
      <c r="P191" s="1" t="str">
        <f ca="1">SUBSTITUTE(OFFSET(srt!$E$1,D193-2,0),",",".")</f>
        <v>00:29:23.700</v>
      </c>
      <c r="Q191" s="20">
        <f t="shared" ca="1" si="19"/>
        <v>1.805555555555588E-5</v>
      </c>
      <c r="R191" s="20">
        <f t="shared" si="20"/>
        <v>3.3564814814814395E-5</v>
      </c>
      <c r="S191" s="20">
        <f t="shared" ca="1" si="21"/>
        <v>1.33333333333336E-4</v>
      </c>
      <c r="T191" s="21">
        <f t="shared" ca="1" si="22"/>
        <v>8.6200000000002657</v>
      </c>
      <c r="U191" s="22" t="s">
        <v>912</v>
      </c>
    </row>
    <row r="192" spans="1:21" x14ac:dyDescent="0.3">
      <c r="A192" t="s">
        <v>709</v>
      </c>
      <c r="B192" s="1" t="str">
        <f t="shared" si="16"/>
        <v>00:16:22.567</v>
      </c>
      <c r="C192" t="str">
        <f t="shared" si="17"/>
        <v>由于前r'行共有2ʳ'种，因此求得的解也有2ʳ'种。</v>
      </c>
      <c r="D192">
        <f t="shared" ca="1" si="23"/>
        <v>536</v>
      </c>
      <c r="E192">
        <f t="shared" ca="1" si="1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1" t="str">
        <f ca="1">SUBSTITUTE(OFFSET(srt!$D$1,D193-1,0),",",".")</f>
        <v>00:29:25.260</v>
      </c>
      <c r="P192" s="1" t="str">
        <f ca="1">SUBSTITUTE(OFFSET(srt!$E$1,D194-2,0),",",".")</f>
        <v>00:29:31.260</v>
      </c>
      <c r="Q192" s="20">
        <f t="shared" ca="1" si="19"/>
        <v>1.7592592592593354E-5</v>
      </c>
      <c r="R192" s="20">
        <f t="shared" si="20"/>
        <v>3.7037037037038548E-5</v>
      </c>
      <c r="S192" s="20">
        <f t="shared" ca="1" si="21"/>
        <v>8.7037037037034776E-5</v>
      </c>
      <c r="T192" s="21">
        <f t="shared" ca="1" si="22"/>
        <v>4.3199999999996743</v>
      </c>
      <c r="U192" s="22" t="s">
        <v>913</v>
      </c>
    </row>
    <row r="193" spans="1:21" x14ac:dyDescent="0.3">
      <c r="A193" t="s">
        <v>710</v>
      </c>
      <c r="B193" s="1" t="str">
        <f t="shared" si="16"/>
        <v>00:16:25.767</v>
      </c>
      <c r="C193" t="str">
        <f t="shared" si="17"/>
        <v>另一方面，由于矩阵D满足十字偶校验约束，表现出高度的对称性。其中，行和列的坐标可以互换。</v>
      </c>
      <c r="D193">
        <f t="shared" ca="1" si="23"/>
        <v>539</v>
      </c>
      <c r="E193">
        <f t="shared" ca="1" si="18"/>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1" t="str">
        <f ca="1">SUBSTITUTE(OFFSET(srt!$D$1,D194-1,0),",",".")</f>
        <v>00:29:32.780</v>
      </c>
      <c r="P193" s="1" t="str">
        <f ca="1">SUBSTITUTE(OFFSET(srt!$E$1,D195-2,0),",",".")</f>
        <v>00:29:42.460</v>
      </c>
      <c r="Q193" s="20">
        <f t="shared" ca="1" si="19"/>
        <v>0</v>
      </c>
      <c r="R193" s="20">
        <f t="shared" si="20"/>
        <v>4.3981481481479914E-5</v>
      </c>
      <c r="S193" s="20">
        <f t="shared" ca="1" si="21"/>
        <v>1.1203703703703896E-4</v>
      </c>
      <c r="T193" s="21">
        <f t="shared" ca="1" si="22"/>
        <v>5.8800000000003019</v>
      </c>
      <c r="U193" s="22" t="s">
        <v>914</v>
      </c>
    </row>
    <row r="194" spans="1:21" x14ac:dyDescent="0.3">
      <c r="A194" t="s">
        <v>711</v>
      </c>
      <c r="B194" s="1" t="str">
        <f t="shared" ref="B194:B204" si="24">LEFT(A194,12)</f>
        <v>00:16:29.567</v>
      </c>
      <c r="C194" t="str">
        <f t="shared" ref="C194:C204" si="25">RIGHT(A194,LEN(A194)-13)</f>
        <v>因此，我们可以同样只叠加前r行，从右往左进行消去。由于效果是相同的，这里不再赘述。</v>
      </c>
      <c r="D194">
        <f t="shared" ca="1" si="23"/>
        <v>541</v>
      </c>
      <c r="E194">
        <f t="shared" ref="E194:E204" ca="1" si="26">MATCH(MAX(G194:N194),G194:N194,0)</f>
        <v>3</v>
      </c>
      <c r="F194" t="str">
        <f ca="1">OFFSET(srt!$C$1,D195-1,0)</f>
        <v>因此我们可以同样只叠加前二行，</v>
      </c>
      <c r="G194">
        <f ca="1">PrefixLenNorm($C194,OFFSET(srt!$C$1,$D194+COLUMN()-7,0))</f>
        <v>0</v>
      </c>
      <c r="H194">
        <f ca="1">PrefixLenNorm($C194,OFFSET(srt!$C$1,$D194+COLUMN()-7,0))</f>
        <v>0</v>
      </c>
      <c r="I194">
        <f ca="1">PrefixLenNorm($C194,OFFSET(srt!$C$1,$D194+COLUMN()-7,0))</f>
        <v>12</v>
      </c>
      <c r="J194">
        <f ca="1">PrefixLenNorm($C194,OFFSET(srt!$C$1,$D194+COLUMN()-7,0))</f>
        <v>0</v>
      </c>
      <c r="K194">
        <f ca="1">PrefixLenNorm($C194,OFFSET(srt!$C$1,$D194+COLUMN()-7,0))</f>
        <v>0</v>
      </c>
      <c r="L194">
        <f ca="1">PrefixLenNorm($C194,OFFSET(srt!$C$1,$D194+COLUMN()-7,0))</f>
        <v>0</v>
      </c>
      <c r="M194">
        <f ca="1">PrefixLenNorm($C194,OFFSET(srt!$C$1,$D194+COLUMN()-7,0))</f>
        <v>0</v>
      </c>
      <c r="N194">
        <f ca="1">PrefixLenNorm($C194,OFFSET(srt!$C$1,$D194+COLUMN()-7,0))</f>
        <v>0</v>
      </c>
      <c r="O194" s="1" t="str">
        <f ca="1">SUBSTITUTE(OFFSET(srt!$D$1,D195-1,0),",",".")</f>
        <v>00:29:42.460</v>
      </c>
      <c r="P194" s="1" t="str">
        <f ca="1">SUBSTITUTE(OFFSET(srt!$E$1,D196-2,0),",",".")</f>
        <v>00:29:50.460</v>
      </c>
      <c r="Q194" s="20">
        <f t="shared" ref="Q194:Q203" ca="1" si="27">O195-P194</f>
        <v>1.6666666666668301E-5</v>
      </c>
      <c r="R194" s="20">
        <f t="shared" ref="R194:R203" si="28">B195-B194</f>
        <v>1.1534722222222328E-4</v>
      </c>
      <c r="S194" s="20">
        <f t="shared" ref="S194:S203" ca="1" si="29">O195-O194</f>
        <v>1.0925925925926033E-4</v>
      </c>
      <c r="T194" s="21">
        <f t="shared" ref="T194:T203" ca="1" si="30">(S194-R194)*86400</f>
        <v>-0.52599999999999869</v>
      </c>
      <c r="U194" s="22" t="s">
        <v>915</v>
      </c>
    </row>
    <row r="195" spans="1:21" x14ac:dyDescent="0.3">
      <c r="A195" t="s">
        <v>712</v>
      </c>
      <c r="B195" s="1" t="str">
        <f t="shared" si="24"/>
        <v>00:16:39.533</v>
      </c>
      <c r="C195" t="str">
        <f t="shared" si="25"/>
        <v>细心的小伙伴会发现，这两个式子具有相同的形式。</v>
      </c>
      <c r="D195">
        <f t="shared" ref="D195:D205" ca="1" si="31">D194+IFERROR(E194,1)</f>
        <v>544</v>
      </c>
      <c r="E195">
        <f t="shared" ca="1" si="26"/>
        <v>4</v>
      </c>
      <c r="F195" t="str">
        <f ca="1">OFFSET(srt!$C$1,D196-1,0)</f>
        <v>细心的小伙伴会发现，</v>
      </c>
      <c r="G195">
        <f ca="1">PrefixLenNorm($C195,OFFSET(srt!$C$1,$D195+COLUMN()-7,0))</f>
        <v>0</v>
      </c>
      <c r="H195">
        <f ca="1">PrefixLenNorm($C195,OFFSET(srt!$C$1,$D195+COLUMN()-7,0))</f>
        <v>0</v>
      </c>
      <c r="I195">
        <f ca="1">PrefixLenNorm($C195,OFFSET(srt!$C$1,$D195+COLUMN()-7,0))</f>
        <v>0</v>
      </c>
      <c r="J195">
        <f ca="1">PrefixLenNorm($C195,OFFSET(srt!$C$1,$D195+COLUMN()-7,0))</f>
        <v>9</v>
      </c>
      <c r="K195">
        <f ca="1">PrefixLenNorm($C195,OFFSET(srt!$C$1,$D195+COLUMN()-7,0))</f>
        <v>0</v>
      </c>
      <c r="L195">
        <f ca="1">PrefixLenNorm($C195,OFFSET(srt!$C$1,$D195+COLUMN()-7,0))</f>
        <v>0</v>
      </c>
      <c r="M195">
        <f ca="1">PrefixLenNorm($C195,OFFSET(srt!$C$1,$D195+COLUMN()-7,0))</f>
        <v>0</v>
      </c>
      <c r="N195">
        <f ca="1">PrefixLenNorm($C195,OFFSET(srt!$C$1,$D195+COLUMN()-7,0))</f>
        <v>0</v>
      </c>
      <c r="O195" s="1" t="str">
        <f ca="1">SUBSTITUTE(OFFSET(srt!$D$1,D196-1,0),",",".")</f>
        <v>00:29:51.900</v>
      </c>
      <c r="P195" s="1" t="str">
        <f ca="1">SUBSTITUTE(OFFSET(srt!$E$1,D197-2,0),",",".")</f>
        <v>00:29:55.860</v>
      </c>
      <c r="Q195" s="20">
        <f t="shared" ca="1" si="27"/>
        <v>1.7129629629630827E-5</v>
      </c>
      <c r="R195" s="20">
        <f t="shared" si="28"/>
        <v>3.3564814814814395E-5</v>
      </c>
      <c r="S195" s="20">
        <f t="shared" ca="1" si="29"/>
        <v>6.2962962962959113E-5</v>
      </c>
      <c r="T195" s="21">
        <f t="shared" ca="1" si="30"/>
        <v>2.5399999999997034</v>
      </c>
      <c r="U195" s="22" t="s">
        <v>916</v>
      </c>
    </row>
    <row r="196" spans="1:21" x14ac:dyDescent="0.3">
      <c r="A196" t="s">
        <v>713</v>
      </c>
      <c r="B196" s="1" t="str">
        <f t="shared" si="24"/>
        <v>00:16:42.433</v>
      </c>
      <c r="C196" t="str">
        <f t="shared" si="25"/>
        <v>既然我们可以在第一个式子用反向叠加法求x，为什么不能用相同的方法在第二个式子求x呢？</v>
      </c>
      <c r="D196">
        <f t="shared" ca="1" si="31"/>
        <v>548</v>
      </c>
      <c r="E196">
        <f t="shared" ca="1" si="26"/>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1" t="str">
        <f ca="1">SUBSTITUTE(OFFSET(srt!$D$1,D197-1,0),",",".")</f>
        <v>00:29:57.340</v>
      </c>
      <c r="P196" s="1" t="str">
        <f ca="1">SUBSTITUTE(OFFSET(srt!$E$1,D198-2,0),",",".")</f>
        <v>00:30:05.100</v>
      </c>
      <c r="Q196" s="20">
        <f t="shared" ca="1" si="27"/>
        <v>1.6666666666664831E-5</v>
      </c>
      <c r="R196" s="20">
        <f t="shared" si="28"/>
        <v>1.3966435185185262E-4</v>
      </c>
      <c r="S196" s="20">
        <f t="shared" ca="1" si="29"/>
        <v>1.064814814814817E-4</v>
      </c>
      <c r="T196" s="21">
        <f t="shared" ca="1" si="30"/>
        <v>-2.8670000000000471</v>
      </c>
      <c r="U196" s="22" t="s">
        <v>917</v>
      </c>
    </row>
    <row r="197" spans="1:21" x14ac:dyDescent="0.3">
      <c r="A197" t="s">
        <v>714</v>
      </c>
      <c r="B197" s="1" t="str">
        <f t="shared" si="24"/>
        <v>00:16:54.500</v>
      </c>
      <c r="C197" t="str">
        <f t="shared" si="25"/>
        <v>这是因为矩阵D是由g(H)生成的，具有带状上三角的可回代结构，满足前面说到的四个性质。</v>
      </c>
      <c r="D197">
        <f t="shared" ca="1" si="31"/>
        <v>550</v>
      </c>
      <c r="E197">
        <f t="shared" ca="1" si="26"/>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1" t="str">
        <f ca="1">SUBSTITUTE(OFFSET(srt!$D$1,D198-1,0),",",".")</f>
        <v>00:30:06.540</v>
      </c>
      <c r="P197" s="1" t="str">
        <f ca="1">SUBSTITUTE(OFFSET(srt!$E$1,D199-2,0),",",".")</f>
        <v>00:30:16.020</v>
      </c>
      <c r="Q197" s="20">
        <f t="shared" ca="1" si="27"/>
        <v>0</v>
      </c>
      <c r="R197" s="20">
        <f t="shared" si="28"/>
        <v>3.3564814814814395E-5</v>
      </c>
      <c r="S197" s="20">
        <f t="shared" ca="1" si="29"/>
        <v>1.0972222222222286E-4</v>
      </c>
      <c r="T197" s="21">
        <f t="shared" ca="1" si="30"/>
        <v>6.5800000000000916</v>
      </c>
      <c r="U197" s="22" t="s">
        <v>918</v>
      </c>
    </row>
    <row r="198" spans="1:21" x14ac:dyDescent="0.3">
      <c r="A198" t="s">
        <v>715</v>
      </c>
      <c r="B198" s="1" t="str">
        <f t="shared" si="24"/>
        <v>00:16:57.400</v>
      </c>
      <c r="C198" t="str">
        <f t="shared" si="25"/>
        <v>而B=p'(H)D破坏了这一结构，不满足这些性质。这里，D=g(H)不满秩，因此p'(H)不唯一。</v>
      </c>
      <c r="D198">
        <f t="shared" ca="1" si="31"/>
        <v>552</v>
      </c>
      <c r="E198">
        <f t="shared" ca="1" si="26"/>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1" t="str">
        <f ca="1">SUBSTITUTE(OFFSET(srt!$D$1,D199-1,0),",",".")</f>
        <v>00:30:16.020</v>
      </c>
      <c r="P198" s="1" t="str">
        <f ca="1">SUBSTITUTE(OFFSET(srt!$E$1,D200-2,0),",",".")</f>
        <v>00:30:25.900</v>
      </c>
      <c r="Q198" s="20">
        <f t="shared" ca="1" si="27"/>
        <v>1.6666666666664831E-5</v>
      </c>
      <c r="R198" s="20">
        <f t="shared" si="28"/>
        <v>4.2824074074073598E-5</v>
      </c>
      <c r="S198" s="20">
        <f t="shared" ca="1" si="29"/>
        <v>1.3101851851851989E-4</v>
      </c>
      <c r="T198" s="21">
        <f t="shared" ca="1" si="30"/>
        <v>7.62000000000016</v>
      </c>
      <c r="U198" s="22" t="s">
        <v>919</v>
      </c>
    </row>
    <row r="199" spans="1:21" x14ac:dyDescent="0.3">
      <c r="A199" t="s">
        <v>716</v>
      </c>
      <c r="B199" s="1" t="str">
        <f t="shared" si="24"/>
        <v>00:17:01.100</v>
      </c>
      <c r="C199" t="str">
        <f t="shared" si="25"/>
        <v>不过，当g=1时，这种解法是可行的，尽管这个方法首先需要求出完整的矩阵B。</v>
      </c>
      <c r="D199">
        <f t="shared" ca="1" si="31"/>
        <v>555</v>
      </c>
      <c r="E199">
        <f t="shared" ca="1" si="26"/>
        <v>4</v>
      </c>
      <c r="F199" t="str">
        <f ca="1">OFFSET(srt!$C$1,D200-1,0)</f>
        <v>不过当G等于一时，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1" t="str">
        <f ca="1">SUBSTITUTE(OFFSET(srt!$D$1,D200-1,0),",",".")</f>
        <v>00:30:27.340</v>
      </c>
      <c r="P199" s="1" t="str">
        <f ca="1">SUBSTITUTE(OFFSET(srt!$E$1,D201-2,0),",",".")</f>
        <v>00:30:34.380</v>
      </c>
      <c r="Q199" s="20">
        <f t="shared" ca="1" si="27"/>
        <v>1.7592592592593354E-5</v>
      </c>
      <c r="R199" s="20">
        <f t="shared" si="28"/>
        <v>3.3564814814814395E-5</v>
      </c>
      <c r="S199" s="20">
        <f t="shared" ca="1" si="29"/>
        <v>9.9074074074074342E-5</v>
      </c>
      <c r="T199" s="21">
        <f t="shared" ca="1" si="30"/>
        <v>5.6600000000000597</v>
      </c>
      <c r="U199" s="22" t="s">
        <v>920</v>
      </c>
    </row>
    <row r="200" spans="1:21" x14ac:dyDescent="0.3">
      <c r="A200" t="s">
        <v>717</v>
      </c>
      <c r="B200" s="1" t="str">
        <f t="shared" si="24"/>
        <v>00:17:04.000</v>
      </c>
      <c r="C200" t="str">
        <f t="shared" si="25"/>
        <v>同时，因为矩阵B不是三角结构，还需标记每行首个为1的元素的位置来选择。因此，直接计算q(H)y会更加方便。</v>
      </c>
      <c r="D200">
        <f t="shared" ca="1" si="31"/>
        <v>559</v>
      </c>
      <c r="E200">
        <f t="shared" ca="1" si="26"/>
        <v>3</v>
      </c>
      <c r="F200" t="str">
        <f ca="1">OFFSET(srt!$C$1,D201-1,0)</f>
        <v>同时因为矩阵B不是三角结构，</v>
      </c>
      <c r="G200">
        <f ca="1">PrefixLenNorm($C200,OFFSET(srt!$C$1,$D200+COLUMN()-7,0))</f>
        <v>0</v>
      </c>
      <c r="H200">
        <f ca="1">PrefixLenNorm($C200,OFFSET(srt!$C$1,$D200+COLUMN()-7,0))</f>
        <v>0</v>
      </c>
      <c r="I200">
        <f ca="1">PrefixLenNorm($C200,OFFSET(srt!$C$1,$D200+COLUMN()-7,0))</f>
        <v>13</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1" t="str">
        <f ca="1">SUBSTITUTE(OFFSET(srt!$D$1,D201-1,0),",",".")</f>
        <v>00:30:35.900</v>
      </c>
      <c r="P200" s="1" t="str">
        <f ca="1">SUBSTITUTE(OFFSET(srt!$E$1,D202-2,0),",",".")</f>
        <v>00:30:45.860</v>
      </c>
      <c r="Q200" s="20">
        <f t="shared" ca="1" si="27"/>
        <v>1.7129629629627358E-5</v>
      </c>
      <c r="R200" s="20">
        <f t="shared" si="28"/>
        <v>4.0509259259259231E-5</v>
      </c>
      <c r="S200" s="20">
        <f t="shared" ca="1" si="29"/>
        <v>1.32407407407404E-4</v>
      </c>
      <c r="T200" s="21">
        <f t="shared" ca="1" si="30"/>
        <v>7.9399999999997082</v>
      </c>
      <c r="U200" s="22" t="s">
        <v>921</v>
      </c>
    </row>
    <row r="201" spans="1:21" x14ac:dyDescent="0.3">
      <c r="A201" t="s">
        <v>718</v>
      </c>
      <c r="B201" s="1" t="str">
        <f t="shared" si="24"/>
        <v>00:17:07.500</v>
      </c>
      <c r="C201" t="str">
        <f t="shared" si="25"/>
        <v>最终，我们通过欧几里得法和反向叠加法，完成了Bx=y的求解，实现了点灯游戏O(n²)的时间复杂度的算法。</v>
      </c>
      <c r="D201">
        <f t="shared" ca="1" si="31"/>
        <v>562</v>
      </c>
      <c r="E201">
        <f t="shared" ca="1" si="26"/>
        <v>3</v>
      </c>
      <c r="F201" t="str">
        <f ca="1">OFFSET(srt!$C$1,D202-1,0)</f>
        <v>最终我们通过欧几里得法和反向叠加法完成了BX等于Y的求解，</v>
      </c>
      <c r="G201">
        <f ca="1">PrefixLenNorm($C201,OFFSET(srt!$C$1,$D201+COLUMN()-7,0))</f>
        <v>0</v>
      </c>
      <c r="H201">
        <f ca="1">PrefixLenNorm($C201,OFFSET(srt!$C$1,$D201+COLUMN()-7,0))</f>
        <v>0</v>
      </c>
      <c r="I201">
        <f ca="1">PrefixLenNorm($C201,OFFSET(srt!$C$1,$D201+COLUMN()-7,0))</f>
        <v>28</v>
      </c>
      <c r="J201">
        <f ca="1">PrefixLenNorm($C201,OFFSET(srt!$C$1,$D201+COLUMN()-7,0))</f>
        <v>0</v>
      </c>
      <c r="K201">
        <f ca="1">PrefixLenNorm($C201,OFFSET(srt!$C$1,$D201+COLUMN()-7,0))</f>
        <v>0</v>
      </c>
      <c r="L201">
        <f ca="1">PrefixLenNorm($C201,OFFSET(srt!$C$1,$D201+COLUMN()-7,0))</f>
        <v>0</v>
      </c>
      <c r="M201">
        <f ca="1">PrefixLenNorm($C201,OFFSET(srt!$C$1,$D201+COLUMN()-7,0))</f>
        <v>0</v>
      </c>
      <c r="N201">
        <f ca="1">PrefixLenNorm($C201,OFFSET(srt!$C$1,$D201+COLUMN()-7,0))</f>
        <v>0</v>
      </c>
      <c r="O201" s="1" t="str">
        <f ca="1">SUBSTITUTE(OFFSET(srt!$D$1,D202-1,0),",",".")</f>
        <v>00:30:47.340</v>
      </c>
      <c r="P201" s="1" t="str">
        <f ca="1">SUBSTITUTE(OFFSET(srt!$E$1,D203-2,0),",",".")</f>
        <v>00:30:57.500</v>
      </c>
      <c r="Q201" s="20">
        <f t="shared" ca="1" si="27"/>
        <v>1.7592592592589884E-5</v>
      </c>
      <c r="R201" s="20">
        <f t="shared" si="28"/>
        <v>3.5917824074073977E-4</v>
      </c>
      <c r="S201" s="20">
        <f t="shared" ca="1" si="29"/>
        <v>1.351851851851861E-4</v>
      </c>
      <c r="T201" s="21">
        <f t="shared" ca="1" si="30"/>
        <v>-19.352999999999838</v>
      </c>
      <c r="U201" s="22" t="s">
        <v>922</v>
      </c>
    </row>
    <row r="202" spans="1:21" x14ac:dyDescent="0.3">
      <c r="A202" t="s">
        <v>719</v>
      </c>
      <c r="B202" s="1" t="str">
        <f t="shared" si="24"/>
        <v>00:17:38.533</v>
      </c>
      <c r="C202" t="str">
        <f t="shared" si="25"/>
        <v>向量和矩阵的乘法，欧几里得算法，逆向消元法，理论上通过卷积、FFT或牛顿迭代法，是有可能优化到O(n·log(n))的。</v>
      </c>
      <c r="D202">
        <f t="shared" ca="1" si="31"/>
        <v>565</v>
      </c>
      <c r="E202">
        <f t="shared" ca="1" si="26"/>
        <v>3</v>
      </c>
      <c r="F202" t="str">
        <f ca="1">OFFSET(srt!$C$1,D203-1,0)</f>
        <v>向量和矩阵的乘法，</v>
      </c>
      <c r="G202">
        <f ca="1">PrefixLenNorm($C202,OFFSET(srt!$C$1,$D202+COLUMN()-7,0))</f>
        <v>0</v>
      </c>
      <c r="H202">
        <f ca="1">PrefixLenNorm($C202,OFFSET(srt!$C$1,$D202+COLUMN()-7,0))</f>
        <v>0</v>
      </c>
      <c r="I202">
        <f ca="1">PrefixLenNorm($C202,OFFSET(srt!$C$1,$D202+COLUMN()-7,0))</f>
        <v>8</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1" t="str">
        <f ca="1">SUBSTITUTE(OFFSET(srt!$D$1,D203-1,0),",",".")</f>
        <v>00:30:59.020</v>
      </c>
      <c r="P202" s="1" t="str">
        <f ca="1">SUBSTITUTE(OFFSET(srt!$E$1,D204-2,0),",",".")</f>
        <v>00:31:11.180</v>
      </c>
      <c r="Q202" s="20">
        <f t="shared" ca="1" si="27"/>
        <v>0</v>
      </c>
      <c r="R202" s="20">
        <f t="shared" si="28"/>
        <v>3.0092592592595446E-5</v>
      </c>
      <c r="S202" s="20">
        <f t="shared" ca="1" si="29"/>
        <v>1.4074074074074336E-4</v>
      </c>
      <c r="T202" s="21">
        <f t="shared" ca="1" si="30"/>
        <v>9.5599999999999792</v>
      </c>
      <c r="U202" s="22" t="s">
        <v>923</v>
      </c>
    </row>
    <row r="203" spans="1:21" x14ac:dyDescent="0.3">
      <c r="A203" t="s">
        <v>720</v>
      </c>
      <c r="B203" s="1" t="str">
        <f t="shared" si="24"/>
        <v>00:17:41.133</v>
      </c>
      <c r="C203" t="str">
        <f t="shared" si="25"/>
        <v>考虑到UP主《信号与系统》、《数字信号处理》、《数值分析》等课程较差，暂时就不研究了。有兴趣的小伙伴可自行研究并留言。</v>
      </c>
      <c r="D203">
        <f t="shared" ca="1" si="31"/>
        <v>568</v>
      </c>
      <c r="E203">
        <f t="shared" ca="1" si="26"/>
        <v>5</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11</v>
      </c>
      <c r="L203">
        <f ca="1">PrefixLenNorm($C203,OFFSET(srt!$C$1,$D203+COLUMN()-7,0))</f>
        <v>0</v>
      </c>
      <c r="M203">
        <f ca="1">PrefixLenNorm($C203,OFFSET(srt!$C$1,$D203+COLUMN()-7,0))</f>
        <v>0</v>
      </c>
      <c r="N203">
        <f ca="1">PrefixLenNorm($C203,OFFSET(srt!$C$1,$D203+COLUMN()-7,0))</f>
        <v>0</v>
      </c>
      <c r="O203" s="1" t="str">
        <f ca="1">SUBSTITUTE(OFFSET(srt!$D$1,D204-1,0),",",".")</f>
        <v>00:31:11.180</v>
      </c>
      <c r="P203" s="1" t="str">
        <f ca="1">SUBSTITUTE(OFFSET(srt!$E$1,D205-2,0),",",".")</f>
        <v>00:31:23.020</v>
      </c>
      <c r="Q203" s="20">
        <f t="shared" ca="1" si="27"/>
        <v>0</v>
      </c>
      <c r="R203" s="20">
        <f t="shared" si="28"/>
        <v>3.0092592592590242E-5</v>
      </c>
      <c r="S203" s="20">
        <f t="shared" ca="1" si="29"/>
        <v>1.3703703703703621E-4</v>
      </c>
      <c r="T203" s="21">
        <f t="shared" ca="1" si="30"/>
        <v>9.2400000000001317</v>
      </c>
      <c r="U203" s="22" t="s">
        <v>924</v>
      </c>
    </row>
    <row r="204" spans="1:21" x14ac:dyDescent="0.3">
      <c r="A204" t="s">
        <v>721</v>
      </c>
      <c r="B204" s="1" t="str">
        <f t="shared" si="24"/>
        <v>00:17:43.733</v>
      </c>
      <c r="C204" t="str">
        <f t="shared" si="25"/>
        <v>如果对视频中的内容有疑问，觉得视频内容表述不清，或者发现视频中的任何错误，也请大家多多留言和指证。谢谢大家的观看！</v>
      </c>
      <c r="D204">
        <f t="shared" ca="1" si="31"/>
        <v>573</v>
      </c>
      <c r="E204">
        <f t="shared" ca="1" si="26"/>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1" t="str">
        <f ca="1">SUBSTITUTE(OFFSET(srt!$D$1,D205-1,0),",",".")</f>
        <v>00:31:23.020</v>
      </c>
      <c r="U204" s="22" t="s">
        <v>925</v>
      </c>
    </row>
    <row r="205" spans="1:21" x14ac:dyDescent="0.3">
      <c r="D205">
        <f t="shared" ca="1" si="31"/>
        <v>578</v>
      </c>
    </row>
  </sheetData>
  <phoneticPr fontId="1" type="noConversion"/>
  <conditionalFormatting sqref="Q1:Q1048576">
    <cfRule type="dataBar" priority="1">
      <dataBar>
        <cfvo type="min"/>
        <cfvo type="max"/>
        <color rgb="FF638EC6"/>
      </dataBar>
      <extLst>
        <ext xmlns:x14="http://schemas.microsoft.com/office/spreadsheetml/2009/9/main" uri="{B025F937-C7B1-47D3-B67F-A62EFF666E3E}">
          <x14:id>{D258D138-738E-4ED7-B42C-C1AC0E12A9F3}</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Q1:Q1048576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B1</vt:lpstr>
      <vt:lpstr>B2</vt:lpstr>
      <vt:lpstr>B3</vt:lpstr>
      <vt:lpstr>adjust</vt:lpstr>
      <vt:lpstr>srt_raw</vt:lpstr>
      <vt:lpstr>srt</vt:lpstr>
      <vt:lpstr>sub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2026-01-17T08:52:00Z</dcterms:modified>
</cp:coreProperties>
</file>