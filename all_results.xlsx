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9CD199F-B606-4B90-879D-52919ED688E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0" i="2" l="1"/>
  <c r="Z30" i="2"/>
  <c r="Y30" i="2"/>
  <c r="X30" i="2"/>
  <c r="W30" i="2"/>
  <c r="V30" i="2"/>
  <c r="U30" i="2"/>
  <c r="T30" i="2"/>
  <c r="M30" i="2"/>
  <c r="L30" i="2" s="1"/>
  <c r="D30" i="2"/>
  <c r="C30" i="2" s="1"/>
  <c r="B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30" i="2" l="1"/>
  <c r="C13" i="2"/>
  <c r="B28" i="2"/>
  <c r="V29" i="2"/>
  <c r="L29" i="2"/>
  <c r="B29" i="2"/>
  <c r="C29" i="2"/>
  <c r="U29" i="2" s="1"/>
  <c r="K29" i="2"/>
  <c r="L28" i="2"/>
  <c r="C28" i="2"/>
  <c r="V28" i="2"/>
  <c r="K28" i="2"/>
  <c r="T28" i="2" s="1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T7" i="2" l="1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<sst xmlns="http://schemas.openxmlformats.org/spreadsheetml/2006/main" count="114" uniqueCount="39">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</sst>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0"/>
  <sheetViews>
    <sheetView tabSelected="1" workbookViewId="0">
      <selection activeCell="E30" sqref="E3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11.06071271447426</v>
      </c>
      <c r="C28" s="2">
        <f t="shared" ref="C28" si="97">D27/D28</f>
        <v>1.0580730312362514</v>
      </c>
      <c r="D28" s="6">
        <f t="shared" ref="D28" si="98">SUM(F28:H28)</f>
        <v>45.460000000000008</v>
      </c>
      <c r="E28" s="9">
        <v>245.41</v>
      </c>
      <c r="F28" s="9">
        <v>24.98</v>
      </c>
      <c r="G28" s="13">
        <v>19.03</v>
      </c>
      <c r="H28" s="9">
        <v>1.45</v>
      </c>
      <c r="I28" s="14">
        <v>14.98</v>
      </c>
      <c r="J28" s="17" t="s">
        <v>36</v>
      </c>
      <c r="K28" s="2">
        <f t="shared" ref="K28" si="99">M$2/M28</f>
        <v>19.31018518518518</v>
      </c>
      <c r="L28" s="2">
        <f t="shared" ref="L28" si="100">M27/M28</f>
        <v>1.0740740740740742</v>
      </c>
      <c r="M28" s="6">
        <f t="shared" ref="M28" si="101">SUM(O28:Q28)</f>
        <v>2.16</v>
      </c>
      <c r="N28" s="9">
        <v>11.83</v>
      </c>
      <c r="O28" s="9">
        <v>0.94</v>
      </c>
      <c r="P28" s="13">
        <v>0.95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0.57299999999999995</v>
      </c>
      <c r="U28" s="2">
        <f t="shared" ref="U28" si="103">ROUND(C28/L28,3)</f>
        <v>0.98499999999999999</v>
      </c>
      <c r="V28" s="6">
        <f t="shared" ref="V28" si="104">ROUND(D28/M28,3)</f>
        <v>21.045999999999999</v>
      </c>
      <c r="W28" s="9">
        <f t="shared" ref="W28" si="105">ROUND(E28/N28,3)</f>
        <v>20.745000000000001</v>
      </c>
      <c r="X28" s="9">
        <f t="shared" ref="X28" si="106">ROUND(F28/O28,3)</f>
        <v>26.574000000000002</v>
      </c>
      <c r="Y28" s="13">
        <f t="shared" ref="Y28" si="107">ROUND(G28/P28,3)</f>
        <v>20.032</v>
      </c>
      <c r="Z28" s="9">
        <f t="shared" ref="Z28" si="108">ROUND(H28/Q28,3)</f>
        <v>5.37</v>
      </c>
      <c r="AA28" s="14">
        <f t="shared" ref="AA28" si="109">ROUND(I28/R28,3)</f>
        <v>19.710999999999999</v>
      </c>
    </row>
    <row r="29" spans="1:27" ht="14.25" customHeight="1" x14ac:dyDescent="0.2">
      <c r="A29" s="17" t="s">
        <v>37</v>
      </c>
      <c r="B29" s="2">
        <f t="shared" ref="B29" si="110">D$2/D29</f>
        <v>13.029800466442083</v>
      </c>
      <c r="C29" s="2">
        <f t="shared" ref="C29" si="111">D28/D29</f>
        <v>1.1780253951800987</v>
      </c>
      <c r="D29" s="6">
        <f t="shared" ref="D29" si="112">SUM(F29:H29)</f>
        <v>38.589999999999996</v>
      </c>
      <c r="E29" s="9">
        <v>244.04</v>
      </c>
      <c r="F29" s="9">
        <v>24.98</v>
      </c>
      <c r="G29" s="13">
        <v>12.2</v>
      </c>
      <c r="H29" s="9">
        <v>1.41</v>
      </c>
      <c r="I29" s="19">
        <v>15.03</v>
      </c>
      <c r="J29" s="17" t="s">
        <v>37</v>
      </c>
      <c r="K29" s="2">
        <f t="shared" ref="K29:K30" si="113">M$2/M29</f>
        <v>22.668478260869559</v>
      </c>
      <c r="L29" s="2">
        <f t="shared" ref="L29:L30" si="114">M28/M29</f>
        <v>1.173913043478261</v>
      </c>
      <c r="M29" s="6">
        <f t="shared" ref="M29:M30" si="115">SUM(O29:Q29)</f>
        <v>1.84</v>
      </c>
      <c r="N29" s="9">
        <v>11.37</v>
      </c>
      <c r="O29" s="9">
        <v>0.93</v>
      </c>
      <c r="P29" s="13">
        <v>0.64</v>
      </c>
      <c r="Q29" s="9">
        <v>0.27</v>
      </c>
      <c r="R29" s="19">
        <v>0.77</v>
      </c>
      <c r="S29" s="17" t="s">
        <v>37</v>
      </c>
      <c r="T29" s="2">
        <f t="shared" ref="T29" si="116">ROUND(B29/K29,3)</f>
        <v>0.57499999999999996</v>
      </c>
      <c r="U29" s="2">
        <f t="shared" ref="U29" si="117">ROUND(C29/L29,3)</f>
        <v>1.004</v>
      </c>
      <c r="V29" s="6">
        <f t="shared" ref="V29" si="118">ROUND(D29/M29,3)</f>
        <v>20.972999999999999</v>
      </c>
      <c r="W29" s="9">
        <f t="shared" ref="W29" si="119">ROUND(E29/N29,3)</f>
        <v>21.463999999999999</v>
      </c>
      <c r="X29" s="9">
        <f t="shared" ref="X29" si="120">ROUND(F29/O29,3)</f>
        <v>26.86</v>
      </c>
      <c r="Y29" s="13">
        <f t="shared" ref="Y29" si="121">ROUND(G29/P29,3)</f>
        <v>19.062999999999999</v>
      </c>
      <c r="Z29" s="9">
        <f t="shared" ref="Z29" si="122">ROUND(H29/Q29,3)</f>
        <v>5.2220000000000004</v>
      </c>
      <c r="AA29" s="19">
        <f t="shared" ref="AA29" si="123">ROUND(I29/R29,3)</f>
        <v>19.518999999999998</v>
      </c>
    </row>
    <row r="30" spans="1:27" ht="14.25" customHeight="1" x14ac:dyDescent="0.2">
      <c r="A30" s="17" t="s">
        <v>38</v>
      </c>
      <c r="B30" s="5">
        <f t="shared" ref="B30" si="124">D$2/D30</f>
        <v>12.827040816326528</v>
      </c>
      <c r="C30" s="5">
        <f t="shared" ref="C30" si="125">D29/D30</f>
        <v>0.98443877551020387</v>
      </c>
      <c r="D30" s="4">
        <f t="shared" ref="D30" si="126">SUM(F30:H30)</f>
        <v>39.200000000000003</v>
      </c>
      <c r="E30" s="13">
        <v>206.15</v>
      </c>
      <c r="F30" s="9">
        <v>24.88</v>
      </c>
      <c r="G30" s="9">
        <v>12.68</v>
      </c>
      <c r="H30" s="9">
        <v>1.64</v>
      </c>
      <c r="I30" s="10">
        <v>15.83</v>
      </c>
      <c r="J30" s="17" t="s">
        <v>38</v>
      </c>
      <c r="K30" s="5">
        <f t="shared" si="113"/>
        <v>22.668478260869559</v>
      </c>
      <c r="L30" s="5">
        <f t="shared" si="114"/>
        <v>1</v>
      </c>
      <c r="M30" s="4">
        <f t="shared" si="115"/>
        <v>1.84</v>
      </c>
      <c r="N30" s="13">
        <v>9.3800000000000008</v>
      </c>
      <c r="O30" s="9">
        <v>0.94</v>
      </c>
      <c r="P30" s="9">
        <v>0.64</v>
      </c>
      <c r="Q30" s="9">
        <v>0.26</v>
      </c>
      <c r="R30" s="10">
        <v>0.76</v>
      </c>
      <c r="S30" s="17" t="s">
        <v>38</v>
      </c>
      <c r="T30" s="5">
        <f t="shared" ref="T30" si="127">ROUND(B30/K30,3)</f>
        <v>0.56599999999999995</v>
      </c>
      <c r="U30" s="5">
        <f t="shared" ref="U30" si="128">ROUND(C30/L30,3)</f>
        <v>0.98399999999999999</v>
      </c>
      <c r="V30" s="4">
        <f t="shared" ref="V30" si="129">ROUND(D30/M30,3)</f>
        <v>21.303999999999998</v>
      </c>
      <c r="W30" s="13">
        <f t="shared" ref="W30" si="130">ROUND(E30/N30,3)</f>
        <v>21.978000000000002</v>
      </c>
      <c r="X30" s="9">
        <f t="shared" ref="X30" si="131">ROUND(F30/O30,3)</f>
        <v>26.468</v>
      </c>
      <c r="Y30" s="9">
        <f t="shared" ref="Y30" si="132">ROUND(G30/P30,3)</f>
        <v>19.812999999999999</v>
      </c>
      <c r="Z30" s="9">
        <f t="shared" ref="Z30" si="133">ROUND(H30/Q30,3)</f>
        <v>6.3079999999999998</v>
      </c>
      <c r="AA30" s="10">
        <f t="shared" ref="AA30" si="134">ROUND(I30/R30,3)</f>
        <v>20.829000000000001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2026-09-01T14:34:59Z</dcterms:modified>
</cp:coreProperties>
</file>