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Program Files\First Publisher\bin\i386-win32\pas\数学问题\diandeng\"/>
    </mc:Choice>
  </mc:AlternateContent>
  <xr:revisionPtr revIDLastSave="0" documentId="13_ncr:1_{D09E4A42-FC77-405E-8B13-3D9131EBBDE2}" xr6:coauthVersionLast="47" xr6:coauthVersionMax="47" xr10:uidLastSave="{00000000-0000-0000-0000-000000000000}"/>
  <bookViews>
    <workbookView xWindow="-120" yWindow="-120" windowWidth="24420" windowHeight="11040" xr2:uid="{7D9E62D1-CE3F-4CF7-9B1B-78C5766E129E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50" i="2" l="1"/>
  <c r="Z50" i="2"/>
  <c r="Y50" i="2"/>
  <c r="X50" i="2"/>
  <c r="W50" i="2"/>
  <c r="V50" i="2"/>
  <c r="U50" i="2"/>
  <c r="T50" i="2"/>
  <c r="D50" i="2"/>
  <c r="C50" i="2" s="1"/>
  <c r="M50" i="2"/>
  <c r="L50" i="2" s="1"/>
  <c r="AA49" i="2"/>
  <c r="Z49" i="2"/>
  <c r="Y49" i="2"/>
  <c r="X49" i="2"/>
  <c r="W49" i="2"/>
  <c r="M49" i="2"/>
  <c r="D49" i="2"/>
  <c r="AA48" i="2"/>
  <c r="Z48" i="2"/>
  <c r="Y48" i="2"/>
  <c r="X48" i="2"/>
  <c r="W48" i="2"/>
  <c r="M48" i="2"/>
  <c r="D48" i="2"/>
  <c r="AA47" i="2"/>
  <c r="Z47" i="2"/>
  <c r="Y47" i="2"/>
  <c r="X47" i="2"/>
  <c r="W47" i="2"/>
  <c r="M47" i="2"/>
  <c r="D47" i="2"/>
  <c r="AA46" i="2"/>
  <c r="Z46" i="2"/>
  <c r="Y46" i="2"/>
  <c r="X46" i="2"/>
  <c r="W46" i="2"/>
  <c r="M46" i="2"/>
  <c r="D46" i="2"/>
  <c r="AA45" i="2"/>
  <c r="Z45" i="2"/>
  <c r="Y45" i="2"/>
  <c r="X45" i="2"/>
  <c r="W45" i="2"/>
  <c r="M45" i="2"/>
  <c r="D45" i="2"/>
  <c r="AA44" i="2"/>
  <c r="Z44" i="2"/>
  <c r="Y44" i="2"/>
  <c r="X44" i="2"/>
  <c r="W44" i="2"/>
  <c r="D44" i="2"/>
  <c r="AA43" i="2"/>
  <c r="Z43" i="2"/>
  <c r="Y43" i="2"/>
  <c r="X43" i="2"/>
  <c r="W43" i="2"/>
  <c r="M43" i="2"/>
  <c r="D43" i="2"/>
  <c r="AA42" i="2"/>
  <c r="Z42" i="2"/>
  <c r="Y42" i="2"/>
  <c r="X42" i="2"/>
  <c r="W42" i="2"/>
  <c r="M42" i="2"/>
  <c r="D42" i="2"/>
  <c r="AA41" i="2"/>
  <c r="Z41" i="2"/>
  <c r="Y41" i="2"/>
  <c r="X41" i="2"/>
  <c r="W41" i="2"/>
  <c r="D41" i="2"/>
  <c r="M41" i="2"/>
  <c r="AA40" i="2"/>
  <c r="Z40" i="2"/>
  <c r="Y40" i="2"/>
  <c r="X40" i="2"/>
  <c r="W40" i="2"/>
  <c r="M40" i="2"/>
  <c r="D40" i="2"/>
  <c r="AA39" i="2"/>
  <c r="Z39" i="2"/>
  <c r="Y39" i="2"/>
  <c r="X39" i="2"/>
  <c r="W39" i="2"/>
  <c r="M39" i="2"/>
  <c r="D39" i="2"/>
  <c r="AA38" i="2"/>
  <c r="Z38" i="2"/>
  <c r="Y38" i="2"/>
  <c r="X38" i="2"/>
  <c r="W38" i="2"/>
  <c r="AA37" i="2"/>
  <c r="Z37" i="2"/>
  <c r="Y37" i="2"/>
  <c r="X37" i="2"/>
  <c r="W37" i="2"/>
  <c r="M38" i="2"/>
  <c r="M37" i="2"/>
  <c r="M36" i="2"/>
  <c r="K36" i="2" s="1"/>
  <c r="M35" i="2"/>
  <c r="D38" i="2"/>
  <c r="D37" i="2"/>
  <c r="AA36" i="2"/>
  <c r="Z36" i="2"/>
  <c r="Y36" i="2"/>
  <c r="X36" i="2"/>
  <c r="W36" i="2"/>
  <c r="D36" i="2"/>
  <c r="AA35" i="2"/>
  <c r="Z35" i="2"/>
  <c r="Y35" i="2"/>
  <c r="X35" i="2"/>
  <c r="W35" i="2"/>
  <c r="D35" i="2"/>
  <c r="AA34" i="2"/>
  <c r="Z34" i="2"/>
  <c r="Y34" i="2"/>
  <c r="X34" i="2"/>
  <c r="W34" i="2"/>
  <c r="M34" i="2"/>
  <c r="D34" i="2"/>
  <c r="AA33" i="2"/>
  <c r="Z33" i="2"/>
  <c r="Y33" i="2"/>
  <c r="X33" i="2"/>
  <c r="W33" i="2"/>
  <c r="AA32" i="2"/>
  <c r="Z32" i="2"/>
  <c r="Y32" i="2"/>
  <c r="X32" i="2"/>
  <c r="W32" i="2"/>
  <c r="M33" i="2"/>
  <c r="D33" i="2"/>
  <c r="M32" i="2"/>
  <c r="D32" i="2"/>
  <c r="AA31" i="2"/>
  <c r="Z31" i="2"/>
  <c r="Y31" i="2"/>
  <c r="X31" i="2"/>
  <c r="W31" i="2"/>
  <c r="M31" i="2"/>
  <c r="D31" i="2"/>
  <c r="AA30" i="2"/>
  <c r="Z30" i="2"/>
  <c r="Y30" i="2"/>
  <c r="X30" i="2"/>
  <c r="W30" i="2"/>
  <c r="M30" i="2"/>
  <c r="D30" i="2"/>
  <c r="AA29" i="2"/>
  <c r="Z29" i="2"/>
  <c r="Y29" i="2"/>
  <c r="X29" i="2"/>
  <c r="W29" i="2"/>
  <c r="M29" i="2"/>
  <c r="D29" i="2"/>
  <c r="AA28" i="2"/>
  <c r="Z28" i="2"/>
  <c r="Y28" i="2"/>
  <c r="X28" i="2"/>
  <c r="W28" i="2"/>
  <c r="D28" i="2"/>
  <c r="M28" i="2"/>
  <c r="AA27" i="2"/>
  <c r="Z27" i="2"/>
  <c r="Y27" i="2"/>
  <c r="X27" i="2"/>
  <c r="W27" i="2"/>
  <c r="M27" i="2"/>
  <c r="D27" i="2"/>
  <c r="AA26" i="2"/>
  <c r="Z26" i="2"/>
  <c r="Y26" i="2"/>
  <c r="X26" i="2"/>
  <c r="W26" i="2"/>
  <c r="M26" i="2"/>
  <c r="D26" i="2"/>
  <c r="AA25" i="2"/>
  <c r="Z25" i="2"/>
  <c r="Y25" i="2"/>
  <c r="X25" i="2"/>
  <c r="W25" i="2"/>
  <c r="M25" i="2"/>
  <c r="D25" i="2"/>
  <c r="AA24" i="2"/>
  <c r="Z24" i="2"/>
  <c r="Y24" i="2"/>
  <c r="X24" i="2"/>
  <c r="W24" i="2"/>
  <c r="M24" i="2"/>
  <c r="D24" i="2"/>
  <c r="AA23" i="2"/>
  <c r="Z23" i="2"/>
  <c r="Y23" i="2"/>
  <c r="X23" i="2"/>
  <c r="W23" i="2"/>
  <c r="M23" i="2"/>
  <c r="D23" i="2"/>
  <c r="AA22" i="2"/>
  <c r="Z22" i="2"/>
  <c r="Y22" i="2"/>
  <c r="X22" i="2"/>
  <c r="W22" i="2"/>
  <c r="M22" i="2"/>
  <c r="D22" i="2"/>
  <c r="T2" i="2"/>
  <c r="U2" i="2"/>
  <c r="W2" i="2"/>
  <c r="X2" i="2"/>
  <c r="Y2" i="2"/>
  <c r="Z2" i="2"/>
  <c r="AA2" i="2"/>
  <c r="K3" i="2"/>
  <c r="L3" i="2"/>
  <c r="W3" i="2"/>
  <c r="X3" i="2"/>
  <c r="Y3" i="2"/>
  <c r="Z3" i="2"/>
  <c r="AA3" i="2"/>
  <c r="M4" i="2"/>
  <c r="W4" i="2"/>
  <c r="X4" i="2"/>
  <c r="Y4" i="2"/>
  <c r="Z4" i="2"/>
  <c r="AA4" i="2"/>
  <c r="M5" i="2"/>
  <c r="K5" i="2" s="1"/>
  <c r="W5" i="2"/>
  <c r="X5" i="2"/>
  <c r="Y5" i="2"/>
  <c r="Z5" i="2"/>
  <c r="AA5" i="2"/>
  <c r="M6" i="2"/>
  <c r="K6" i="2" s="1"/>
  <c r="W6" i="2"/>
  <c r="X6" i="2"/>
  <c r="Y6" i="2"/>
  <c r="Z6" i="2"/>
  <c r="AA6" i="2"/>
  <c r="M7" i="2"/>
  <c r="W7" i="2"/>
  <c r="X7" i="2"/>
  <c r="Y7" i="2"/>
  <c r="Z7" i="2"/>
  <c r="AA7" i="2"/>
  <c r="M8" i="2"/>
  <c r="K8" i="2" s="1"/>
  <c r="W8" i="2"/>
  <c r="X8" i="2"/>
  <c r="Y8" i="2"/>
  <c r="Z8" i="2"/>
  <c r="AA8" i="2"/>
  <c r="M9" i="2"/>
  <c r="W9" i="2"/>
  <c r="X9" i="2"/>
  <c r="Y9" i="2"/>
  <c r="Z9" i="2"/>
  <c r="AA9" i="2"/>
  <c r="M10" i="2"/>
  <c r="K10" i="2" s="1"/>
  <c r="M11" i="2"/>
  <c r="K11" i="2" s="1"/>
  <c r="M12" i="2"/>
  <c r="K12" i="2" s="1"/>
  <c r="M13" i="2"/>
  <c r="K13" i="2" s="1"/>
  <c r="M14" i="2"/>
  <c r="M15" i="2"/>
  <c r="K15" i="2" s="1"/>
  <c r="M16" i="2"/>
  <c r="M17" i="2"/>
  <c r="M18" i="2"/>
  <c r="K18" i="2" s="1"/>
  <c r="M19" i="2"/>
  <c r="K19" i="2" s="1"/>
  <c r="M20" i="2"/>
  <c r="K20" i="2" s="1"/>
  <c r="M21" i="2"/>
  <c r="K21" i="2" s="1"/>
  <c r="D21" i="2"/>
  <c r="AA21" i="2"/>
  <c r="Z21" i="2"/>
  <c r="Y21" i="2"/>
  <c r="X21" i="2"/>
  <c r="W21" i="2"/>
  <c r="AA20" i="2"/>
  <c r="Z20" i="2"/>
  <c r="Y20" i="2"/>
  <c r="X20" i="2"/>
  <c r="W20" i="2"/>
  <c r="D20" i="2"/>
  <c r="AA19" i="2"/>
  <c r="Z19" i="2"/>
  <c r="Y19" i="2"/>
  <c r="X19" i="2"/>
  <c r="W19" i="2"/>
  <c r="D19" i="2"/>
  <c r="D2" i="2"/>
  <c r="D3" i="2"/>
  <c r="V3" i="2" s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W18" i="2"/>
  <c r="X18" i="2"/>
  <c r="Y18" i="2"/>
  <c r="Z18" i="2"/>
  <c r="AA18" i="2"/>
  <c r="AA17" i="2"/>
  <c r="Z17" i="2"/>
  <c r="Y17" i="2"/>
  <c r="X17" i="2"/>
  <c r="W17" i="2"/>
  <c r="W16" i="2"/>
  <c r="X16" i="2"/>
  <c r="Y16" i="2"/>
  <c r="Z16" i="2"/>
  <c r="AA16" i="2"/>
  <c r="W15" i="2"/>
  <c r="X15" i="2"/>
  <c r="Y15" i="2"/>
  <c r="Z15" i="2"/>
  <c r="AA15" i="2"/>
  <c r="W10" i="2"/>
  <c r="W11" i="2"/>
  <c r="W12" i="2"/>
  <c r="W13" i="2"/>
  <c r="W14" i="2"/>
  <c r="X13" i="2"/>
  <c r="Y13" i="2"/>
  <c r="Z13" i="2"/>
  <c r="AA13" i="2"/>
  <c r="X14" i="2"/>
  <c r="Y14" i="2"/>
  <c r="Z14" i="2"/>
  <c r="AA14" i="2"/>
  <c r="Z12" i="2"/>
  <c r="Y12" i="2"/>
  <c r="X12" i="2"/>
  <c r="AA12" i="2"/>
  <c r="Z11" i="2"/>
  <c r="Y11" i="2"/>
  <c r="X11" i="2"/>
  <c r="AA11" i="2"/>
  <c r="Z10" i="2"/>
  <c r="Y10" i="2"/>
  <c r="X10" i="2"/>
  <c r="AA10" i="2"/>
  <c r="B50" i="2" l="1"/>
  <c r="K50" i="2"/>
  <c r="L46" i="2"/>
  <c r="L49" i="2"/>
  <c r="C49" i="2"/>
  <c r="U49" i="2" s="1"/>
  <c r="V49" i="2"/>
  <c r="K49" i="2"/>
  <c r="B49" i="2"/>
  <c r="T49" i="2" s="1"/>
  <c r="V48" i="2"/>
  <c r="L48" i="2"/>
  <c r="C48" i="2"/>
  <c r="U48" i="2" s="1"/>
  <c r="K48" i="2"/>
  <c r="B48" i="2"/>
  <c r="T48" i="2" s="1"/>
  <c r="K46" i="2"/>
  <c r="C46" i="2"/>
  <c r="U46" i="2" s="1"/>
  <c r="V47" i="2"/>
  <c r="L47" i="2"/>
  <c r="V46" i="2"/>
  <c r="B47" i="2"/>
  <c r="C47" i="2"/>
  <c r="U47" i="2" s="1"/>
  <c r="K47" i="2"/>
  <c r="T47" i="2" s="1"/>
  <c r="B46" i="2"/>
  <c r="T46" i="2" s="1"/>
  <c r="C45" i="2"/>
  <c r="V45" i="2"/>
  <c r="K45" i="2"/>
  <c r="B45" i="2"/>
  <c r="C44" i="2"/>
  <c r="B44" i="2"/>
  <c r="M44" i="2"/>
  <c r="L45" i="2" s="1"/>
  <c r="L43" i="2"/>
  <c r="C43" i="2"/>
  <c r="V43" i="2"/>
  <c r="K43" i="2"/>
  <c r="B43" i="2"/>
  <c r="L42" i="2"/>
  <c r="C42" i="2"/>
  <c r="V42" i="2"/>
  <c r="K42" i="2"/>
  <c r="B42" i="2"/>
  <c r="L41" i="2"/>
  <c r="C41" i="2"/>
  <c r="U41" i="2" s="1"/>
  <c r="V41" i="2"/>
  <c r="B41" i="2"/>
  <c r="K41" i="2"/>
  <c r="L40" i="2"/>
  <c r="C40" i="2"/>
  <c r="C39" i="2"/>
  <c r="V40" i="2"/>
  <c r="K40" i="2"/>
  <c r="B40" i="2"/>
  <c r="L38" i="2"/>
  <c r="L39" i="2"/>
  <c r="V39" i="2"/>
  <c r="K39" i="2"/>
  <c r="B39" i="2"/>
  <c r="L36" i="2"/>
  <c r="L35" i="2"/>
  <c r="B37" i="2"/>
  <c r="K38" i="2"/>
  <c r="C38" i="2"/>
  <c r="B38" i="2"/>
  <c r="V38" i="2"/>
  <c r="K37" i="2"/>
  <c r="V37" i="2"/>
  <c r="K35" i="2"/>
  <c r="L37" i="2"/>
  <c r="C37" i="2"/>
  <c r="C36" i="2"/>
  <c r="V36" i="2"/>
  <c r="B36" i="2"/>
  <c r="T36" i="2" s="1"/>
  <c r="B33" i="2"/>
  <c r="V5" i="2"/>
  <c r="C22" i="2"/>
  <c r="C35" i="2"/>
  <c r="V35" i="2"/>
  <c r="B35" i="2"/>
  <c r="C34" i="2"/>
  <c r="L34" i="2"/>
  <c r="C33" i="2"/>
  <c r="V34" i="2"/>
  <c r="K34" i="2"/>
  <c r="B34" i="2"/>
  <c r="B32" i="2"/>
  <c r="V32" i="2"/>
  <c r="L33" i="2"/>
  <c r="K33" i="2"/>
  <c r="V33" i="2"/>
  <c r="L32" i="2"/>
  <c r="C32" i="2"/>
  <c r="K32" i="2"/>
  <c r="L31" i="2"/>
  <c r="C31" i="2"/>
  <c r="B30" i="2"/>
  <c r="V31" i="2"/>
  <c r="K31" i="2"/>
  <c r="B31" i="2"/>
  <c r="C30" i="2"/>
  <c r="L30" i="2"/>
  <c r="V30" i="2"/>
  <c r="K30" i="2"/>
  <c r="C13" i="2"/>
  <c r="B28" i="2"/>
  <c r="V29" i="2"/>
  <c r="L29" i="2"/>
  <c r="B29" i="2"/>
  <c r="C29" i="2"/>
  <c r="K29" i="2"/>
  <c r="L28" i="2"/>
  <c r="C28" i="2"/>
  <c r="V28" i="2"/>
  <c r="K28" i="2"/>
  <c r="C27" i="2"/>
  <c r="L27" i="2"/>
  <c r="V27" i="2"/>
  <c r="K27" i="2"/>
  <c r="B27" i="2"/>
  <c r="L17" i="2"/>
  <c r="V26" i="2"/>
  <c r="C26" i="2"/>
  <c r="L25" i="2"/>
  <c r="L26" i="2"/>
  <c r="K26" i="2"/>
  <c r="B26" i="2"/>
  <c r="C25" i="2"/>
  <c r="V25" i="2"/>
  <c r="K25" i="2"/>
  <c r="B25" i="2"/>
  <c r="L23" i="2"/>
  <c r="V7" i="2"/>
  <c r="C24" i="2"/>
  <c r="V4" i="2"/>
  <c r="L24" i="2"/>
  <c r="V24" i="2"/>
  <c r="K24" i="2"/>
  <c r="B24" i="2"/>
  <c r="C23" i="2"/>
  <c r="V23" i="2"/>
  <c r="K23" i="2"/>
  <c r="B23" i="2"/>
  <c r="C12" i="2"/>
  <c r="C10" i="2"/>
  <c r="B22" i="2"/>
  <c r="B12" i="2"/>
  <c r="C11" i="2"/>
  <c r="L5" i="2"/>
  <c r="L8" i="2"/>
  <c r="L22" i="2"/>
  <c r="V22" i="2"/>
  <c r="K22" i="2"/>
  <c r="C4" i="2"/>
  <c r="B5" i="2"/>
  <c r="T5" i="2" s="1"/>
  <c r="B4" i="2"/>
  <c r="B11" i="2"/>
  <c r="V9" i="2"/>
  <c r="L10" i="2"/>
  <c r="B10" i="2"/>
  <c r="C9" i="2"/>
  <c r="C17" i="2"/>
  <c r="B15" i="2"/>
  <c r="C21" i="2"/>
  <c r="C15" i="2"/>
  <c r="C8" i="2"/>
  <c r="C7" i="2"/>
  <c r="L16" i="2"/>
  <c r="B14" i="2"/>
  <c r="K16" i="2"/>
  <c r="L9" i="2"/>
  <c r="B13" i="2"/>
  <c r="K9" i="2"/>
  <c r="C14" i="2"/>
  <c r="C5" i="2"/>
  <c r="L15" i="2"/>
  <c r="L4" i="2"/>
  <c r="B6" i="2"/>
  <c r="T6" i="2" s="1"/>
  <c r="B16" i="2"/>
  <c r="C6" i="2"/>
  <c r="C16" i="2"/>
  <c r="L13" i="2"/>
  <c r="K4" i="2"/>
  <c r="B7" i="2"/>
  <c r="B17" i="2"/>
  <c r="K17" i="2"/>
  <c r="V8" i="2"/>
  <c r="B8" i="2"/>
  <c r="T8" i="2" s="1"/>
  <c r="L11" i="2"/>
  <c r="B9" i="2"/>
  <c r="V2" i="2"/>
  <c r="L18" i="2"/>
  <c r="C20" i="2"/>
  <c r="C19" i="2"/>
  <c r="B18" i="2"/>
  <c r="C18" i="2"/>
  <c r="B19" i="2"/>
  <c r="B20" i="2"/>
  <c r="T20" i="2" s="1"/>
  <c r="B21" i="2"/>
  <c r="T21" i="2" s="1"/>
  <c r="L14" i="2"/>
  <c r="K14" i="2"/>
  <c r="L20" i="2"/>
  <c r="L19" i="2"/>
  <c r="L7" i="2"/>
  <c r="L12" i="2"/>
  <c r="K7" i="2"/>
  <c r="V6" i="2"/>
  <c r="L6" i="2"/>
  <c r="L21" i="2"/>
  <c r="V21" i="2"/>
  <c r="V20" i="2"/>
  <c r="C3" i="2"/>
  <c r="U3" i="2" s="1"/>
  <c r="V19" i="2"/>
  <c r="B3" i="2"/>
  <c r="T3" i="2" s="1"/>
  <c r="V18" i="2"/>
  <c r="V17" i="2"/>
  <c r="V13" i="2"/>
  <c r="V10" i="2"/>
  <c r="V11" i="2"/>
  <c r="V16" i="2"/>
  <c r="V15" i="2"/>
  <c r="V14" i="2"/>
  <c r="V12" i="2"/>
  <c r="T42" i="2" l="1"/>
  <c r="T45" i="2"/>
  <c r="T43" i="2"/>
  <c r="U43" i="2"/>
  <c r="U45" i="2"/>
  <c r="L44" i="2"/>
  <c r="U44" i="2" s="1"/>
  <c r="V44" i="2"/>
  <c r="K44" i="2"/>
  <c r="T44" i="2" s="1"/>
  <c r="T40" i="2"/>
  <c r="U39" i="2"/>
  <c r="U36" i="2"/>
  <c r="U42" i="2"/>
  <c r="U40" i="2"/>
  <c r="T41" i="2"/>
  <c r="U38" i="2"/>
  <c r="T37" i="2"/>
  <c r="T38" i="2"/>
  <c r="T35" i="2"/>
  <c r="T39" i="2"/>
  <c r="U35" i="2"/>
  <c r="U37" i="2"/>
  <c r="U34" i="2"/>
  <c r="U22" i="2"/>
  <c r="T33" i="2"/>
  <c r="U33" i="2"/>
  <c r="T32" i="2"/>
  <c r="T30" i="2"/>
  <c r="T34" i="2"/>
  <c r="U32" i="2"/>
  <c r="U31" i="2"/>
  <c r="U30" i="2"/>
  <c r="U23" i="2"/>
  <c r="U4" i="2"/>
  <c r="U24" i="2"/>
  <c r="T28" i="2"/>
  <c r="T31" i="2"/>
  <c r="U29" i="2"/>
  <c r="T7" i="2"/>
  <c r="U25" i="2"/>
  <c r="U28" i="2"/>
  <c r="T29" i="2"/>
  <c r="U27" i="2"/>
  <c r="U26" i="2"/>
  <c r="T27" i="2"/>
  <c r="U7" i="2"/>
  <c r="T26" i="2"/>
  <c r="U8" i="2"/>
  <c r="T25" i="2"/>
  <c r="T23" i="2"/>
  <c r="U5" i="2"/>
  <c r="T24" i="2"/>
  <c r="T22" i="2"/>
  <c r="U9" i="2"/>
  <c r="T4" i="2"/>
  <c r="T9" i="2"/>
  <c r="U21" i="2"/>
  <c r="U20" i="2"/>
  <c r="U6" i="2"/>
  <c r="T17" i="2"/>
  <c r="T18" i="2"/>
  <c r="T19" i="2"/>
  <c r="U19" i="2"/>
  <c r="U17" i="2"/>
  <c r="U18" i="2"/>
  <c r="U15" i="2"/>
  <c r="U14" i="2"/>
  <c r="T10" i="2"/>
  <c r="U10" i="2"/>
  <c r="T11" i="2"/>
  <c r="U13" i="2"/>
  <c r="T16" i="2"/>
  <c r="U16" i="2"/>
  <c r="U11" i="2"/>
  <c r="T13" i="2"/>
  <c r="T14" i="2"/>
  <c r="T15" i="2"/>
  <c r="T12" i="2"/>
  <c r="U12" i="2"/>
</calcChain>
</file>

<file path=xl/sharedStrings.xml><?xml version="1.0" encoding="utf-8"?>
<sst xmlns="http://schemas.openxmlformats.org/spreadsheetml/2006/main" count="174" uniqueCount="60">
  <si>
    <t>H23</t>
  </si>
  <si>
    <t>H24</t>
  </si>
  <si>
    <t>H25</t>
  </si>
  <si>
    <t>H26</t>
  </si>
  <si>
    <t>H27</t>
  </si>
  <si>
    <t>H28</t>
  </si>
  <si>
    <t>H29</t>
  </si>
  <si>
    <t>H30</t>
  </si>
  <si>
    <t>H31</t>
  </si>
  <si>
    <t>H32</t>
  </si>
  <si>
    <t>q</t>
  </si>
  <si>
    <t>z</t>
  </si>
  <si>
    <t>x</t>
  </si>
  <si>
    <t>上一</t>
    <phoneticPr fontId="2" type="noConversion"/>
  </si>
  <si>
    <t>第一</t>
    <phoneticPr fontId="2" type="noConversion"/>
  </si>
  <si>
    <t>A</t>
    <phoneticPr fontId="2" type="noConversion"/>
  </si>
  <si>
    <t>总计</t>
    <phoneticPr fontId="2" type="noConversion"/>
  </si>
  <si>
    <t>gen</t>
    <phoneticPr fontId="2" type="noConversion"/>
  </si>
  <si>
    <t>H33</t>
  </si>
  <si>
    <t>H34</t>
  </si>
  <si>
    <t>mak</t>
    <phoneticPr fontId="2" type="noConversion"/>
  </si>
  <si>
    <t>H35</t>
  </si>
  <si>
    <t>H37</t>
    <phoneticPr fontId="2" type="noConversion"/>
  </si>
  <si>
    <t>H38</t>
    <phoneticPr fontId="2" type="noConversion"/>
  </si>
  <si>
    <t>H39</t>
    <phoneticPr fontId="2" type="noConversion"/>
  </si>
  <si>
    <t>H41</t>
  </si>
  <si>
    <t>H22</t>
    <phoneticPr fontId="2" type="noConversion"/>
  </si>
  <si>
    <t>H40</t>
    <phoneticPr fontId="2" type="noConversion"/>
  </si>
  <si>
    <t>H36</t>
    <phoneticPr fontId="2" type="noConversion"/>
  </si>
  <si>
    <t>B</t>
    <phoneticPr fontId="2" type="noConversion"/>
  </si>
  <si>
    <t>H42</t>
    <phoneticPr fontId="2" type="noConversion"/>
  </si>
  <si>
    <t>H43</t>
    <phoneticPr fontId="2" type="noConversion"/>
  </si>
  <si>
    <t>H44</t>
    <phoneticPr fontId="2" type="noConversion"/>
  </si>
  <si>
    <t>H45</t>
    <phoneticPr fontId="2" type="noConversion"/>
  </si>
  <si>
    <t>H46</t>
    <phoneticPr fontId="2" type="noConversion"/>
  </si>
  <si>
    <t>H47</t>
    <phoneticPr fontId="2" type="noConversion"/>
  </si>
  <si>
    <t>H48</t>
    <phoneticPr fontId="2" type="noConversion"/>
  </si>
  <si>
    <t>H49</t>
    <phoneticPr fontId="2" type="noConversion"/>
  </si>
  <si>
    <t>H50</t>
    <phoneticPr fontId="2" type="noConversion"/>
  </si>
  <si>
    <t>H51</t>
    <phoneticPr fontId="2" type="noConversion"/>
  </si>
  <si>
    <t>H52</t>
    <phoneticPr fontId="2" type="noConversion"/>
  </si>
  <si>
    <t>H53</t>
    <phoneticPr fontId="2" type="noConversion"/>
  </si>
  <si>
    <t>H54</t>
    <phoneticPr fontId="2" type="noConversion"/>
  </si>
  <si>
    <t>H55</t>
    <phoneticPr fontId="2" type="noConversion"/>
  </si>
  <si>
    <t>H56</t>
    <phoneticPr fontId="2" type="noConversion"/>
  </si>
  <si>
    <t>H57</t>
  </si>
  <si>
    <t>H58</t>
  </si>
  <si>
    <t>H59</t>
    <phoneticPr fontId="2" type="noConversion"/>
  </si>
  <si>
    <t>H60</t>
    <phoneticPr fontId="2" type="noConversion"/>
  </si>
  <si>
    <t>H61</t>
    <phoneticPr fontId="2" type="noConversion"/>
  </si>
  <si>
    <t>H62</t>
    <phoneticPr fontId="2" type="noConversion"/>
  </si>
  <si>
    <t>H63</t>
    <phoneticPr fontId="2" type="noConversion"/>
  </si>
  <si>
    <t>H64</t>
    <phoneticPr fontId="2" type="noConversion"/>
  </si>
  <si>
    <t>H65</t>
    <phoneticPr fontId="2" type="noConversion"/>
  </si>
  <si>
    <t>H66</t>
    <phoneticPr fontId="2" type="noConversion"/>
  </si>
  <si>
    <t>H67</t>
    <phoneticPr fontId="2" type="noConversion"/>
  </si>
  <si>
    <t>H67</t>
    <phoneticPr fontId="2" type="noConversion"/>
  </si>
  <si>
    <t>H68</t>
    <phoneticPr fontId="2" type="noConversion"/>
  </si>
  <si>
    <t>H69</t>
    <phoneticPr fontId="2" type="noConversion"/>
  </si>
  <si>
    <t>H70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</si>
</sst>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8" x14ac:knownFonts="1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indexed="64"/>
      </left>
      <right style="thin">
        <color rgb="FFE5E7EB"/>
      </right>
      <top style="thin">
        <color rgb="FFE5E7EB"/>
      </top>
      <bottom/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176" fontId="1" fillId="0" borderId="0" xfId="0" applyNumberFormat="1" applyFont="1" applyAlignment="1">
      <alignment horizontal="left" vertical="center" wrapText="1"/>
    </xf>
    <xf numFmtId="176" fontId="6" fillId="0" borderId="0" xfId="0" applyNumberFormat="1" applyFont="1" applyAlignment="1">
      <alignment horizontal="left" vertical="center" wrapText="1"/>
    </xf>
    <xf numFmtId="176" fontId="1" fillId="0" borderId="2" xfId="0" applyNumberFormat="1" applyFont="1" applyBorder="1" applyAlignment="1">
      <alignment horizontal="left" vertical="center" wrapText="1"/>
    </xf>
    <xf numFmtId="176" fontId="4" fillId="0" borderId="0" xfId="0" applyNumberFormat="1" applyFont="1" applyAlignment="1">
      <alignment horizontal="left" vertical="center" wrapText="1"/>
    </xf>
    <xf numFmtId="176" fontId="7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  <xf numFmtId="176" fontId="3" fillId="0" borderId="2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176" fontId="0" fillId="0" borderId="2" xfId="0" applyNumberFormat="1" applyBorder="1" applyAlignment="1">
      <alignment horizontal="left" vertical="center"/>
    </xf>
    <xf numFmtId="176" fontId="6" fillId="0" borderId="1" xfId="0" applyNumberFormat="1" applyFont="1" applyBorder="1" applyAlignment="1">
      <alignment horizontal="left" vertical="center" wrapText="1"/>
    </xf>
    <xf numFmtId="176" fontId="0" fillId="0" borderId="1" xfId="0" applyNumberFormat="1" applyBorder="1" applyAlignment="1">
      <alignment horizontal="left" vertical="center"/>
    </xf>
    <xf numFmtId="176" fontId="1" fillId="0" borderId="0" xfId="0" applyNumberFormat="1" applyFont="1" applyAlignment="1">
      <alignment horizontal="left" vertical="center"/>
    </xf>
    <xf numFmtId="176" fontId="1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 wrapText="1"/>
    </xf>
    <xf numFmtId="176" fontId="3" fillId="0" borderId="3" xfId="0" applyNumberFormat="1" applyFont="1" applyBorder="1" applyAlignment="1">
      <alignment horizontal="left" vertical="center" wrapText="1"/>
    </xf>
    <xf numFmtId="176" fontId="3" fillId="0" borderId="4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/>
    </xf>
    <xf numFmtId="176" fontId="3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6A733-9BF5-4E02-BF58-4A4E24DE2BDD}">
  <dimension ref="A1:AB50"/>
  <sheetViews>
    <sheetView tabSelected="1" topLeftCell="A39" workbookViewId="0">
      <selection activeCell="A50" sqref="A50"/>
    </sheetView>
  </sheetViews>
  <sheetFormatPr defaultColWidth="7.625" defaultRowHeight="14.25" customHeight="1" x14ac:dyDescent="0.2"/>
  <cols>
    <col min="1" max="1" width="7.625" style="12"/>
    <col min="2" max="3" width="7.625" style="9"/>
    <col min="4" max="4" width="7.625" style="9" customWidth="1"/>
    <col min="5" max="8" width="7.625" style="9"/>
    <col min="9" max="9" width="7.625" style="10"/>
    <col min="10" max="10" width="7.625" style="12"/>
    <col min="11" max="17" width="7.625" style="9"/>
    <col min="18" max="18" width="7.625" style="10"/>
    <col min="19" max="19" width="7.625" style="12"/>
    <col min="20" max="26" width="7.625" style="9"/>
    <col min="27" max="27" width="7.625" style="10"/>
    <col min="28" max="28" width="7.625" style="12"/>
    <col min="29" max="16384" width="7.625" style="9"/>
  </cols>
  <sheetData>
    <row r="1" spans="1:27" ht="14.25" customHeight="1" x14ac:dyDescent="0.2">
      <c r="A1" s="11" t="s">
        <v>15</v>
      </c>
      <c r="B1" s="2" t="s">
        <v>14</v>
      </c>
      <c r="C1" s="2" t="s">
        <v>13</v>
      </c>
      <c r="D1" s="1" t="s">
        <v>16</v>
      </c>
      <c r="E1" s="1" t="s">
        <v>20</v>
      </c>
      <c r="F1" s="1" t="s">
        <v>10</v>
      </c>
      <c r="G1" s="1" t="s">
        <v>11</v>
      </c>
      <c r="H1" s="1" t="s">
        <v>12</v>
      </c>
      <c r="I1" s="3" t="s">
        <v>17</v>
      </c>
      <c r="J1" s="11" t="s">
        <v>29</v>
      </c>
      <c r="K1" s="2" t="s">
        <v>14</v>
      </c>
      <c r="L1" s="2" t="s">
        <v>13</v>
      </c>
      <c r="M1" s="1" t="s">
        <v>16</v>
      </c>
      <c r="N1" s="1" t="s">
        <v>20</v>
      </c>
      <c r="O1" s="1" t="s">
        <v>10</v>
      </c>
      <c r="P1" s="1" t="s">
        <v>11</v>
      </c>
      <c r="Q1" s="1" t="s">
        <v>12</v>
      </c>
      <c r="R1" s="3" t="s">
        <v>17</v>
      </c>
      <c r="S1" s="11" t="s">
        <v>15</v>
      </c>
      <c r="T1" s="2" t="s">
        <v>14</v>
      </c>
      <c r="U1" s="2" t="s">
        <v>13</v>
      </c>
      <c r="V1" s="1" t="s">
        <v>16</v>
      </c>
      <c r="W1" s="1" t="s">
        <v>20</v>
      </c>
      <c r="X1" s="1" t="s">
        <v>10</v>
      </c>
      <c r="Y1" s="1" t="s">
        <v>11</v>
      </c>
      <c r="Z1" s="1" t="s">
        <v>12</v>
      </c>
      <c r="AA1" s="3" t="s">
        <v>17</v>
      </c>
    </row>
    <row r="2" spans="1:27" ht="14.25" customHeight="1" x14ac:dyDescent="0.2">
      <c r="A2" s="15" t="s">
        <v>26</v>
      </c>
      <c r="B2" s="5">
        <v>1</v>
      </c>
      <c r="C2" s="5">
        <v>1</v>
      </c>
      <c r="D2" s="4">
        <f>SUM(F2:H2)</f>
        <v>502.81999999999994</v>
      </c>
      <c r="E2" s="5">
        <v>369.63</v>
      </c>
      <c r="F2" s="8">
        <v>174.9</v>
      </c>
      <c r="G2" s="8">
        <v>144.88999999999999</v>
      </c>
      <c r="H2" s="8">
        <v>183.03</v>
      </c>
      <c r="I2" s="7">
        <v>293.08999999999997</v>
      </c>
      <c r="J2" s="15" t="s">
        <v>26</v>
      </c>
      <c r="K2" s="5">
        <v>1</v>
      </c>
      <c r="L2" s="5">
        <v>1</v>
      </c>
      <c r="M2" s="4">
        <v>41.709999999999994</v>
      </c>
      <c r="N2" s="5">
        <v>93.96</v>
      </c>
      <c r="O2" s="8">
        <v>6.59</v>
      </c>
      <c r="P2" s="8">
        <v>15.56</v>
      </c>
      <c r="Q2" s="8">
        <v>19.559999999999999</v>
      </c>
      <c r="R2" s="7">
        <v>33.96</v>
      </c>
      <c r="S2" s="15" t="s">
        <v>26</v>
      </c>
      <c r="T2" s="5">
        <f t="shared" ref="T2:T20" si="0">ROUND(B2/K2,3)</f>
        <v>1</v>
      </c>
      <c r="U2" s="5">
        <f t="shared" ref="U2:U20" si="1">ROUND(C2/L2,3)</f>
        <v>1</v>
      </c>
      <c r="V2" s="4">
        <f t="shared" ref="V2:V20" si="2">ROUND(D2/M2,3)</f>
        <v>12.055</v>
      </c>
      <c r="W2" s="5">
        <f t="shared" ref="W2:W20" si="3">ROUND(E2/N2,3)</f>
        <v>3.9340000000000002</v>
      </c>
      <c r="X2" s="8">
        <f t="shared" ref="X2:X20" si="4">ROUND(F2/O2,3)</f>
        <v>26.54</v>
      </c>
      <c r="Y2" s="8">
        <f t="shared" ref="Y2:Y20" si="5">ROUND(G2/P2,3)</f>
        <v>9.3119999999999994</v>
      </c>
      <c r="Z2" s="8">
        <f t="shared" ref="Z2:Z20" si="6">ROUND(H2/Q2,3)</f>
        <v>9.3569999999999993</v>
      </c>
      <c r="AA2" s="7">
        <f t="shared" ref="AA2:AA20" si="7">ROUND(I2/R2,3)</f>
        <v>8.6300000000000008</v>
      </c>
    </row>
    <row r="3" spans="1:27" ht="14.25" customHeight="1" x14ac:dyDescent="0.2">
      <c r="A3" s="15" t="s">
        <v>0</v>
      </c>
      <c r="B3" s="2">
        <f>D$2/D3</f>
        <v>1.5134695843241126</v>
      </c>
      <c r="C3" s="2">
        <f>D2/D3</f>
        <v>1.5134695843241126</v>
      </c>
      <c r="D3" s="6">
        <f t="shared" ref="D3:D14" si="8">SUM(F3:H3)</f>
        <v>332.23</v>
      </c>
      <c r="E3" s="5">
        <v>360.67</v>
      </c>
      <c r="F3" s="8">
        <v>175.4</v>
      </c>
      <c r="G3" s="8">
        <v>153.86000000000001</v>
      </c>
      <c r="H3" s="1">
        <v>2.97</v>
      </c>
      <c r="I3" s="7">
        <v>295.49</v>
      </c>
      <c r="J3" s="15" t="s">
        <v>0</v>
      </c>
      <c r="K3" s="2">
        <f>M$2/M3</f>
        <v>1.8221930974224549</v>
      </c>
      <c r="L3" s="2">
        <f>M2/M3</f>
        <v>1.8221930974224549</v>
      </c>
      <c r="M3" s="6">
        <v>22.89</v>
      </c>
      <c r="N3" s="5">
        <v>89.09</v>
      </c>
      <c r="O3" s="8">
        <v>6.74</v>
      </c>
      <c r="P3" s="8">
        <v>15.54</v>
      </c>
      <c r="Q3" s="1">
        <v>0.61</v>
      </c>
      <c r="R3" s="7">
        <v>33.75</v>
      </c>
      <c r="S3" s="15" t="s">
        <v>0</v>
      </c>
      <c r="T3" s="2">
        <f t="shared" si="0"/>
        <v>0.83099999999999996</v>
      </c>
      <c r="U3" s="2">
        <f t="shared" si="1"/>
        <v>0.83099999999999996</v>
      </c>
      <c r="V3" s="6">
        <f t="shared" si="2"/>
        <v>14.513999999999999</v>
      </c>
      <c r="W3" s="5">
        <f t="shared" si="3"/>
        <v>4.048</v>
      </c>
      <c r="X3" s="8">
        <f t="shared" si="4"/>
        <v>26.024000000000001</v>
      </c>
      <c r="Y3" s="8">
        <f t="shared" si="5"/>
        <v>9.9009999999999998</v>
      </c>
      <c r="Z3" s="1">
        <f t="shared" si="6"/>
        <v>4.8689999999999998</v>
      </c>
      <c r="AA3" s="7">
        <f t="shared" si="7"/>
        <v>8.7550000000000008</v>
      </c>
    </row>
    <row r="4" spans="1:27" ht="14.25" customHeight="1" x14ac:dyDescent="0.2">
      <c r="A4" s="15" t="s">
        <v>1</v>
      </c>
      <c r="B4" s="2">
        <f t="shared" ref="B4:B21" si="9">D$2/D4</f>
        <v>2.0672614397894993</v>
      </c>
      <c r="C4" s="2">
        <f t="shared" ref="C4:C21" si="10">D3/D4</f>
        <v>1.3659088105907988</v>
      </c>
      <c r="D4" s="6">
        <f t="shared" si="8"/>
        <v>243.23000000000002</v>
      </c>
      <c r="E4" s="5">
        <v>358.84</v>
      </c>
      <c r="F4" s="1">
        <v>91.11</v>
      </c>
      <c r="G4" s="8">
        <v>149.25</v>
      </c>
      <c r="H4" s="8">
        <v>2.87</v>
      </c>
      <c r="I4" s="7">
        <v>295.82</v>
      </c>
      <c r="J4" s="15" t="s">
        <v>1</v>
      </c>
      <c r="K4" s="2">
        <f t="shared" ref="K4:K21" si="11">M$2/M4</f>
        <v>1.9852451213707754</v>
      </c>
      <c r="L4" s="2">
        <f t="shared" ref="L4:L21" si="12">M3/M4</f>
        <v>1.0894811994288434</v>
      </c>
      <c r="M4" s="6">
        <f t="shared" ref="M4:M21" si="13">SUM(O4:Q4)</f>
        <v>21.01</v>
      </c>
      <c r="N4" s="5">
        <v>89.15</v>
      </c>
      <c r="O4" s="1">
        <v>4.7699999999999996</v>
      </c>
      <c r="P4" s="8">
        <v>15.64</v>
      </c>
      <c r="Q4" s="8">
        <v>0.6</v>
      </c>
      <c r="R4" s="7">
        <v>33.96</v>
      </c>
      <c r="S4" s="15" t="s">
        <v>1</v>
      </c>
      <c r="T4" s="2">
        <f t="shared" si="0"/>
        <v>1.0409999999999999</v>
      </c>
      <c r="U4" s="2">
        <f t="shared" si="1"/>
        <v>1.254</v>
      </c>
      <c r="V4" s="6">
        <f t="shared" si="2"/>
        <v>11.577</v>
      </c>
      <c r="W4" s="5">
        <f t="shared" si="3"/>
        <v>4.0250000000000004</v>
      </c>
      <c r="X4" s="1">
        <f t="shared" si="4"/>
        <v>19.100999999999999</v>
      </c>
      <c r="Y4" s="8">
        <f t="shared" si="5"/>
        <v>9.5429999999999993</v>
      </c>
      <c r="Z4" s="8">
        <f t="shared" si="6"/>
        <v>4.7830000000000004</v>
      </c>
      <c r="AA4" s="7">
        <f t="shared" si="7"/>
        <v>8.7110000000000003</v>
      </c>
    </row>
    <row r="5" spans="1:27" ht="14.25" customHeight="1" x14ac:dyDescent="0.2">
      <c r="A5" s="15" t="s">
        <v>2</v>
      </c>
      <c r="B5" s="2">
        <f t="shared" si="9"/>
        <v>2.2113642360805694</v>
      </c>
      <c r="C5" s="2">
        <f t="shared" si="10"/>
        <v>1.0697070982496262</v>
      </c>
      <c r="D5" s="6">
        <f t="shared" si="8"/>
        <v>227.38000000000002</v>
      </c>
      <c r="E5" s="5">
        <v>373.6</v>
      </c>
      <c r="F5" s="8">
        <v>92.29</v>
      </c>
      <c r="G5" s="1">
        <v>132.24</v>
      </c>
      <c r="H5" s="8">
        <v>2.85</v>
      </c>
      <c r="I5" s="7">
        <v>297.08999999999997</v>
      </c>
      <c r="J5" s="15" t="s">
        <v>2</v>
      </c>
      <c r="K5" s="2">
        <f t="shared" si="11"/>
        <v>3.435749588138385</v>
      </c>
      <c r="L5" s="2">
        <f t="shared" si="12"/>
        <v>1.7306425041186162</v>
      </c>
      <c r="M5" s="6">
        <f t="shared" si="13"/>
        <v>12.14</v>
      </c>
      <c r="N5" s="5">
        <v>89.78</v>
      </c>
      <c r="O5" s="8">
        <v>4.82</v>
      </c>
      <c r="P5" s="1">
        <v>6.71</v>
      </c>
      <c r="Q5" s="8">
        <v>0.61</v>
      </c>
      <c r="R5" s="7">
        <v>34.090000000000003</v>
      </c>
      <c r="S5" s="15" t="s">
        <v>2</v>
      </c>
      <c r="T5" s="2">
        <f t="shared" si="0"/>
        <v>0.64400000000000002</v>
      </c>
      <c r="U5" s="2">
        <f t="shared" si="1"/>
        <v>0.61799999999999999</v>
      </c>
      <c r="V5" s="6">
        <f t="shared" si="2"/>
        <v>18.73</v>
      </c>
      <c r="W5" s="5">
        <f t="shared" si="3"/>
        <v>4.1609999999999996</v>
      </c>
      <c r="X5" s="8">
        <f t="shared" si="4"/>
        <v>19.146999999999998</v>
      </c>
      <c r="Y5" s="1">
        <f t="shared" si="5"/>
        <v>19.707999999999998</v>
      </c>
      <c r="Z5" s="8">
        <f t="shared" si="6"/>
        <v>4.6719999999999997</v>
      </c>
      <c r="AA5" s="7">
        <f t="shared" si="7"/>
        <v>8.7149999999999999</v>
      </c>
    </row>
    <row r="6" spans="1:27" ht="14.25" customHeight="1" x14ac:dyDescent="0.2">
      <c r="A6" s="15" t="s">
        <v>3</v>
      </c>
      <c r="B6" s="5">
        <f t="shared" si="9"/>
        <v>2.2125319017864999</v>
      </c>
      <c r="C6" s="5">
        <f t="shared" si="10"/>
        <v>1.0005280295696561</v>
      </c>
      <c r="D6" s="4">
        <f t="shared" si="8"/>
        <v>227.26</v>
      </c>
      <c r="E6" s="5">
        <v>372.01</v>
      </c>
      <c r="F6" s="8">
        <v>93</v>
      </c>
      <c r="G6" s="8">
        <v>131.47</v>
      </c>
      <c r="H6" s="8">
        <v>2.79</v>
      </c>
      <c r="I6" s="3">
        <v>112.14</v>
      </c>
      <c r="J6" s="15" t="s">
        <v>3</v>
      </c>
      <c r="K6" s="5">
        <f t="shared" si="11"/>
        <v>3.444260941370767</v>
      </c>
      <c r="L6" s="5">
        <f t="shared" si="12"/>
        <v>1.0024772914946325</v>
      </c>
      <c r="M6" s="4">
        <f t="shared" si="13"/>
        <v>12.110000000000001</v>
      </c>
      <c r="N6" s="5">
        <v>89.96</v>
      </c>
      <c r="O6" s="8">
        <v>4.79</v>
      </c>
      <c r="P6" s="8">
        <v>6.69</v>
      </c>
      <c r="Q6" s="8">
        <v>0.63</v>
      </c>
      <c r="R6" s="3">
        <v>6.1</v>
      </c>
      <c r="S6" s="15" t="s">
        <v>3</v>
      </c>
      <c r="T6" s="5">
        <f t="shared" si="0"/>
        <v>0.64200000000000002</v>
      </c>
      <c r="U6" s="5">
        <f t="shared" si="1"/>
        <v>0.998</v>
      </c>
      <c r="V6" s="4">
        <f t="shared" si="2"/>
        <v>18.765999999999998</v>
      </c>
      <c r="W6" s="5">
        <f t="shared" si="3"/>
        <v>4.1349999999999998</v>
      </c>
      <c r="X6" s="8">
        <f t="shared" si="4"/>
        <v>19.414999999999999</v>
      </c>
      <c r="Y6" s="8">
        <f t="shared" si="5"/>
        <v>19.652000000000001</v>
      </c>
      <c r="Z6" s="8">
        <f t="shared" si="6"/>
        <v>4.4290000000000003</v>
      </c>
      <c r="AA6" s="3">
        <f t="shared" si="7"/>
        <v>18.384</v>
      </c>
    </row>
    <row r="7" spans="1:27" ht="14.25" customHeight="1" x14ac:dyDescent="0.2">
      <c r="A7" s="15" t="s">
        <v>4</v>
      </c>
      <c r="B7" s="5">
        <f t="shared" si="9"/>
        <v>2.1726656008296241</v>
      </c>
      <c r="C7" s="5">
        <f t="shared" si="10"/>
        <v>0.98198159270621777</v>
      </c>
      <c r="D7" s="4">
        <f t="shared" si="8"/>
        <v>231.43</v>
      </c>
      <c r="E7" s="5">
        <v>524.05999999999995</v>
      </c>
      <c r="F7" s="8">
        <v>98.24</v>
      </c>
      <c r="G7" s="8">
        <v>131.75</v>
      </c>
      <c r="H7" s="1">
        <v>1.44</v>
      </c>
      <c r="I7" s="7">
        <v>112.99</v>
      </c>
      <c r="J7" s="15" t="s">
        <v>4</v>
      </c>
      <c r="K7" s="5">
        <f t="shared" si="11"/>
        <v>3.5680068434559447</v>
      </c>
      <c r="L7" s="5">
        <f t="shared" si="12"/>
        <v>1.0359281437125749</v>
      </c>
      <c r="M7" s="4">
        <f t="shared" si="13"/>
        <v>11.69</v>
      </c>
      <c r="N7" s="5">
        <v>100.86</v>
      </c>
      <c r="O7" s="8">
        <v>4.71</v>
      </c>
      <c r="P7" s="8">
        <v>6.71</v>
      </c>
      <c r="Q7" s="1">
        <v>0.27</v>
      </c>
      <c r="R7" s="7">
        <v>6.05</v>
      </c>
      <c r="S7" s="15" t="s">
        <v>4</v>
      </c>
      <c r="T7" s="5">
        <f t="shared" si="0"/>
        <v>0.60899999999999999</v>
      </c>
      <c r="U7" s="5">
        <f t="shared" si="1"/>
        <v>0.94799999999999995</v>
      </c>
      <c r="V7" s="4">
        <f t="shared" si="2"/>
        <v>19.797000000000001</v>
      </c>
      <c r="W7" s="5">
        <f t="shared" si="3"/>
        <v>5.1959999999999997</v>
      </c>
      <c r="X7" s="8">
        <f t="shared" si="4"/>
        <v>20.858000000000001</v>
      </c>
      <c r="Y7" s="8">
        <f t="shared" si="5"/>
        <v>19.635000000000002</v>
      </c>
      <c r="Z7" s="1">
        <f t="shared" si="6"/>
        <v>5.3330000000000002</v>
      </c>
      <c r="AA7" s="7">
        <f t="shared" si="7"/>
        <v>18.675999999999998</v>
      </c>
    </row>
    <row r="8" spans="1:27" ht="14.25" customHeight="1" x14ac:dyDescent="0.2">
      <c r="A8" s="15" t="s">
        <v>5</v>
      </c>
      <c r="B8" s="5">
        <f t="shared" si="9"/>
        <v>2.1582110052365007</v>
      </c>
      <c r="C8" s="5">
        <f t="shared" si="10"/>
        <v>0.99334706841789</v>
      </c>
      <c r="D8" s="4">
        <f t="shared" si="8"/>
        <v>232.98</v>
      </c>
      <c r="E8" s="5">
        <v>667.66</v>
      </c>
      <c r="F8" s="8">
        <v>98.75</v>
      </c>
      <c r="G8" s="8">
        <v>132.88</v>
      </c>
      <c r="H8" s="8">
        <v>1.35</v>
      </c>
      <c r="I8" s="7">
        <v>114.88</v>
      </c>
      <c r="J8" s="15" t="s">
        <v>5</v>
      </c>
      <c r="K8" s="5">
        <f t="shared" si="11"/>
        <v>3.5895008605851975</v>
      </c>
      <c r="L8" s="5">
        <f t="shared" si="12"/>
        <v>1.0060240963855422</v>
      </c>
      <c r="M8" s="4">
        <f t="shared" si="13"/>
        <v>11.62</v>
      </c>
      <c r="N8" s="5">
        <v>121.4</v>
      </c>
      <c r="O8" s="8">
        <v>4.75</v>
      </c>
      <c r="P8" s="8">
        <v>6.6</v>
      </c>
      <c r="Q8" s="8">
        <v>0.27</v>
      </c>
      <c r="R8" s="7">
        <v>6.02</v>
      </c>
      <c r="S8" s="15" t="s">
        <v>5</v>
      </c>
      <c r="T8" s="5">
        <f t="shared" si="0"/>
        <v>0.60099999999999998</v>
      </c>
      <c r="U8" s="5">
        <f t="shared" si="1"/>
        <v>0.98699999999999999</v>
      </c>
      <c r="V8" s="4">
        <f t="shared" si="2"/>
        <v>20.05</v>
      </c>
      <c r="W8" s="5">
        <f t="shared" si="3"/>
        <v>5.5</v>
      </c>
      <c r="X8" s="8">
        <f t="shared" si="4"/>
        <v>20.789000000000001</v>
      </c>
      <c r="Y8" s="8">
        <f t="shared" si="5"/>
        <v>20.132999999999999</v>
      </c>
      <c r="Z8" s="8">
        <f t="shared" si="6"/>
        <v>5</v>
      </c>
      <c r="AA8" s="7">
        <f t="shared" si="7"/>
        <v>19.082999999999998</v>
      </c>
    </row>
    <row r="9" spans="1:27" ht="14.25" customHeight="1" x14ac:dyDescent="0.2">
      <c r="A9" s="15" t="s">
        <v>6</v>
      </c>
      <c r="B9" s="5">
        <f t="shared" si="9"/>
        <v>2.1661138155343984</v>
      </c>
      <c r="C9" s="5">
        <f t="shared" si="10"/>
        <v>1.0036617412656701</v>
      </c>
      <c r="D9" s="4">
        <f t="shared" si="8"/>
        <v>232.13</v>
      </c>
      <c r="E9" s="5">
        <v>669.91</v>
      </c>
      <c r="F9" s="8">
        <v>100.22</v>
      </c>
      <c r="G9" s="8">
        <v>130.52000000000001</v>
      </c>
      <c r="H9" s="8">
        <v>1.39</v>
      </c>
      <c r="I9" s="7">
        <v>112.53</v>
      </c>
      <c r="J9" s="15" t="s">
        <v>6</v>
      </c>
      <c r="K9" s="5">
        <f t="shared" si="11"/>
        <v>3.5680068434559447</v>
      </c>
      <c r="L9" s="5">
        <f t="shared" si="12"/>
        <v>0.99401197604790414</v>
      </c>
      <c r="M9" s="4">
        <f t="shared" si="13"/>
        <v>11.69</v>
      </c>
      <c r="N9" s="5">
        <v>123.25</v>
      </c>
      <c r="O9" s="8">
        <v>4.75</v>
      </c>
      <c r="P9" s="8">
        <v>6.66</v>
      </c>
      <c r="Q9" s="8">
        <v>0.28000000000000003</v>
      </c>
      <c r="R9" s="7">
        <v>6.05</v>
      </c>
      <c r="S9" s="15" t="s">
        <v>6</v>
      </c>
      <c r="T9" s="5">
        <f t="shared" si="0"/>
        <v>0.60699999999999998</v>
      </c>
      <c r="U9" s="5">
        <f t="shared" si="1"/>
        <v>1.01</v>
      </c>
      <c r="V9" s="4">
        <f t="shared" si="2"/>
        <v>19.856999999999999</v>
      </c>
      <c r="W9" s="5">
        <f t="shared" si="3"/>
        <v>5.4349999999999996</v>
      </c>
      <c r="X9" s="8">
        <f t="shared" si="4"/>
        <v>21.099</v>
      </c>
      <c r="Y9" s="8">
        <f t="shared" si="5"/>
        <v>19.597999999999999</v>
      </c>
      <c r="Z9" s="8">
        <f t="shared" si="6"/>
        <v>4.9640000000000004</v>
      </c>
      <c r="AA9" s="7">
        <f t="shared" si="7"/>
        <v>18.600000000000001</v>
      </c>
    </row>
    <row r="10" spans="1:27" ht="14.25" customHeight="1" x14ac:dyDescent="0.2">
      <c r="A10" s="15" t="s">
        <v>7</v>
      </c>
      <c r="B10" s="5">
        <f t="shared" si="9"/>
        <v>2.1769926830324287</v>
      </c>
      <c r="C10" s="5">
        <f t="shared" si="10"/>
        <v>1.0050222972680436</v>
      </c>
      <c r="D10" s="4">
        <f t="shared" si="8"/>
        <v>230.96999999999997</v>
      </c>
      <c r="E10" s="2">
        <v>338.85</v>
      </c>
      <c r="F10" s="8">
        <v>98.21</v>
      </c>
      <c r="G10" s="8">
        <v>131.38999999999999</v>
      </c>
      <c r="H10" s="8">
        <v>1.37</v>
      </c>
      <c r="I10" s="7">
        <v>112.43</v>
      </c>
      <c r="J10" s="15" t="s">
        <v>7</v>
      </c>
      <c r="K10" s="5">
        <f t="shared" si="11"/>
        <v>3.6112554112554109</v>
      </c>
      <c r="L10" s="5">
        <f t="shared" si="12"/>
        <v>1.0121212121212122</v>
      </c>
      <c r="M10" s="4">
        <f t="shared" si="13"/>
        <v>11.549999999999999</v>
      </c>
      <c r="N10" s="2">
        <v>101.72</v>
      </c>
      <c r="O10" s="8">
        <v>4.7</v>
      </c>
      <c r="P10" s="8">
        <v>6.57</v>
      </c>
      <c r="Q10" s="8">
        <v>0.28000000000000003</v>
      </c>
      <c r="R10" s="7">
        <v>5.97</v>
      </c>
      <c r="S10" s="15" t="s">
        <v>7</v>
      </c>
      <c r="T10" s="5">
        <f t="shared" si="0"/>
        <v>0.60299999999999998</v>
      </c>
      <c r="U10" s="5">
        <f t="shared" si="1"/>
        <v>0.99299999999999999</v>
      </c>
      <c r="V10" s="4">
        <f t="shared" si="2"/>
        <v>19.997</v>
      </c>
      <c r="W10" s="2">
        <f t="shared" si="3"/>
        <v>3.331</v>
      </c>
      <c r="X10" s="8">
        <f t="shared" si="4"/>
        <v>20.896000000000001</v>
      </c>
      <c r="Y10" s="8">
        <f t="shared" si="5"/>
        <v>19.998000000000001</v>
      </c>
      <c r="Z10" s="8">
        <f t="shared" si="6"/>
        <v>4.8929999999999998</v>
      </c>
      <c r="AA10" s="7">
        <f t="shared" si="7"/>
        <v>18.832000000000001</v>
      </c>
    </row>
    <row r="11" spans="1:27" ht="14.25" customHeight="1" x14ac:dyDescent="0.2">
      <c r="A11" s="15" t="s">
        <v>8</v>
      </c>
      <c r="B11" s="2">
        <f t="shared" si="9"/>
        <v>2.6913236632232507</v>
      </c>
      <c r="C11" s="2">
        <f t="shared" si="10"/>
        <v>1.23625756034898</v>
      </c>
      <c r="D11" s="6">
        <f t="shared" si="8"/>
        <v>186.83</v>
      </c>
      <c r="E11" s="5">
        <v>290.02999999999997</v>
      </c>
      <c r="F11" s="1">
        <v>53.19</v>
      </c>
      <c r="G11" s="8">
        <v>132.06</v>
      </c>
      <c r="H11" s="8">
        <v>1.58</v>
      </c>
      <c r="I11" s="7">
        <v>111.93</v>
      </c>
      <c r="J11" s="15" t="s">
        <v>8</v>
      </c>
      <c r="K11" s="2">
        <f t="shared" si="11"/>
        <v>3.9837631327602674</v>
      </c>
      <c r="L11" s="2">
        <f t="shared" si="12"/>
        <v>1.1031518624641834</v>
      </c>
      <c r="M11" s="6">
        <f t="shared" si="13"/>
        <v>10.469999999999999</v>
      </c>
      <c r="N11" s="5">
        <v>99.82</v>
      </c>
      <c r="O11" s="1">
        <v>1.83</v>
      </c>
      <c r="P11" s="8">
        <v>8.3699999999999992</v>
      </c>
      <c r="Q11" s="8">
        <v>0.27</v>
      </c>
      <c r="R11" s="7">
        <v>7.81</v>
      </c>
      <c r="S11" s="15" t="s">
        <v>8</v>
      </c>
      <c r="T11" s="2">
        <f t="shared" si="0"/>
        <v>0.67600000000000005</v>
      </c>
      <c r="U11" s="2">
        <f t="shared" si="1"/>
        <v>1.121</v>
      </c>
      <c r="V11" s="6">
        <f t="shared" si="2"/>
        <v>17.844000000000001</v>
      </c>
      <c r="W11" s="5">
        <f t="shared" si="3"/>
        <v>2.9060000000000001</v>
      </c>
      <c r="X11" s="1">
        <f t="shared" si="4"/>
        <v>29.065999999999999</v>
      </c>
      <c r="Y11" s="8">
        <f t="shared" si="5"/>
        <v>15.778</v>
      </c>
      <c r="Z11" s="8">
        <f t="shared" si="6"/>
        <v>5.8520000000000003</v>
      </c>
      <c r="AA11" s="7">
        <f t="shared" si="7"/>
        <v>14.332000000000001</v>
      </c>
    </row>
    <row r="12" spans="1:27" ht="14.25" customHeight="1" x14ac:dyDescent="0.2">
      <c r="A12" s="15" t="s">
        <v>9</v>
      </c>
      <c r="B12" s="2">
        <f t="shared" si="9"/>
        <v>2.9142227889185115</v>
      </c>
      <c r="C12" s="2">
        <f t="shared" si="10"/>
        <v>1.0828213747536803</v>
      </c>
      <c r="D12" s="6">
        <f t="shared" si="8"/>
        <v>172.54</v>
      </c>
      <c r="E12" s="5">
        <v>290.17</v>
      </c>
      <c r="F12" s="8">
        <v>52.21</v>
      </c>
      <c r="G12" s="1">
        <v>118.92</v>
      </c>
      <c r="H12" s="8">
        <v>1.41</v>
      </c>
      <c r="I12" s="3">
        <v>93.93</v>
      </c>
      <c r="J12" s="15" t="s">
        <v>9</v>
      </c>
      <c r="K12" s="2">
        <f t="shared" si="11"/>
        <v>4.8898007033997652</v>
      </c>
      <c r="L12" s="2">
        <f t="shared" si="12"/>
        <v>1.227432590855803</v>
      </c>
      <c r="M12" s="6">
        <f t="shared" si="13"/>
        <v>8.5299999999999994</v>
      </c>
      <c r="N12" s="5">
        <v>100.42</v>
      </c>
      <c r="O12" s="8">
        <v>1.79</v>
      </c>
      <c r="P12" s="1">
        <v>6.46</v>
      </c>
      <c r="Q12" s="8">
        <v>0.28000000000000003</v>
      </c>
      <c r="R12" s="3">
        <v>5.44</v>
      </c>
      <c r="S12" s="15" t="s">
        <v>9</v>
      </c>
      <c r="T12" s="2">
        <f t="shared" si="0"/>
        <v>0.59599999999999997</v>
      </c>
      <c r="U12" s="2">
        <f t="shared" si="1"/>
        <v>0.88200000000000001</v>
      </c>
      <c r="V12" s="6">
        <f t="shared" si="2"/>
        <v>20.227</v>
      </c>
      <c r="W12" s="5">
        <f t="shared" si="3"/>
        <v>2.89</v>
      </c>
      <c r="X12" s="8">
        <f t="shared" si="4"/>
        <v>29.167999999999999</v>
      </c>
      <c r="Y12" s="1">
        <f t="shared" si="5"/>
        <v>18.408999999999999</v>
      </c>
      <c r="Z12" s="8">
        <f t="shared" si="6"/>
        <v>5.0359999999999996</v>
      </c>
      <c r="AA12" s="3">
        <f t="shared" si="7"/>
        <v>17.266999999999999</v>
      </c>
    </row>
    <row r="13" spans="1:27" ht="14.25" customHeight="1" x14ac:dyDescent="0.2">
      <c r="A13" s="16" t="s">
        <v>18</v>
      </c>
      <c r="B13" s="2">
        <f t="shared" si="9"/>
        <v>3.3354560530679929</v>
      </c>
      <c r="C13" s="2">
        <f t="shared" si="10"/>
        <v>1.1445439469320067</v>
      </c>
      <c r="D13" s="6">
        <f t="shared" si="8"/>
        <v>150.75</v>
      </c>
      <c r="E13" s="5">
        <v>292.87</v>
      </c>
      <c r="F13" s="1">
        <v>30.74</v>
      </c>
      <c r="G13" s="8">
        <v>118.51</v>
      </c>
      <c r="H13" s="8">
        <v>1.5</v>
      </c>
      <c r="I13" s="7">
        <v>94.27</v>
      </c>
      <c r="J13" s="16" t="s">
        <v>18</v>
      </c>
      <c r="K13" s="2">
        <f t="shared" si="11"/>
        <v>5.2465408805031446</v>
      </c>
      <c r="L13" s="2">
        <f t="shared" si="12"/>
        <v>1.0729559748427673</v>
      </c>
      <c r="M13" s="6">
        <f t="shared" si="13"/>
        <v>7.9499999999999993</v>
      </c>
      <c r="N13" s="5">
        <v>101.89</v>
      </c>
      <c r="O13" s="1">
        <v>1.1599999999999999</v>
      </c>
      <c r="P13" s="8">
        <v>6.52</v>
      </c>
      <c r="Q13" s="8">
        <v>0.27</v>
      </c>
      <c r="R13" s="7">
        <v>5.47</v>
      </c>
      <c r="S13" s="16" t="s">
        <v>18</v>
      </c>
      <c r="T13" s="2">
        <f t="shared" si="0"/>
        <v>0.63600000000000001</v>
      </c>
      <c r="U13" s="2">
        <f t="shared" si="1"/>
        <v>1.0669999999999999</v>
      </c>
      <c r="V13" s="6">
        <f t="shared" si="2"/>
        <v>18.962</v>
      </c>
      <c r="W13" s="5">
        <f t="shared" si="3"/>
        <v>2.8740000000000001</v>
      </c>
      <c r="X13" s="1">
        <f t="shared" si="4"/>
        <v>26.5</v>
      </c>
      <c r="Y13" s="8">
        <f t="shared" si="5"/>
        <v>18.175999999999998</v>
      </c>
      <c r="Z13" s="8">
        <f t="shared" si="6"/>
        <v>5.556</v>
      </c>
      <c r="AA13" s="7">
        <f t="shared" si="7"/>
        <v>17.234000000000002</v>
      </c>
    </row>
    <row r="14" spans="1:27" ht="14.25" customHeight="1" x14ac:dyDescent="0.2">
      <c r="A14" s="17" t="s">
        <v>19</v>
      </c>
      <c r="B14" s="5">
        <f t="shared" si="9"/>
        <v>3.3443298969072162</v>
      </c>
      <c r="C14" s="5">
        <f t="shared" si="10"/>
        <v>1.0026604589291652</v>
      </c>
      <c r="D14" s="4">
        <f t="shared" si="8"/>
        <v>150.35</v>
      </c>
      <c r="E14" s="5">
        <v>293.14</v>
      </c>
      <c r="F14" s="1">
        <v>30.84</v>
      </c>
      <c r="G14" s="8">
        <v>118.09</v>
      </c>
      <c r="H14" s="8">
        <v>1.42</v>
      </c>
      <c r="I14" s="7">
        <v>93.68</v>
      </c>
      <c r="J14" s="17" t="s">
        <v>19</v>
      </c>
      <c r="K14" s="5">
        <f t="shared" si="11"/>
        <v>5.3405889884763109</v>
      </c>
      <c r="L14" s="5">
        <f t="shared" si="12"/>
        <v>1.0179257362355951</v>
      </c>
      <c r="M14" s="4">
        <f t="shared" si="13"/>
        <v>7.8100000000000005</v>
      </c>
      <c r="N14" s="5">
        <v>100.03</v>
      </c>
      <c r="O14" s="1">
        <v>1.1299999999999999</v>
      </c>
      <c r="P14" s="8">
        <v>6.41</v>
      </c>
      <c r="Q14" s="8">
        <v>0.27</v>
      </c>
      <c r="R14" s="7">
        <v>5.35</v>
      </c>
      <c r="S14" s="17" t="s">
        <v>19</v>
      </c>
      <c r="T14" s="5">
        <f t="shared" si="0"/>
        <v>0.626</v>
      </c>
      <c r="U14" s="5">
        <f t="shared" si="1"/>
        <v>0.98499999999999999</v>
      </c>
      <c r="V14" s="4">
        <f t="shared" si="2"/>
        <v>19.251000000000001</v>
      </c>
      <c r="W14" s="5">
        <f t="shared" si="3"/>
        <v>2.931</v>
      </c>
      <c r="X14" s="1">
        <f t="shared" si="4"/>
        <v>27.292000000000002</v>
      </c>
      <c r="Y14" s="8">
        <f t="shared" si="5"/>
        <v>18.422999999999998</v>
      </c>
      <c r="Z14" s="8">
        <f t="shared" si="6"/>
        <v>5.2590000000000003</v>
      </c>
      <c r="AA14" s="7">
        <f t="shared" si="7"/>
        <v>17.510000000000002</v>
      </c>
    </row>
    <row r="15" spans="1:27" ht="14.25" customHeight="1" x14ac:dyDescent="0.2">
      <c r="A15" s="17" t="s">
        <v>21</v>
      </c>
      <c r="B15" s="2">
        <f t="shared" si="9"/>
        <v>4.2789549825546755</v>
      </c>
      <c r="C15" s="2">
        <f t="shared" si="10"/>
        <v>1.2794655773976682</v>
      </c>
      <c r="D15" s="6">
        <f t="shared" ref="D15:D20" si="14">SUM(F15:H15)</f>
        <v>117.51</v>
      </c>
      <c r="E15" s="5">
        <v>298.74</v>
      </c>
      <c r="F15" s="8">
        <v>30.98</v>
      </c>
      <c r="G15" s="1">
        <v>85.1</v>
      </c>
      <c r="H15" s="8">
        <v>1.43</v>
      </c>
      <c r="I15" s="3">
        <v>64.790000000000006</v>
      </c>
      <c r="J15" s="17" t="s">
        <v>21</v>
      </c>
      <c r="K15" s="2">
        <f t="shared" si="11"/>
        <v>5.7531034482758603</v>
      </c>
      <c r="L15" s="2">
        <f t="shared" si="12"/>
        <v>1.0772413793103448</v>
      </c>
      <c r="M15" s="6">
        <f t="shared" si="13"/>
        <v>7.2500000000000009</v>
      </c>
      <c r="N15" s="5">
        <v>99.74</v>
      </c>
      <c r="O15" s="8">
        <v>1.1499999999999999</v>
      </c>
      <c r="P15" s="1">
        <v>5.82</v>
      </c>
      <c r="Q15" s="8">
        <v>0.28000000000000003</v>
      </c>
      <c r="R15" s="3">
        <v>5.0599999999999996</v>
      </c>
      <c r="S15" s="17" t="s">
        <v>21</v>
      </c>
      <c r="T15" s="2">
        <f t="shared" si="0"/>
        <v>0.74399999999999999</v>
      </c>
      <c r="U15" s="2">
        <f t="shared" si="1"/>
        <v>1.1879999999999999</v>
      </c>
      <c r="V15" s="6">
        <f t="shared" si="2"/>
        <v>16.207999999999998</v>
      </c>
      <c r="W15" s="5">
        <f t="shared" si="3"/>
        <v>2.9950000000000001</v>
      </c>
      <c r="X15" s="8">
        <f t="shared" si="4"/>
        <v>26.939</v>
      </c>
      <c r="Y15" s="1">
        <f t="shared" si="5"/>
        <v>14.622</v>
      </c>
      <c r="Z15" s="8">
        <f t="shared" si="6"/>
        <v>5.1070000000000002</v>
      </c>
      <c r="AA15" s="3">
        <f t="shared" si="7"/>
        <v>12.804</v>
      </c>
    </row>
    <row r="16" spans="1:27" ht="14.25" customHeight="1" x14ac:dyDescent="0.2">
      <c r="A16" s="17" t="s">
        <v>28</v>
      </c>
      <c r="B16" s="5">
        <f t="shared" si="9"/>
        <v>4.3257054370268406</v>
      </c>
      <c r="C16" s="5">
        <f t="shared" si="10"/>
        <v>1.0109256710254646</v>
      </c>
      <c r="D16" s="4">
        <f t="shared" si="14"/>
        <v>116.24</v>
      </c>
      <c r="E16" s="1">
        <v>293.04000000000002</v>
      </c>
      <c r="F16" s="8">
        <v>30.81</v>
      </c>
      <c r="G16" s="8">
        <v>83.82</v>
      </c>
      <c r="H16" s="8">
        <v>1.61</v>
      </c>
      <c r="I16" s="7">
        <v>63.86</v>
      </c>
      <c r="J16" s="17" t="s">
        <v>28</v>
      </c>
      <c r="K16" s="5">
        <f t="shared" si="11"/>
        <v>5.7850208044382789</v>
      </c>
      <c r="L16" s="5">
        <f t="shared" si="12"/>
        <v>1.0055478502080446</v>
      </c>
      <c r="M16" s="4">
        <f t="shared" si="13"/>
        <v>7.21</v>
      </c>
      <c r="N16" s="1">
        <v>13.94</v>
      </c>
      <c r="O16" s="8">
        <v>1.1299999999999999</v>
      </c>
      <c r="P16" s="8">
        <v>5.8</v>
      </c>
      <c r="Q16" s="8">
        <v>0.28000000000000003</v>
      </c>
      <c r="R16" s="7">
        <v>5.0199999999999996</v>
      </c>
      <c r="S16" s="17" t="s">
        <v>28</v>
      </c>
      <c r="T16" s="5">
        <f t="shared" si="0"/>
        <v>0.748</v>
      </c>
      <c r="U16" s="5">
        <f t="shared" si="1"/>
        <v>1.0049999999999999</v>
      </c>
      <c r="V16" s="4">
        <f t="shared" si="2"/>
        <v>16.122</v>
      </c>
      <c r="W16" s="1">
        <f t="shared" si="3"/>
        <v>21.021999999999998</v>
      </c>
      <c r="X16" s="8">
        <f t="shared" si="4"/>
        <v>27.265000000000001</v>
      </c>
      <c r="Y16" s="8">
        <f t="shared" si="5"/>
        <v>14.452</v>
      </c>
      <c r="Z16" s="8">
        <f t="shared" si="6"/>
        <v>5.75</v>
      </c>
      <c r="AA16" s="7">
        <f t="shared" si="7"/>
        <v>12.721</v>
      </c>
    </row>
    <row r="17" spans="1:27" ht="14.25" customHeight="1" x14ac:dyDescent="0.2">
      <c r="A17" s="17" t="s">
        <v>22</v>
      </c>
      <c r="B17" s="5">
        <f t="shared" si="9"/>
        <v>4.3421416234887733</v>
      </c>
      <c r="C17" s="5">
        <f t="shared" si="10"/>
        <v>1.0037996545768566</v>
      </c>
      <c r="D17" s="4">
        <f t="shared" si="14"/>
        <v>115.8</v>
      </c>
      <c r="E17" s="18">
        <v>293.16000000000003</v>
      </c>
      <c r="F17" s="18">
        <v>30.57</v>
      </c>
      <c r="G17" s="13">
        <v>83.77</v>
      </c>
      <c r="H17" s="18">
        <v>1.46</v>
      </c>
      <c r="I17" s="13">
        <v>64.06</v>
      </c>
      <c r="J17" s="17" t="s">
        <v>22</v>
      </c>
      <c r="K17" s="5">
        <f t="shared" si="11"/>
        <v>6.291101055806938</v>
      </c>
      <c r="L17" s="5">
        <f t="shared" si="12"/>
        <v>1.0874811463046758</v>
      </c>
      <c r="M17" s="4">
        <f t="shared" si="13"/>
        <v>6.629999999999999</v>
      </c>
      <c r="N17" s="18">
        <v>13.86</v>
      </c>
      <c r="O17" s="18">
        <v>1.1499999999999999</v>
      </c>
      <c r="P17" s="13">
        <v>5.21</v>
      </c>
      <c r="Q17" s="18">
        <v>0.27</v>
      </c>
      <c r="R17" s="13">
        <v>4.26</v>
      </c>
      <c r="S17" s="17" t="s">
        <v>22</v>
      </c>
      <c r="T17" s="5">
        <f t="shared" si="0"/>
        <v>0.69</v>
      </c>
      <c r="U17" s="5">
        <f t="shared" si="1"/>
        <v>0.92300000000000004</v>
      </c>
      <c r="V17" s="4">
        <f t="shared" si="2"/>
        <v>17.466000000000001</v>
      </c>
      <c r="W17" s="18">
        <f t="shared" si="3"/>
        <v>21.152000000000001</v>
      </c>
      <c r="X17" s="18">
        <f t="shared" si="4"/>
        <v>26.582999999999998</v>
      </c>
      <c r="Y17" s="13">
        <f t="shared" si="5"/>
        <v>16.079000000000001</v>
      </c>
      <c r="Z17" s="18">
        <f t="shared" si="6"/>
        <v>5.407</v>
      </c>
      <c r="AA17" s="13">
        <f t="shared" si="7"/>
        <v>15.038</v>
      </c>
    </row>
    <row r="18" spans="1:27" ht="14.25" customHeight="1" x14ac:dyDescent="0.2">
      <c r="A18" s="17" t="s">
        <v>23</v>
      </c>
      <c r="B18" s="5">
        <f t="shared" si="9"/>
        <v>4.3105015002143157</v>
      </c>
      <c r="C18" s="5">
        <f t="shared" si="10"/>
        <v>0.99271324474924982</v>
      </c>
      <c r="D18" s="4">
        <f t="shared" si="14"/>
        <v>116.65</v>
      </c>
      <c r="E18" s="18">
        <v>296.22000000000003</v>
      </c>
      <c r="F18" s="18">
        <v>31.01</v>
      </c>
      <c r="G18" s="13">
        <v>84.19</v>
      </c>
      <c r="H18" s="18">
        <v>1.45</v>
      </c>
      <c r="I18" s="14">
        <v>64.33</v>
      </c>
      <c r="J18" s="17" t="s">
        <v>23</v>
      </c>
      <c r="K18" s="5">
        <f t="shared" si="11"/>
        <v>6.749190938511326</v>
      </c>
      <c r="L18" s="5">
        <f t="shared" si="12"/>
        <v>1.0728155339805825</v>
      </c>
      <c r="M18" s="4">
        <f t="shared" si="13"/>
        <v>6.18</v>
      </c>
      <c r="N18" s="18">
        <v>14.18</v>
      </c>
      <c r="O18" s="18">
        <v>1.1399999999999999</v>
      </c>
      <c r="P18" s="13">
        <v>4.76</v>
      </c>
      <c r="Q18" s="18">
        <v>0.28000000000000003</v>
      </c>
      <c r="R18" s="14">
        <v>3.95</v>
      </c>
      <c r="S18" s="17" t="s">
        <v>23</v>
      </c>
      <c r="T18" s="5">
        <f t="shared" si="0"/>
        <v>0.63900000000000001</v>
      </c>
      <c r="U18" s="5">
        <f t="shared" si="1"/>
        <v>0.92500000000000004</v>
      </c>
      <c r="V18" s="4">
        <f t="shared" si="2"/>
        <v>18.875</v>
      </c>
      <c r="W18" s="18">
        <f t="shared" si="3"/>
        <v>20.89</v>
      </c>
      <c r="X18" s="18">
        <f t="shared" si="4"/>
        <v>27.202000000000002</v>
      </c>
      <c r="Y18" s="13">
        <f t="shared" si="5"/>
        <v>17.687000000000001</v>
      </c>
      <c r="Z18" s="18">
        <f t="shared" si="6"/>
        <v>5.1790000000000003</v>
      </c>
      <c r="AA18" s="14">
        <f t="shared" si="7"/>
        <v>16.286000000000001</v>
      </c>
    </row>
    <row r="19" spans="1:27" ht="14.25" customHeight="1" x14ac:dyDescent="0.2">
      <c r="A19" s="17" t="s">
        <v>24</v>
      </c>
      <c r="B19" s="5">
        <f t="shared" si="9"/>
        <v>4.4446212322107304</v>
      </c>
      <c r="C19" s="5">
        <f t="shared" si="10"/>
        <v>1.0311146468664367</v>
      </c>
      <c r="D19" s="4">
        <f t="shared" si="14"/>
        <v>113.13000000000001</v>
      </c>
      <c r="E19" s="9">
        <v>294.64</v>
      </c>
      <c r="F19" s="9">
        <v>30.59</v>
      </c>
      <c r="G19" s="13">
        <v>81.010000000000005</v>
      </c>
      <c r="H19" s="9">
        <v>1.53</v>
      </c>
      <c r="I19" s="10">
        <v>63.79</v>
      </c>
      <c r="J19" s="17" t="s">
        <v>24</v>
      </c>
      <c r="K19" s="5">
        <f t="shared" si="11"/>
        <v>7.6252285191956117</v>
      </c>
      <c r="L19" s="5">
        <f t="shared" si="12"/>
        <v>1.129798903107861</v>
      </c>
      <c r="M19" s="4">
        <f t="shared" si="13"/>
        <v>5.47</v>
      </c>
      <c r="N19" s="9">
        <v>14.02</v>
      </c>
      <c r="O19" s="9">
        <v>1.18</v>
      </c>
      <c r="P19" s="13">
        <v>4</v>
      </c>
      <c r="Q19" s="9">
        <v>0.28999999999999998</v>
      </c>
      <c r="R19" s="10">
        <v>3.58</v>
      </c>
      <c r="S19" s="17" t="s">
        <v>24</v>
      </c>
      <c r="T19" s="5">
        <f t="shared" si="0"/>
        <v>0.58299999999999996</v>
      </c>
      <c r="U19" s="5">
        <f t="shared" si="1"/>
        <v>0.91300000000000003</v>
      </c>
      <c r="V19" s="4">
        <f t="shared" si="2"/>
        <v>20.681999999999999</v>
      </c>
      <c r="W19" s="9">
        <f t="shared" si="3"/>
        <v>21.015999999999998</v>
      </c>
      <c r="X19" s="9">
        <f t="shared" si="4"/>
        <v>25.923999999999999</v>
      </c>
      <c r="Y19" s="13">
        <f t="shared" si="5"/>
        <v>20.253</v>
      </c>
      <c r="Z19" s="9">
        <f t="shared" si="6"/>
        <v>5.2759999999999998</v>
      </c>
      <c r="AA19" s="10">
        <f t="shared" si="7"/>
        <v>17.818000000000001</v>
      </c>
    </row>
    <row r="20" spans="1:27" ht="14.25" customHeight="1" x14ac:dyDescent="0.2">
      <c r="A20" s="17" t="s">
        <v>27</v>
      </c>
      <c r="B20" s="2">
        <f t="shared" si="9"/>
        <v>5.1151576805696832</v>
      </c>
      <c r="C20" s="2">
        <f t="shared" si="10"/>
        <v>1.1508646998982706</v>
      </c>
      <c r="D20" s="6">
        <f t="shared" si="14"/>
        <v>98.300000000000011</v>
      </c>
      <c r="E20" s="18">
        <v>293.48</v>
      </c>
      <c r="F20" s="9">
        <v>30.47</v>
      </c>
      <c r="G20" s="13">
        <v>66.400000000000006</v>
      </c>
      <c r="H20" s="9">
        <v>1.43</v>
      </c>
      <c r="I20" s="14">
        <v>47.88</v>
      </c>
      <c r="J20" s="17" t="s">
        <v>27</v>
      </c>
      <c r="K20" s="2">
        <f t="shared" si="11"/>
        <v>9.0281385281385269</v>
      </c>
      <c r="L20" s="2">
        <f t="shared" si="12"/>
        <v>1.1839826839826839</v>
      </c>
      <c r="M20" s="6">
        <f t="shared" si="13"/>
        <v>4.62</v>
      </c>
      <c r="N20" s="18">
        <v>13.8</v>
      </c>
      <c r="O20" s="9">
        <v>1.17</v>
      </c>
      <c r="P20" s="13">
        <v>3.16</v>
      </c>
      <c r="Q20" s="9">
        <v>0.28999999999999998</v>
      </c>
      <c r="R20" s="14">
        <v>3.03</v>
      </c>
      <c r="S20" s="17" t="s">
        <v>27</v>
      </c>
      <c r="T20" s="2">
        <f t="shared" si="0"/>
        <v>0.56699999999999995</v>
      </c>
      <c r="U20" s="2">
        <f t="shared" si="1"/>
        <v>0.97199999999999998</v>
      </c>
      <c r="V20" s="6">
        <f t="shared" si="2"/>
        <v>21.277000000000001</v>
      </c>
      <c r="W20" s="18">
        <f t="shared" si="3"/>
        <v>21.266999999999999</v>
      </c>
      <c r="X20" s="9">
        <f t="shared" si="4"/>
        <v>26.042999999999999</v>
      </c>
      <c r="Y20" s="13">
        <f t="shared" si="5"/>
        <v>21.013000000000002</v>
      </c>
      <c r="Z20" s="9">
        <f t="shared" si="6"/>
        <v>4.931</v>
      </c>
      <c r="AA20" s="14">
        <f t="shared" si="7"/>
        <v>15.802</v>
      </c>
    </row>
    <row r="21" spans="1:27" ht="14.25" customHeight="1" x14ac:dyDescent="0.2">
      <c r="A21" s="17" t="s">
        <v>25</v>
      </c>
      <c r="B21" s="2">
        <f t="shared" si="9"/>
        <v>5.6281620774569054</v>
      </c>
      <c r="C21" s="2">
        <f t="shared" si="10"/>
        <v>1.1002910230579808</v>
      </c>
      <c r="D21" s="6">
        <f t="shared" ref="D21" si="15">SUM(F21:H21)</f>
        <v>89.34</v>
      </c>
      <c r="E21" s="18">
        <v>294.85000000000002</v>
      </c>
      <c r="F21" s="18">
        <v>30.53</v>
      </c>
      <c r="G21" s="13">
        <v>57.4</v>
      </c>
      <c r="H21" s="18">
        <v>1.41</v>
      </c>
      <c r="I21" s="14">
        <v>44.6</v>
      </c>
      <c r="J21" s="17" t="s">
        <v>25</v>
      </c>
      <c r="K21" s="2">
        <f t="shared" si="11"/>
        <v>11.00527704485488</v>
      </c>
      <c r="L21" s="2">
        <f t="shared" si="12"/>
        <v>1.2189973614775726</v>
      </c>
      <c r="M21" s="6">
        <f t="shared" si="13"/>
        <v>3.79</v>
      </c>
      <c r="N21" s="18">
        <v>14.3</v>
      </c>
      <c r="O21" s="18">
        <v>1.1499999999999999</v>
      </c>
      <c r="P21" s="13">
        <v>2.36</v>
      </c>
      <c r="Q21" s="18">
        <v>0.28000000000000003</v>
      </c>
      <c r="R21" s="14">
        <v>1.89</v>
      </c>
      <c r="S21" s="17" t="s">
        <v>25</v>
      </c>
      <c r="T21" s="2">
        <f t="shared" ref="T21" si="16">ROUND(B21/K21,3)</f>
        <v>0.51100000000000001</v>
      </c>
      <c r="U21" s="2">
        <f t="shared" ref="U21" si="17">ROUND(C21/L21,3)</f>
        <v>0.90300000000000002</v>
      </c>
      <c r="V21" s="6">
        <f t="shared" ref="V21" si="18">ROUND(D21/M21,3)</f>
        <v>23.573</v>
      </c>
      <c r="W21" s="18">
        <f t="shared" ref="W21" si="19">ROUND(E21/N21,3)</f>
        <v>20.619</v>
      </c>
      <c r="X21" s="18">
        <f t="shared" ref="X21" si="20">ROUND(F21/O21,3)</f>
        <v>26.547999999999998</v>
      </c>
      <c r="Y21" s="13">
        <f t="shared" ref="Y21" si="21">ROUND(G21/P21,3)</f>
        <v>24.321999999999999</v>
      </c>
      <c r="Z21" s="18">
        <f t="shared" ref="Z21" si="22">ROUND(H21/Q21,3)</f>
        <v>5.0359999999999996</v>
      </c>
      <c r="AA21" s="14">
        <f t="shared" ref="AA21" si="23">ROUND(I21/R21,3)</f>
        <v>23.597999999999999</v>
      </c>
    </row>
    <row r="22" spans="1:27" ht="14.25" customHeight="1" x14ac:dyDescent="0.2">
      <c r="A22" s="17" t="s">
        <v>30</v>
      </c>
      <c r="B22" s="2">
        <f t="shared" ref="B22" si="24">D$2/D22</f>
        <v>7.111016829302784</v>
      </c>
      <c r="C22" s="2">
        <f t="shared" ref="C22" si="25">D21/D22</f>
        <v>1.2634705133644462</v>
      </c>
      <c r="D22" s="6">
        <f t="shared" ref="D22" si="26">SUM(F22:H22)</f>
        <v>70.710000000000008</v>
      </c>
      <c r="E22" s="9">
        <v>294.77</v>
      </c>
      <c r="F22" s="9">
        <v>30.51</v>
      </c>
      <c r="G22" s="13">
        <v>38.659999999999997</v>
      </c>
      <c r="H22" s="9">
        <v>1.54</v>
      </c>
      <c r="I22" s="14">
        <v>27.42</v>
      </c>
      <c r="J22" s="17" t="s">
        <v>30</v>
      </c>
      <c r="K22" s="2">
        <f t="shared" ref="K22:K24" si="27">M$2/M22</f>
        <v>12.913312693498451</v>
      </c>
      <c r="L22" s="2">
        <f t="shared" ref="L22:L24" si="28">M21/M22</f>
        <v>1.173374613003096</v>
      </c>
      <c r="M22" s="6">
        <f t="shared" ref="M22:M24" si="29">SUM(O22:Q22)</f>
        <v>3.23</v>
      </c>
      <c r="N22" s="9">
        <v>13.94</v>
      </c>
      <c r="O22" s="9">
        <v>1.2</v>
      </c>
      <c r="P22" s="13">
        <v>1.76</v>
      </c>
      <c r="Q22" s="9">
        <v>0.27</v>
      </c>
      <c r="R22" s="14">
        <v>1.34</v>
      </c>
      <c r="S22" s="17" t="s">
        <v>30</v>
      </c>
      <c r="T22" s="2">
        <f t="shared" ref="T22" si="30">ROUND(B22/K22,3)</f>
        <v>0.55100000000000005</v>
      </c>
      <c r="U22" s="2">
        <f t="shared" ref="U22" si="31">ROUND(C22/L22,3)</f>
        <v>1.077</v>
      </c>
      <c r="V22" s="6">
        <f t="shared" ref="V22" si="32">ROUND(D22/M22,3)</f>
        <v>21.891999999999999</v>
      </c>
      <c r="W22" s="9">
        <f t="shared" ref="W22" si="33">ROUND(E22/N22,3)</f>
        <v>21.146000000000001</v>
      </c>
      <c r="X22" s="9">
        <f t="shared" ref="X22" si="34">ROUND(F22/O22,3)</f>
        <v>25.425000000000001</v>
      </c>
      <c r="Y22" s="13">
        <f t="shared" ref="Y22" si="35">ROUND(G22/P22,3)</f>
        <v>21.966000000000001</v>
      </c>
      <c r="Z22" s="9">
        <f t="shared" ref="Z22" si="36">ROUND(H22/Q22,3)</f>
        <v>5.7039999999999997</v>
      </c>
      <c r="AA22" s="14">
        <f t="shared" ref="AA22" si="37">ROUND(I22/R22,3)</f>
        <v>20.463000000000001</v>
      </c>
    </row>
    <row r="23" spans="1:27" ht="14.25" customHeight="1" x14ac:dyDescent="0.2">
      <c r="A23" s="17" t="s">
        <v>31</v>
      </c>
      <c r="B23" s="5">
        <f t="shared" ref="B23" si="38">D$2/D23</f>
        <v>6.9392768423958033</v>
      </c>
      <c r="C23" s="5">
        <f t="shared" ref="C23" si="39">D22/D23</f>
        <v>0.97584874413469502</v>
      </c>
      <c r="D23" s="6">
        <f t="shared" ref="D23" si="40">SUM(F23:H23)</f>
        <v>72.460000000000008</v>
      </c>
      <c r="E23" s="13">
        <v>245.07</v>
      </c>
      <c r="F23" s="9">
        <v>31.89</v>
      </c>
      <c r="G23" s="9">
        <v>39.07</v>
      </c>
      <c r="H23" s="9">
        <v>1.5</v>
      </c>
      <c r="I23" s="10">
        <v>27.8</v>
      </c>
      <c r="J23" s="17" t="s">
        <v>31</v>
      </c>
      <c r="K23" s="5">
        <f t="shared" si="27"/>
        <v>13.241269841269839</v>
      </c>
      <c r="L23" s="5">
        <f t="shared" si="28"/>
        <v>1.0253968253968253</v>
      </c>
      <c r="M23" s="6">
        <f t="shared" si="29"/>
        <v>3.1500000000000004</v>
      </c>
      <c r="N23" s="13">
        <v>11.42</v>
      </c>
      <c r="O23" s="9">
        <v>1.1399999999999999</v>
      </c>
      <c r="P23" s="9">
        <v>1.73</v>
      </c>
      <c r="Q23" s="9">
        <v>0.28000000000000003</v>
      </c>
      <c r="R23" s="10">
        <v>1.31</v>
      </c>
      <c r="S23" s="17" t="s">
        <v>31</v>
      </c>
      <c r="T23" s="5">
        <f t="shared" ref="T23" si="41">ROUND(B23/K23,3)</f>
        <v>0.52400000000000002</v>
      </c>
      <c r="U23" s="5">
        <f t="shared" ref="U23" si="42">ROUND(C23/L23,3)</f>
        <v>0.95199999999999996</v>
      </c>
      <c r="V23" s="6">
        <f t="shared" ref="V23" si="43">ROUND(D23/M23,3)</f>
        <v>23.003</v>
      </c>
      <c r="W23" s="13">
        <f t="shared" ref="W23" si="44">ROUND(E23/N23,3)</f>
        <v>21.46</v>
      </c>
      <c r="X23" s="9">
        <f t="shared" ref="X23" si="45">ROUND(F23/O23,3)</f>
        <v>27.974</v>
      </c>
      <c r="Y23" s="9">
        <f t="shared" ref="Y23" si="46">ROUND(G23/P23,3)</f>
        <v>22.584</v>
      </c>
      <c r="Z23" s="9">
        <f t="shared" ref="Z23" si="47">ROUND(H23/Q23,3)</f>
        <v>5.3570000000000002</v>
      </c>
      <c r="AA23" s="10">
        <f t="shared" ref="AA23" si="48">ROUND(I23/R23,3)</f>
        <v>21.221</v>
      </c>
    </row>
    <row r="24" spans="1:27" ht="14.25" customHeight="1" x14ac:dyDescent="0.2">
      <c r="A24" s="17" t="s">
        <v>32</v>
      </c>
      <c r="B24" s="2">
        <f t="shared" ref="B24" si="49">D$2/D24</f>
        <v>7.9800031740993482</v>
      </c>
      <c r="C24" s="2">
        <f t="shared" ref="C24" si="50">D23/D24</f>
        <v>1.1499761942548803</v>
      </c>
      <c r="D24" s="6">
        <f t="shared" ref="D24" si="51">SUM(F24:H24)</f>
        <v>63.01</v>
      </c>
      <c r="E24" s="9">
        <v>263.2</v>
      </c>
      <c r="F24" s="9">
        <v>32.31</v>
      </c>
      <c r="G24" s="13">
        <v>29.29</v>
      </c>
      <c r="H24" s="9">
        <v>1.41</v>
      </c>
      <c r="I24" s="14">
        <v>21</v>
      </c>
      <c r="J24" s="17" t="s">
        <v>32</v>
      </c>
      <c r="K24" s="2">
        <f t="shared" si="27"/>
        <v>14.949820788530463</v>
      </c>
      <c r="L24" s="2">
        <f t="shared" si="28"/>
        <v>1.1290322580645162</v>
      </c>
      <c r="M24" s="6">
        <f t="shared" si="29"/>
        <v>2.79</v>
      </c>
      <c r="N24" s="9">
        <v>11.46</v>
      </c>
      <c r="O24" s="9">
        <v>1.1299999999999999</v>
      </c>
      <c r="P24" s="13">
        <v>1.38</v>
      </c>
      <c r="Q24" s="9">
        <v>0.28000000000000003</v>
      </c>
      <c r="R24" s="14">
        <v>1.01</v>
      </c>
      <c r="S24" s="17" t="s">
        <v>32</v>
      </c>
      <c r="T24" s="2">
        <f t="shared" ref="T24" si="52">ROUND(B24/K24,3)</f>
        <v>0.53400000000000003</v>
      </c>
      <c r="U24" s="2">
        <f t="shared" ref="U24" si="53">ROUND(C24/L24,3)</f>
        <v>1.0189999999999999</v>
      </c>
      <c r="V24" s="6">
        <f t="shared" ref="V24" si="54">ROUND(D24/M24,3)</f>
        <v>22.584</v>
      </c>
      <c r="W24" s="9">
        <f t="shared" ref="W24" si="55">ROUND(E24/N24,3)</f>
        <v>22.966999999999999</v>
      </c>
      <c r="X24" s="9">
        <f t="shared" ref="X24" si="56">ROUND(F24/O24,3)</f>
        <v>28.593</v>
      </c>
      <c r="Y24" s="13">
        <f t="shared" ref="Y24" si="57">ROUND(G24/P24,3)</f>
        <v>21.225000000000001</v>
      </c>
      <c r="Z24" s="9">
        <f t="shared" ref="Z24" si="58">ROUND(H24/Q24,3)</f>
        <v>5.0359999999999996</v>
      </c>
      <c r="AA24" s="14">
        <f t="shared" ref="AA24" si="59">ROUND(I24/R24,3)</f>
        <v>20.792000000000002</v>
      </c>
    </row>
    <row r="25" spans="1:27" ht="14.25" customHeight="1" x14ac:dyDescent="0.2">
      <c r="A25" s="17" t="s">
        <v>33</v>
      </c>
      <c r="B25" s="2">
        <f t="shared" ref="B25" si="60">D$2/D25</f>
        <v>8.3636061210911503</v>
      </c>
      <c r="C25" s="2">
        <f t="shared" ref="C25" si="61">D24/D25</f>
        <v>1.0480705256154359</v>
      </c>
      <c r="D25" s="6">
        <f t="shared" ref="D25" si="62">SUM(F25:H25)</f>
        <v>60.12</v>
      </c>
      <c r="E25" s="9">
        <v>244.44</v>
      </c>
      <c r="F25" s="9">
        <v>31.77</v>
      </c>
      <c r="G25" s="13">
        <v>26.74</v>
      </c>
      <c r="H25" s="9">
        <v>1.61</v>
      </c>
      <c r="I25" s="14">
        <v>18.14</v>
      </c>
      <c r="J25" s="17" t="s">
        <v>33</v>
      </c>
      <c r="K25" s="2">
        <f t="shared" ref="K25:K27" si="63">M$2/M25</f>
        <v>15.919847328244272</v>
      </c>
      <c r="L25" s="2">
        <f t="shared" ref="L25:L27" si="64">M24/M25</f>
        <v>1.0648854961832062</v>
      </c>
      <c r="M25" s="6">
        <f t="shared" ref="M25:M27" si="65">SUM(O25:Q25)</f>
        <v>2.62</v>
      </c>
      <c r="N25" s="9">
        <v>11.44</v>
      </c>
      <c r="O25" s="9">
        <v>1.1100000000000001</v>
      </c>
      <c r="P25" s="13">
        <v>1.23</v>
      </c>
      <c r="Q25" s="9">
        <v>0.28000000000000003</v>
      </c>
      <c r="R25" s="14">
        <v>0.9</v>
      </c>
      <c r="S25" s="17" t="s">
        <v>33</v>
      </c>
      <c r="T25" s="2">
        <f t="shared" ref="T25" si="66">ROUND(B25/K25,3)</f>
        <v>0.52500000000000002</v>
      </c>
      <c r="U25" s="2">
        <f t="shared" ref="U25" si="67">ROUND(C25/L25,3)</f>
        <v>0.98399999999999999</v>
      </c>
      <c r="V25" s="6">
        <f t="shared" ref="V25" si="68">ROUND(D25/M25,3)</f>
        <v>22.946999999999999</v>
      </c>
      <c r="W25" s="9">
        <f t="shared" ref="W25" si="69">ROUND(E25/N25,3)</f>
        <v>21.367000000000001</v>
      </c>
      <c r="X25" s="9">
        <f t="shared" ref="X25" si="70">ROUND(F25/O25,3)</f>
        <v>28.622</v>
      </c>
      <c r="Y25" s="13">
        <f t="shared" ref="Y25" si="71">ROUND(G25/P25,3)</f>
        <v>21.74</v>
      </c>
      <c r="Z25" s="9">
        <f t="shared" ref="Z25" si="72">ROUND(H25/Q25,3)</f>
        <v>5.75</v>
      </c>
      <c r="AA25" s="14">
        <f t="shared" ref="AA25" si="73">ROUND(I25/R25,3)</f>
        <v>20.155999999999999</v>
      </c>
    </row>
    <row r="26" spans="1:27" ht="14.25" customHeight="1" x14ac:dyDescent="0.2">
      <c r="A26" s="17" t="s">
        <v>34</v>
      </c>
      <c r="B26" s="2">
        <f t="shared" ref="B26" si="74">D$2/D26</f>
        <v>9.3132061492869038</v>
      </c>
      <c r="C26" s="2">
        <f t="shared" ref="C26" si="75">D25/D26</f>
        <v>1.1135395443600666</v>
      </c>
      <c r="D26" s="6">
        <f t="shared" ref="D26" si="76">SUM(F26:H26)</f>
        <v>53.99</v>
      </c>
      <c r="E26" s="9">
        <v>243.14</v>
      </c>
      <c r="F26" s="9">
        <v>31.66</v>
      </c>
      <c r="G26" s="13">
        <v>20.87</v>
      </c>
      <c r="H26" s="9">
        <v>1.46</v>
      </c>
      <c r="I26" s="14">
        <v>16.89</v>
      </c>
      <c r="J26" s="17" t="s">
        <v>34</v>
      </c>
      <c r="K26" s="2">
        <f t="shared" si="63"/>
        <v>17.379166666666666</v>
      </c>
      <c r="L26" s="2">
        <f t="shared" si="64"/>
        <v>1.0916666666666668</v>
      </c>
      <c r="M26" s="6">
        <f t="shared" si="65"/>
        <v>2.4</v>
      </c>
      <c r="N26" s="9">
        <v>11.49</v>
      </c>
      <c r="O26" s="9">
        <v>1.0900000000000001</v>
      </c>
      <c r="P26" s="13">
        <v>1.04</v>
      </c>
      <c r="Q26" s="9">
        <v>0.27</v>
      </c>
      <c r="R26" s="14">
        <v>0.87</v>
      </c>
      <c r="S26" s="17" t="s">
        <v>34</v>
      </c>
      <c r="T26" s="2">
        <f t="shared" ref="T26" si="77">ROUND(B26/K26,3)</f>
        <v>0.53600000000000003</v>
      </c>
      <c r="U26" s="2">
        <f t="shared" ref="U26" si="78">ROUND(C26/L26,3)</f>
        <v>1.02</v>
      </c>
      <c r="V26" s="6">
        <f t="shared" ref="V26" si="79">ROUND(D26/M26,3)</f>
        <v>22.495999999999999</v>
      </c>
      <c r="W26" s="9">
        <f t="shared" ref="W26" si="80">ROUND(E26/N26,3)</f>
        <v>21.161000000000001</v>
      </c>
      <c r="X26" s="9">
        <f t="shared" ref="X26" si="81">ROUND(F26/O26,3)</f>
        <v>29.045999999999999</v>
      </c>
      <c r="Y26" s="13">
        <f t="shared" ref="Y26" si="82">ROUND(G26/P26,3)</f>
        <v>20.067</v>
      </c>
      <c r="Z26" s="9">
        <f t="shared" ref="Z26" si="83">ROUND(H26/Q26,3)</f>
        <v>5.407</v>
      </c>
      <c r="AA26" s="14">
        <f t="shared" ref="AA26" si="84">ROUND(I26/R26,3)</f>
        <v>19.414000000000001</v>
      </c>
    </row>
    <row r="27" spans="1:27" ht="14.25" customHeight="1" x14ac:dyDescent="0.2">
      <c r="A27" s="17" t="s">
        <v>35</v>
      </c>
      <c r="B27" s="2">
        <f t="shared" ref="B27" si="85">D$2/D27</f>
        <v>10.481967896602042</v>
      </c>
      <c r="C27" s="2">
        <f t="shared" ref="C27" si="86">D26/D27</f>
        <v>1.1254951011048573</v>
      </c>
      <c r="D27" s="6">
        <f t="shared" ref="D27" si="87">SUM(F27:H27)</f>
        <v>47.97</v>
      </c>
      <c r="E27" s="9">
        <v>244.45</v>
      </c>
      <c r="F27" s="13">
        <v>25.66</v>
      </c>
      <c r="G27" s="9">
        <v>20.75</v>
      </c>
      <c r="H27" s="9">
        <v>1.56</v>
      </c>
      <c r="I27" s="10">
        <v>16.809999999999999</v>
      </c>
      <c r="J27" s="17" t="s">
        <v>35</v>
      </c>
      <c r="K27" s="2">
        <f t="shared" si="63"/>
        <v>18.134782608695648</v>
      </c>
      <c r="L27" s="2">
        <f t="shared" si="64"/>
        <v>1.043478260869565</v>
      </c>
      <c r="M27" s="6">
        <f t="shared" si="65"/>
        <v>2.3000000000000003</v>
      </c>
      <c r="N27" s="9">
        <v>11.49</v>
      </c>
      <c r="O27" s="13">
        <v>0.98</v>
      </c>
      <c r="P27" s="9">
        <v>1.05</v>
      </c>
      <c r="Q27" s="9">
        <v>0.27</v>
      </c>
      <c r="R27" s="10">
        <v>0.87</v>
      </c>
      <c r="S27" s="17" t="s">
        <v>35</v>
      </c>
      <c r="T27" s="2">
        <f t="shared" ref="T27" si="88">ROUND(B27/K27,3)</f>
        <v>0.57799999999999996</v>
      </c>
      <c r="U27" s="2">
        <f t="shared" ref="U27" si="89">ROUND(C27/L27,3)</f>
        <v>1.079</v>
      </c>
      <c r="V27" s="6">
        <f t="shared" ref="V27" si="90">ROUND(D27/M27,3)</f>
        <v>20.856999999999999</v>
      </c>
      <c r="W27" s="9">
        <f t="shared" ref="W27" si="91">ROUND(E27/N27,3)</f>
        <v>21.274999999999999</v>
      </c>
      <c r="X27" s="13">
        <f t="shared" ref="X27" si="92">ROUND(F27/O27,3)</f>
        <v>26.184000000000001</v>
      </c>
      <c r="Y27" s="9">
        <f t="shared" ref="Y27" si="93">ROUND(G27/P27,3)</f>
        <v>19.762</v>
      </c>
      <c r="Z27" s="9">
        <f t="shared" ref="Z27" si="94">ROUND(H27/Q27,3)</f>
        <v>5.7779999999999996</v>
      </c>
      <c r="AA27" s="10">
        <f t="shared" ref="AA27" si="95">ROUND(I27/R27,3)</f>
        <v>19.321999999999999</v>
      </c>
    </row>
    <row r="28" spans="1:27" ht="14.25" customHeight="1" x14ac:dyDescent="0.2">
      <c r="A28" s="17" t="s">
        <v>36</v>
      </c>
      <c r="B28" s="2">
        <f t="shared" ref="B28" si="96">D$2/D28</f>
        <v>10.947528848247332</v>
      </c>
      <c r="C28" s="2">
        <f t="shared" ref="C28" si="97">D27/D28</f>
        <v>1.0444154147615936</v>
      </c>
      <c r="D28" s="6">
        <f t="shared" ref="D28" si="98">SUM(F28:H28)</f>
        <v>45.93</v>
      </c>
      <c r="E28" s="9">
        <v>245.89</v>
      </c>
      <c r="F28" s="9">
        <v>25.38</v>
      </c>
      <c r="G28" s="13">
        <v>19.059999999999999</v>
      </c>
      <c r="H28" s="9">
        <v>1.49</v>
      </c>
      <c r="I28" s="14">
        <v>14.59</v>
      </c>
      <c r="J28" s="17" t="s">
        <v>36</v>
      </c>
      <c r="K28" s="2">
        <f t="shared" ref="K28" si="99">M$2/M28</f>
        <v>19.490654205607473</v>
      </c>
      <c r="L28" s="2">
        <f t="shared" ref="L28" si="100">M27/M28</f>
        <v>1.0747663551401869</v>
      </c>
      <c r="M28" s="6">
        <f t="shared" ref="M28" si="101">SUM(O28:Q28)</f>
        <v>2.14</v>
      </c>
      <c r="N28" s="9">
        <v>11.39</v>
      </c>
      <c r="O28" s="9">
        <v>0.91</v>
      </c>
      <c r="P28" s="13">
        <v>0.96</v>
      </c>
      <c r="Q28" s="9">
        <v>0.27</v>
      </c>
      <c r="R28" s="14">
        <v>0.76</v>
      </c>
      <c r="S28" s="17" t="s">
        <v>36</v>
      </c>
      <c r="T28" s="2">
        <f t="shared" ref="T28" si="102">ROUND(B28/K28,3)</f>
        <v>0.56200000000000006</v>
      </c>
      <c r="U28" s="2">
        <f t="shared" ref="U28" si="103">ROUND(C28/L28,3)</f>
        <v>0.97199999999999998</v>
      </c>
      <c r="V28" s="6">
        <f t="shared" ref="V28" si="104">ROUND(D28/M28,3)</f>
        <v>21.463000000000001</v>
      </c>
      <c r="W28" s="9">
        <f t="shared" ref="W28" si="105">ROUND(E28/N28,3)</f>
        <v>21.588000000000001</v>
      </c>
      <c r="X28" s="9">
        <f t="shared" ref="X28" si="106">ROUND(F28/O28,3)</f>
        <v>27.89</v>
      </c>
      <c r="Y28" s="13">
        <f t="shared" ref="Y28" si="107">ROUND(G28/P28,3)</f>
        <v>19.853999999999999</v>
      </c>
      <c r="Z28" s="9">
        <f t="shared" ref="Z28" si="108">ROUND(H28/Q28,3)</f>
        <v>5.5190000000000001</v>
      </c>
      <c r="AA28" s="14">
        <f t="shared" ref="AA28" si="109">ROUND(I28/R28,3)</f>
        <v>19.196999999999999</v>
      </c>
    </row>
    <row r="29" spans="1:27" ht="14.25" customHeight="1" x14ac:dyDescent="0.2">
      <c r="A29" s="17" t="s">
        <v>37</v>
      </c>
      <c r="B29" s="2">
        <f t="shared" ref="B29" si="110">D$2/D29</f>
        <v>13.033177812337998</v>
      </c>
      <c r="C29" s="2">
        <f t="shared" ref="C29" si="111">D28/D29</f>
        <v>1.1905132192846035</v>
      </c>
      <c r="D29" s="6">
        <f t="shared" ref="D29" si="112">SUM(F29:H29)</f>
        <v>38.58</v>
      </c>
      <c r="E29" s="9">
        <v>243.45</v>
      </c>
      <c r="F29" s="9">
        <v>24.9</v>
      </c>
      <c r="G29" s="13">
        <v>12.11</v>
      </c>
      <c r="H29" s="9">
        <v>1.57</v>
      </c>
      <c r="I29" s="19">
        <v>15.35</v>
      </c>
      <c r="J29" s="17" t="s">
        <v>37</v>
      </c>
      <c r="K29" s="2">
        <f t="shared" ref="K29:K30" si="113">M$2/M29</f>
        <v>22.792349726775953</v>
      </c>
      <c r="L29" s="2">
        <f t="shared" ref="L29:L30" si="114">M28/M29</f>
        <v>1.1693989071038251</v>
      </c>
      <c r="M29" s="6">
        <f t="shared" ref="M29:M30" si="115">SUM(O29:Q29)</f>
        <v>1.83</v>
      </c>
      <c r="N29" s="9">
        <v>11.6</v>
      </c>
      <c r="O29" s="9">
        <v>0.92</v>
      </c>
      <c r="P29" s="13">
        <v>0.64</v>
      </c>
      <c r="Q29" s="9">
        <v>0.27</v>
      </c>
      <c r="R29" s="19">
        <v>0.76</v>
      </c>
      <c r="S29" s="17" t="s">
        <v>37</v>
      </c>
      <c r="T29" s="2">
        <f t="shared" ref="T29" si="116">ROUND(B29/K29,3)</f>
        <v>0.57199999999999995</v>
      </c>
      <c r="U29" s="2">
        <f t="shared" ref="U29" si="117">ROUND(C29/L29,3)</f>
        <v>1.018</v>
      </c>
      <c r="V29" s="6">
        <f t="shared" ref="V29" si="118">ROUND(D29/M29,3)</f>
        <v>21.082000000000001</v>
      </c>
      <c r="W29" s="9">
        <f t="shared" ref="W29" si="119">ROUND(E29/N29,3)</f>
        <v>20.986999999999998</v>
      </c>
      <c r="X29" s="9">
        <f t="shared" ref="X29" si="120">ROUND(F29/O29,3)</f>
        <v>27.065000000000001</v>
      </c>
      <c r="Y29" s="13">
        <f t="shared" ref="Y29" si="121">ROUND(G29/P29,3)</f>
        <v>18.922000000000001</v>
      </c>
      <c r="Z29" s="9">
        <f t="shared" ref="Z29" si="122">ROUND(H29/Q29,3)</f>
        <v>5.8150000000000004</v>
      </c>
      <c r="AA29" s="19">
        <f t="shared" ref="AA29" si="123">ROUND(I29/R29,3)</f>
        <v>20.196999999999999</v>
      </c>
    </row>
    <row r="30" spans="1:27" ht="14.25" customHeight="1" x14ac:dyDescent="0.2">
      <c r="A30" s="17" t="s">
        <v>38</v>
      </c>
      <c r="B30" s="5">
        <f t="shared" ref="B30" si="124">D$2/D30</f>
        <v>13.090861754751366</v>
      </c>
      <c r="C30" s="5">
        <f t="shared" ref="C30" si="125">D29/D30</f>
        <v>1.0044259307472012</v>
      </c>
      <c r="D30" s="4">
        <f t="shared" ref="D30" si="126">SUM(F30:H30)</f>
        <v>38.409999999999997</v>
      </c>
      <c r="E30" s="13">
        <v>203.17</v>
      </c>
      <c r="F30" s="9">
        <v>25.03</v>
      </c>
      <c r="G30" s="9">
        <v>11.97</v>
      </c>
      <c r="H30" s="9">
        <v>1.41</v>
      </c>
      <c r="I30" s="10">
        <v>14.57</v>
      </c>
      <c r="J30" s="17" t="s">
        <v>38</v>
      </c>
      <c r="K30" s="5">
        <f t="shared" si="113"/>
        <v>22.424731182795693</v>
      </c>
      <c r="L30" s="5">
        <f t="shared" si="114"/>
        <v>0.9838709677419355</v>
      </c>
      <c r="M30" s="4">
        <f t="shared" si="115"/>
        <v>1.86</v>
      </c>
      <c r="N30" s="13">
        <v>9.52</v>
      </c>
      <c r="O30" s="9">
        <v>0.95</v>
      </c>
      <c r="P30" s="9">
        <v>0.65</v>
      </c>
      <c r="Q30" s="9">
        <v>0.26</v>
      </c>
      <c r="R30" s="10">
        <v>0.77</v>
      </c>
      <c r="S30" s="17" t="s">
        <v>38</v>
      </c>
      <c r="T30" s="5">
        <f t="shared" ref="T30" si="127">ROUND(B30/K30,3)</f>
        <v>0.58399999999999996</v>
      </c>
      <c r="U30" s="5">
        <f t="shared" ref="U30" si="128">ROUND(C30/L30,3)</f>
        <v>1.0209999999999999</v>
      </c>
      <c r="V30" s="4">
        <f t="shared" ref="V30" si="129">ROUND(D30/M30,3)</f>
        <v>20.651</v>
      </c>
      <c r="W30" s="13">
        <f t="shared" ref="W30" si="130">ROUND(E30/N30,3)</f>
        <v>21.341000000000001</v>
      </c>
      <c r="X30" s="9">
        <f t="shared" ref="X30" si="131">ROUND(F30/O30,3)</f>
        <v>26.347000000000001</v>
      </c>
      <c r="Y30" s="9">
        <f t="shared" ref="Y30" si="132">ROUND(G30/P30,3)</f>
        <v>18.414999999999999</v>
      </c>
      <c r="Z30" s="9">
        <f t="shared" ref="Z30" si="133">ROUND(H30/Q30,3)</f>
        <v>5.423</v>
      </c>
      <c r="AA30" s="10">
        <f t="shared" ref="AA30" si="134">ROUND(I30/R30,3)</f>
        <v>18.922000000000001</v>
      </c>
    </row>
    <row r="31" spans="1:27" ht="14.25" customHeight="1" x14ac:dyDescent="0.2">
      <c r="A31" s="17" t="s">
        <v>39</v>
      </c>
      <c r="B31" s="2">
        <f t="shared" ref="B31" si="135">D$2/D31</f>
        <v>13.176624737945492</v>
      </c>
      <c r="C31" s="2">
        <f t="shared" ref="C31" si="136">D30/D31</f>
        <v>1.0065513626834381</v>
      </c>
      <c r="D31" s="6">
        <f t="shared" ref="D31" si="137">SUM(F31:H31)</f>
        <v>38.159999999999997</v>
      </c>
      <c r="E31" s="9">
        <v>202.69</v>
      </c>
      <c r="F31" s="9">
        <v>24.9</v>
      </c>
      <c r="G31" s="9">
        <v>12.18</v>
      </c>
      <c r="H31" s="13">
        <v>1.08</v>
      </c>
      <c r="I31" s="10">
        <v>14.71</v>
      </c>
      <c r="J31" s="17" t="s">
        <v>39</v>
      </c>
      <c r="K31" s="2">
        <f t="shared" ref="K31:K39" si="138">M$2/M31</f>
        <v>25.588957055214717</v>
      </c>
      <c r="L31" s="2">
        <f t="shared" ref="L31:L39" si="139">M30/M31</f>
        <v>1.1411042944785277</v>
      </c>
      <c r="M31" s="6">
        <f t="shared" ref="M31:M39" si="140">SUM(O31:Q31)</f>
        <v>1.6300000000000001</v>
      </c>
      <c r="N31" s="9">
        <v>9.5</v>
      </c>
      <c r="O31" s="9">
        <v>0.96</v>
      </c>
      <c r="P31" s="9">
        <v>0.64</v>
      </c>
      <c r="Q31" s="13">
        <v>0.03</v>
      </c>
      <c r="R31" s="10">
        <v>0.75</v>
      </c>
      <c r="S31" s="17" t="s">
        <v>39</v>
      </c>
      <c r="T31" s="2">
        <f t="shared" ref="T31" si="141">ROUND(B31/K31,3)</f>
        <v>0.51500000000000001</v>
      </c>
      <c r="U31" s="2">
        <f t="shared" ref="U31" si="142">ROUND(C31/L31,3)</f>
        <v>0.88200000000000001</v>
      </c>
      <c r="V31" s="6">
        <f t="shared" ref="V31" si="143">ROUND(D31/M31,3)</f>
        <v>23.411000000000001</v>
      </c>
      <c r="W31" s="9">
        <f t="shared" ref="W31" si="144">ROUND(E31/N31,3)</f>
        <v>21.335999999999999</v>
      </c>
      <c r="X31" s="9">
        <f t="shared" ref="X31" si="145">ROUND(F31/O31,3)</f>
        <v>25.937999999999999</v>
      </c>
      <c r="Y31" s="9">
        <f t="shared" ref="Y31" si="146">ROUND(G31/P31,3)</f>
        <v>19.030999999999999</v>
      </c>
      <c r="Z31" s="13">
        <f t="shared" ref="Z31" si="147">ROUND(H31/Q31,3)</f>
        <v>36</v>
      </c>
      <c r="AA31" s="10">
        <f t="shared" ref="AA31" si="148">ROUND(I31/R31,3)</f>
        <v>19.613</v>
      </c>
    </row>
    <row r="32" spans="1:27" ht="14.25" customHeight="1" x14ac:dyDescent="0.2">
      <c r="A32" s="17" t="s">
        <v>40</v>
      </c>
      <c r="B32" s="5">
        <f t="shared" ref="B32" si="149">D$2/D32</f>
        <v>13.560409924487594</v>
      </c>
      <c r="C32" s="5">
        <f t="shared" ref="C32" si="150">D31/D32</f>
        <v>1.029126213592233</v>
      </c>
      <c r="D32" s="4">
        <f t="shared" ref="D32" si="151">SUM(F32:H32)</f>
        <v>37.08</v>
      </c>
      <c r="E32" s="9">
        <v>203.18</v>
      </c>
      <c r="F32" s="13">
        <v>23.97</v>
      </c>
      <c r="G32" s="9">
        <v>12.04</v>
      </c>
      <c r="H32" s="9">
        <v>1.07</v>
      </c>
      <c r="I32" s="10">
        <v>14.73</v>
      </c>
      <c r="J32" s="17" t="s">
        <v>40</v>
      </c>
      <c r="K32" s="5">
        <f t="shared" si="138"/>
        <v>27.622516556291387</v>
      </c>
      <c r="L32" s="5">
        <f t="shared" si="139"/>
        <v>1.0794701986754967</v>
      </c>
      <c r="M32" s="4">
        <f t="shared" si="140"/>
        <v>1.51</v>
      </c>
      <c r="N32" s="9">
        <v>9.61</v>
      </c>
      <c r="O32" s="13">
        <v>0.84</v>
      </c>
      <c r="P32" s="9">
        <v>0.64</v>
      </c>
      <c r="Q32" s="9">
        <v>0.03</v>
      </c>
      <c r="R32" s="10">
        <v>0.76</v>
      </c>
      <c r="S32" s="17" t="s">
        <v>40</v>
      </c>
      <c r="T32" s="5">
        <f t="shared" ref="T32:T33" si="152">ROUND(B32/K32,3)</f>
        <v>0.49099999999999999</v>
      </c>
      <c r="U32" s="5">
        <f t="shared" ref="U32:U33" si="153">ROUND(C32/L32,3)</f>
        <v>0.95299999999999996</v>
      </c>
      <c r="V32" s="4">
        <f t="shared" ref="V32:V33" si="154">ROUND(D32/M32,3)</f>
        <v>24.556000000000001</v>
      </c>
      <c r="W32" s="9">
        <f t="shared" ref="W32:W33" si="155">ROUND(E32/N32,3)</f>
        <v>21.143000000000001</v>
      </c>
      <c r="X32" s="13">
        <f t="shared" ref="X32:X33" si="156">ROUND(F32/O32,3)</f>
        <v>28.536000000000001</v>
      </c>
      <c r="Y32" s="9">
        <f t="shared" ref="Y32:Y33" si="157">ROUND(G32/P32,3)</f>
        <v>18.812999999999999</v>
      </c>
      <c r="Z32" s="9">
        <f t="shared" ref="Z32:Z33" si="158">ROUND(H32/Q32,3)</f>
        <v>35.667000000000002</v>
      </c>
      <c r="AA32" s="10">
        <f t="shared" ref="AA32:AA33" si="159">ROUND(I32/R32,3)</f>
        <v>19.382000000000001</v>
      </c>
    </row>
    <row r="33" spans="1:28" ht="14.25" customHeight="1" x14ac:dyDescent="0.2">
      <c r="A33" s="12" t="s">
        <v>41</v>
      </c>
      <c r="B33" s="5">
        <f t="shared" ref="B33" si="160">D$2/D33</f>
        <v>13.791003839824461</v>
      </c>
      <c r="C33" s="5">
        <f t="shared" ref="C33" si="161">D32/D33</f>
        <v>1.0170049369171692</v>
      </c>
      <c r="D33" s="4">
        <f t="shared" ref="D33" si="162">SUM(F33:H33)</f>
        <v>36.460000000000008</v>
      </c>
      <c r="E33" s="9">
        <v>202.94</v>
      </c>
      <c r="F33" s="9">
        <v>24.03</v>
      </c>
      <c r="G33" s="13">
        <v>11.34</v>
      </c>
      <c r="H33" s="9">
        <v>1.0900000000000001</v>
      </c>
      <c r="I33" s="14">
        <v>14.5</v>
      </c>
      <c r="J33" s="12" t="s">
        <v>41</v>
      </c>
      <c r="K33" s="5">
        <f t="shared" si="138"/>
        <v>29.581560283687942</v>
      </c>
      <c r="L33" s="5">
        <f t="shared" si="139"/>
        <v>1.0709219858156029</v>
      </c>
      <c r="M33" s="4">
        <f t="shared" si="140"/>
        <v>1.41</v>
      </c>
      <c r="N33" s="9">
        <v>9.83</v>
      </c>
      <c r="O33" s="9">
        <v>0.78</v>
      </c>
      <c r="P33" s="13">
        <v>0.6</v>
      </c>
      <c r="Q33" s="9">
        <v>0.03</v>
      </c>
      <c r="R33" s="14">
        <v>0.72</v>
      </c>
      <c r="S33" s="12" t="s">
        <v>41</v>
      </c>
      <c r="T33" s="5">
        <f t="shared" si="152"/>
        <v>0.46600000000000003</v>
      </c>
      <c r="U33" s="5">
        <f t="shared" si="153"/>
        <v>0.95</v>
      </c>
      <c r="V33" s="4">
        <f t="shared" si="154"/>
        <v>25.858000000000001</v>
      </c>
      <c r="W33" s="9">
        <f t="shared" si="155"/>
        <v>20.645</v>
      </c>
      <c r="X33" s="9">
        <f t="shared" si="156"/>
        <v>30.808</v>
      </c>
      <c r="Y33" s="13">
        <f t="shared" si="157"/>
        <v>18.899999999999999</v>
      </c>
      <c r="Z33" s="9">
        <f t="shared" si="158"/>
        <v>36.332999999999998</v>
      </c>
      <c r="AA33" s="14">
        <f t="shared" si="159"/>
        <v>20.138999999999999</v>
      </c>
    </row>
    <row r="34" spans="1:28" ht="14.25" customHeight="1" x14ac:dyDescent="0.2">
      <c r="A34" s="12" t="s">
        <v>42</v>
      </c>
      <c r="B34" s="2">
        <f t="shared" ref="B34" si="163">D$2/D34</f>
        <v>13.760810071154898</v>
      </c>
      <c r="C34" s="2">
        <f t="shared" ref="C34" si="164">D33/D34</f>
        <v>0.99781061850027386</v>
      </c>
      <c r="D34" s="6">
        <f t="shared" ref="D34" si="165">SUM(F34:H34)</f>
        <v>36.54</v>
      </c>
      <c r="E34" s="18">
        <v>203.04</v>
      </c>
      <c r="F34" s="9">
        <v>24.08</v>
      </c>
      <c r="G34" s="13">
        <v>11.36</v>
      </c>
      <c r="H34" s="9">
        <v>1.1000000000000001</v>
      </c>
      <c r="I34" s="14">
        <v>14.52</v>
      </c>
      <c r="J34" s="12" t="s">
        <v>42</v>
      </c>
      <c r="K34" s="2">
        <f t="shared" si="138"/>
        <v>32.585937499999993</v>
      </c>
      <c r="L34" s="2">
        <f t="shared" si="139"/>
        <v>1.1015625</v>
      </c>
      <c r="M34" s="6">
        <f t="shared" si="140"/>
        <v>1.28</v>
      </c>
      <c r="N34" s="18">
        <v>9.6</v>
      </c>
      <c r="O34" s="9">
        <v>0.82</v>
      </c>
      <c r="P34" s="13">
        <v>0.43</v>
      </c>
      <c r="Q34" s="9">
        <v>0.03</v>
      </c>
      <c r="R34" s="14">
        <v>0.63</v>
      </c>
      <c r="S34" s="12" t="s">
        <v>42</v>
      </c>
      <c r="T34" s="2">
        <f t="shared" ref="T34" si="166">ROUND(B34/K34,3)</f>
        <v>0.42199999999999999</v>
      </c>
      <c r="U34" s="2">
        <f t="shared" ref="U34" si="167">ROUND(C34/L34,3)</f>
        <v>0.90600000000000003</v>
      </c>
      <c r="V34" s="6">
        <f t="shared" ref="V34" si="168">ROUND(D34/M34,3)</f>
        <v>28.547000000000001</v>
      </c>
      <c r="W34" s="18">
        <f t="shared" ref="W34" si="169">ROUND(E34/N34,3)</f>
        <v>21.15</v>
      </c>
      <c r="X34" s="9">
        <f t="shared" ref="X34" si="170">ROUND(F34/O34,3)</f>
        <v>29.366</v>
      </c>
      <c r="Y34" s="13">
        <f t="shared" ref="Y34" si="171">ROUND(G34/P34,3)</f>
        <v>26.419</v>
      </c>
      <c r="Z34" s="9">
        <f t="shared" ref="Z34" si="172">ROUND(H34/Q34,3)</f>
        <v>36.667000000000002</v>
      </c>
      <c r="AA34" s="14">
        <f t="shared" ref="AA34" si="173">ROUND(I34/R34,3)</f>
        <v>23.047999999999998</v>
      </c>
    </row>
    <row r="35" spans="1:28" ht="14.25" customHeight="1" x14ac:dyDescent="0.2">
      <c r="A35" s="12" t="s">
        <v>43</v>
      </c>
      <c r="B35" s="2">
        <f t="shared" ref="B35:B36" si="174">D$2/D35</f>
        <v>19.587845734320215</v>
      </c>
      <c r="C35" s="2">
        <f t="shared" ref="C35:C36" si="175">D34/D35</f>
        <v>1.4234514998052199</v>
      </c>
      <c r="D35" s="6">
        <f t="shared" ref="D35:D36" si="176">SUM(F35:H35)</f>
        <v>25.67</v>
      </c>
      <c r="E35" s="9">
        <v>204.76</v>
      </c>
      <c r="F35" s="13">
        <v>13.17</v>
      </c>
      <c r="G35" s="9">
        <v>11.4</v>
      </c>
      <c r="H35" s="9">
        <v>1.1000000000000001</v>
      </c>
      <c r="I35" s="10">
        <v>14.39</v>
      </c>
      <c r="J35" s="12" t="s">
        <v>43</v>
      </c>
      <c r="K35" s="2">
        <f t="shared" si="138"/>
        <v>33.367999999999995</v>
      </c>
      <c r="L35" s="2">
        <f t="shared" si="139"/>
        <v>1.024</v>
      </c>
      <c r="M35" s="6">
        <f t="shared" si="140"/>
        <v>1.25</v>
      </c>
      <c r="N35" s="9">
        <v>9.39</v>
      </c>
      <c r="O35" s="13">
        <v>0.79</v>
      </c>
      <c r="P35" s="9">
        <v>0.43</v>
      </c>
      <c r="Q35" s="9">
        <v>0.03</v>
      </c>
      <c r="R35" s="10">
        <v>0.63</v>
      </c>
      <c r="S35" s="12" t="s">
        <v>43</v>
      </c>
      <c r="T35" s="2">
        <f t="shared" ref="T35" si="177">ROUND(B35/K35,3)</f>
        <v>0.58699999999999997</v>
      </c>
      <c r="U35" s="2">
        <f t="shared" ref="U35" si="178">ROUND(C35/L35,3)</f>
        <v>1.39</v>
      </c>
      <c r="V35" s="6">
        <f t="shared" ref="V35" si="179">ROUND(D35/M35,3)</f>
        <v>20.536000000000001</v>
      </c>
      <c r="W35" s="9">
        <f t="shared" ref="W35" si="180">ROUND(E35/N35,3)</f>
        <v>21.806000000000001</v>
      </c>
      <c r="X35" s="13">
        <f t="shared" ref="X35" si="181">ROUND(F35/O35,3)</f>
        <v>16.670999999999999</v>
      </c>
      <c r="Y35" s="9">
        <f t="shared" ref="Y35" si="182">ROUND(G35/P35,3)</f>
        <v>26.512</v>
      </c>
      <c r="Z35" s="9">
        <f t="shared" ref="Z35" si="183">ROUND(H35/Q35,3)</f>
        <v>36.667000000000002</v>
      </c>
      <c r="AA35" s="10">
        <f t="shared" ref="AA35" si="184">ROUND(I35/R35,3)</f>
        <v>22.841000000000001</v>
      </c>
    </row>
    <row r="36" spans="1:28" ht="14.25" customHeight="1" x14ac:dyDescent="0.2">
      <c r="A36" s="20" t="s">
        <v>44</v>
      </c>
      <c r="B36" s="2">
        <f t="shared" si="174"/>
        <v>20.357085020242913</v>
      </c>
      <c r="C36" s="2">
        <f t="shared" si="175"/>
        <v>1.0392712550607288</v>
      </c>
      <c r="D36" s="6">
        <f t="shared" si="176"/>
        <v>24.7</v>
      </c>
      <c r="E36" s="9">
        <v>202.61</v>
      </c>
      <c r="F36" s="13">
        <v>12.39</v>
      </c>
      <c r="G36" s="9">
        <v>11.22</v>
      </c>
      <c r="H36" s="9">
        <v>1.0900000000000001</v>
      </c>
      <c r="I36" s="10">
        <v>14.26</v>
      </c>
      <c r="J36" s="20" t="s">
        <v>44</v>
      </c>
      <c r="K36" s="2">
        <f t="shared" si="138"/>
        <v>37.918181818181807</v>
      </c>
      <c r="L36" s="2">
        <f t="shared" si="139"/>
        <v>1.1363636363636362</v>
      </c>
      <c r="M36" s="6">
        <f t="shared" si="140"/>
        <v>1.1000000000000001</v>
      </c>
      <c r="N36" s="9">
        <v>9.51</v>
      </c>
      <c r="O36" s="13">
        <v>0.64</v>
      </c>
      <c r="P36" s="9">
        <v>0.43</v>
      </c>
      <c r="Q36" s="9">
        <v>0.03</v>
      </c>
      <c r="R36" s="10">
        <v>0.64</v>
      </c>
      <c r="S36" s="20" t="s">
        <v>44</v>
      </c>
      <c r="T36" s="2">
        <f t="shared" ref="T36:T37" si="185">ROUND(B36/K36,3)</f>
        <v>0.53700000000000003</v>
      </c>
      <c r="U36" s="2">
        <f t="shared" ref="U36:U37" si="186">ROUND(C36/L36,3)</f>
        <v>0.91500000000000004</v>
      </c>
      <c r="V36" s="6">
        <f t="shared" ref="V36:V37" si="187">ROUND(D36/M36,3)</f>
        <v>22.454999999999998</v>
      </c>
      <c r="W36" s="9">
        <f t="shared" ref="W36:W37" si="188">ROUND(E36/N36,3)</f>
        <v>21.305</v>
      </c>
      <c r="X36" s="13">
        <f t="shared" ref="X36:X37" si="189">ROUND(F36/O36,3)</f>
        <v>19.359000000000002</v>
      </c>
      <c r="Y36" s="9">
        <f t="shared" ref="Y36:Y37" si="190">ROUND(G36/P36,3)</f>
        <v>26.093</v>
      </c>
      <c r="Z36" s="9">
        <f t="shared" ref="Z36:Z37" si="191">ROUND(H36/Q36,3)</f>
        <v>36.332999999999998</v>
      </c>
      <c r="AA36" s="10">
        <f t="shared" ref="AA36:AA37" si="192">ROUND(I36/R36,3)</f>
        <v>22.280999999999999</v>
      </c>
    </row>
    <row r="37" spans="1:28" ht="14.25" customHeight="1" x14ac:dyDescent="0.2">
      <c r="A37" s="20" t="s">
        <v>45</v>
      </c>
      <c r="B37" s="5">
        <f t="shared" ref="B37:B38" si="193">D$2/D37</f>
        <v>20.598934862761162</v>
      </c>
      <c r="C37" s="5">
        <f t="shared" ref="C37:C38" si="194">D36/D37</f>
        <v>1.0118803768947153</v>
      </c>
      <c r="D37" s="4">
        <f t="shared" ref="D37:D38" si="195">SUM(F37:H37)</f>
        <v>24.41</v>
      </c>
      <c r="E37" s="18">
        <v>202.53</v>
      </c>
      <c r="F37" s="18">
        <v>12.29</v>
      </c>
      <c r="G37" s="13">
        <v>11.05</v>
      </c>
      <c r="H37" s="18">
        <v>1.07</v>
      </c>
      <c r="I37" s="14">
        <v>12.67</v>
      </c>
      <c r="J37" s="20" t="s">
        <v>45</v>
      </c>
      <c r="K37" s="5">
        <f t="shared" si="138"/>
        <v>37.576576576576571</v>
      </c>
      <c r="L37" s="5">
        <f t="shared" si="139"/>
        <v>0.99099099099099097</v>
      </c>
      <c r="M37" s="4">
        <f t="shared" si="140"/>
        <v>1.1100000000000001</v>
      </c>
      <c r="N37" s="18">
        <v>9.51</v>
      </c>
      <c r="O37" s="18">
        <v>0.65</v>
      </c>
      <c r="P37" s="13">
        <v>0.43</v>
      </c>
      <c r="Q37" s="18">
        <v>0.03</v>
      </c>
      <c r="R37" s="14">
        <v>0.62</v>
      </c>
      <c r="S37" s="20" t="s">
        <v>45</v>
      </c>
      <c r="T37" s="5">
        <f t="shared" si="185"/>
        <v>0.54800000000000004</v>
      </c>
      <c r="U37" s="5">
        <f t="shared" si="186"/>
        <v>1.0209999999999999</v>
      </c>
      <c r="V37" s="4">
        <f t="shared" si="187"/>
        <v>21.991</v>
      </c>
      <c r="W37" s="18">
        <f t="shared" si="188"/>
        <v>21.297000000000001</v>
      </c>
      <c r="X37" s="18">
        <f t="shared" si="189"/>
        <v>18.908000000000001</v>
      </c>
      <c r="Y37" s="13">
        <f t="shared" si="190"/>
        <v>25.698</v>
      </c>
      <c r="Z37" s="18">
        <f t="shared" si="191"/>
        <v>35.667000000000002</v>
      </c>
      <c r="AA37" s="14">
        <f t="shared" si="192"/>
        <v>20.434999999999999</v>
      </c>
    </row>
    <row r="38" spans="1:28" ht="14.25" customHeight="1" x14ac:dyDescent="0.2">
      <c r="A38" s="20" t="s">
        <v>46</v>
      </c>
      <c r="B38" s="5">
        <f t="shared" si="193"/>
        <v>20.217933252915159</v>
      </c>
      <c r="C38" s="5">
        <f t="shared" si="194"/>
        <v>0.98150381986328916</v>
      </c>
      <c r="D38" s="4">
        <f t="shared" si="195"/>
        <v>24.869999999999997</v>
      </c>
      <c r="E38" s="13">
        <v>144.19999999999999</v>
      </c>
      <c r="F38" s="18">
        <v>12.67</v>
      </c>
      <c r="G38" s="18">
        <v>11.12</v>
      </c>
      <c r="H38" s="18">
        <v>1.08</v>
      </c>
      <c r="I38" s="19">
        <v>13</v>
      </c>
      <c r="J38" s="20" t="s">
        <v>46</v>
      </c>
      <c r="K38" s="5">
        <f t="shared" si="138"/>
        <v>40.105769230769226</v>
      </c>
      <c r="L38" s="5">
        <f t="shared" si="139"/>
        <v>1.0673076923076923</v>
      </c>
      <c r="M38" s="4">
        <f t="shared" si="140"/>
        <v>1.04</v>
      </c>
      <c r="N38" s="13">
        <v>7.02</v>
      </c>
      <c r="O38" s="18">
        <v>0.6</v>
      </c>
      <c r="P38" s="18">
        <v>0.42</v>
      </c>
      <c r="Q38" s="18">
        <v>0.02</v>
      </c>
      <c r="R38" s="19">
        <v>0.61</v>
      </c>
      <c r="S38" s="20" t="s">
        <v>46</v>
      </c>
      <c r="T38" s="5">
        <f t="shared" ref="T38" si="196">ROUND(B38/K38,3)</f>
        <v>0.504</v>
      </c>
      <c r="U38" s="5">
        <f t="shared" ref="U38" si="197">ROUND(C38/L38,3)</f>
        <v>0.92</v>
      </c>
      <c r="V38" s="4">
        <f t="shared" ref="V38" si="198">ROUND(D38/M38,3)</f>
        <v>23.913</v>
      </c>
      <c r="W38" s="13">
        <f t="shared" ref="W38" si="199">ROUND(E38/N38,3)</f>
        <v>20.541</v>
      </c>
      <c r="X38" s="18">
        <f t="shared" ref="X38" si="200">ROUND(F38/O38,3)</f>
        <v>21.117000000000001</v>
      </c>
      <c r="Y38" s="18">
        <f t="shared" ref="Y38" si="201">ROUND(G38/P38,3)</f>
        <v>26.475999999999999</v>
      </c>
      <c r="Z38" s="18">
        <f t="shared" ref="Z38" si="202">ROUND(H38/Q38,3)</f>
        <v>54</v>
      </c>
      <c r="AA38" s="19">
        <f t="shared" ref="AA38" si="203">ROUND(I38/R38,3)</f>
        <v>21.311</v>
      </c>
    </row>
    <row r="39" spans="1:28" ht="14.25" customHeight="1" x14ac:dyDescent="0.2">
      <c r="A39" s="20" t="s">
        <v>47</v>
      </c>
      <c r="B39" s="5">
        <f t="shared" ref="B39" si="204">D$2/D39</f>
        <v>20.777685950413222</v>
      </c>
      <c r="C39" s="5">
        <f t="shared" ref="C39" si="205">D38/D39</f>
        <v>1.027685950413223</v>
      </c>
      <c r="D39" s="4">
        <f t="shared" ref="D39" si="206">SUM(F39:H39)</f>
        <v>24.2</v>
      </c>
      <c r="E39" s="13">
        <v>1.55</v>
      </c>
      <c r="F39" s="9">
        <v>12.11</v>
      </c>
      <c r="G39" s="9">
        <v>11.02</v>
      </c>
      <c r="H39" s="9">
        <v>1.07</v>
      </c>
      <c r="I39" s="10">
        <v>12.65</v>
      </c>
      <c r="J39" s="20" t="s">
        <v>47</v>
      </c>
      <c r="K39" s="5">
        <f t="shared" si="138"/>
        <v>40.105769230769226</v>
      </c>
      <c r="L39" s="5">
        <f t="shared" si="139"/>
        <v>1</v>
      </c>
      <c r="M39" s="4">
        <f t="shared" si="140"/>
        <v>1.04</v>
      </c>
      <c r="N39" s="13">
        <v>0.37</v>
      </c>
      <c r="O39" s="9">
        <v>0.6</v>
      </c>
      <c r="P39" s="9">
        <v>0.42</v>
      </c>
      <c r="Q39" s="9">
        <v>0.02</v>
      </c>
      <c r="R39" s="10">
        <v>0.61</v>
      </c>
      <c r="S39" s="20" t="s">
        <v>47</v>
      </c>
      <c r="T39" s="5">
        <f t="shared" ref="T39" si="207">ROUND(B39/K39,3)</f>
        <v>0.51800000000000002</v>
      </c>
      <c r="U39" s="5">
        <f t="shared" ref="U39" si="208">ROUND(C39/L39,3)</f>
        <v>1.028</v>
      </c>
      <c r="V39" s="4">
        <f t="shared" ref="V39" si="209">ROUND(D39/M39,3)</f>
        <v>23.268999999999998</v>
      </c>
      <c r="W39" s="13">
        <f t="shared" ref="W39" si="210">ROUND(E39/N39,3)</f>
        <v>4.1890000000000001</v>
      </c>
      <c r="X39" s="9">
        <f t="shared" ref="X39" si="211">ROUND(F39/O39,3)</f>
        <v>20.183</v>
      </c>
      <c r="Y39" s="9">
        <f t="shared" ref="Y39" si="212">ROUND(G39/P39,3)</f>
        <v>26.238</v>
      </c>
      <c r="Z39" s="9">
        <f t="shared" ref="Z39" si="213">ROUND(H39/Q39,3)</f>
        <v>53.5</v>
      </c>
      <c r="AA39" s="10">
        <f t="shared" ref="AA39" si="214">ROUND(I39/R39,3)</f>
        <v>20.738</v>
      </c>
    </row>
    <row r="40" spans="1:28" s="18" customFormat="1" ht="14.25" customHeight="1" x14ac:dyDescent="0.2">
      <c r="A40" s="20" t="s">
        <v>48</v>
      </c>
      <c r="B40" s="5">
        <f t="shared" ref="B40:B41" si="215">D$2/D40</f>
        <v>20.64121510673235</v>
      </c>
      <c r="C40" s="5">
        <f t="shared" ref="C40:C41" si="216">D39/D40</f>
        <v>0.99343185550082114</v>
      </c>
      <c r="D40" s="4">
        <f t="shared" ref="D40:D41" si="217">SUM(F40:H40)</f>
        <v>24.359999999999996</v>
      </c>
      <c r="E40" s="13">
        <v>1.36</v>
      </c>
      <c r="F40" s="18">
        <v>12.2</v>
      </c>
      <c r="G40" s="18">
        <v>11.1</v>
      </c>
      <c r="H40" s="18">
        <v>1.06</v>
      </c>
      <c r="I40" s="19">
        <v>12.74</v>
      </c>
      <c r="J40" s="20" t="s">
        <v>48</v>
      </c>
      <c r="K40" s="5">
        <f t="shared" ref="K40" si="218">M$2/M40</f>
        <v>39.723809523809514</v>
      </c>
      <c r="L40" s="5">
        <f t="shared" ref="L40" si="219">M39/M40</f>
        <v>0.99047619047619051</v>
      </c>
      <c r="M40" s="4">
        <f t="shared" ref="M40" si="220">SUM(O40:Q40)</f>
        <v>1.05</v>
      </c>
      <c r="N40" s="13">
        <v>0.2</v>
      </c>
      <c r="O40" s="18">
        <v>0.61</v>
      </c>
      <c r="P40" s="18">
        <v>0.42</v>
      </c>
      <c r="Q40" s="18">
        <v>0.02</v>
      </c>
      <c r="R40" s="19">
        <v>0.62</v>
      </c>
      <c r="S40" s="20" t="s">
        <v>48</v>
      </c>
      <c r="T40" s="5">
        <f t="shared" ref="T40" si="221">ROUND(B40/K40,3)</f>
        <v>0.52</v>
      </c>
      <c r="U40" s="5">
        <f t="shared" ref="U40" si="222">ROUND(C40/L40,3)</f>
        <v>1.0029999999999999</v>
      </c>
      <c r="V40" s="4">
        <f t="shared" ref="V40" si="223">ROUND(D40/M40,3)</f>
        <v>23.2</v>
      </c>
      <c r="W40" s="13">
        <f t="shared" ref="W40" si="224">ROUND(E40/N40,3)</f>
        <v>6.8</v>
      </c>
      <c r="X40" s="18">
        <f t="shared" ref="X40" si="225">ROUND(F40/O40,3)</f>
        <v>20</v>
      </c>
      <c r="Y40" s="18">
        <f t="shared" ref="Y40" si="226">ROUND(G40/P40,3)</f>
        <v>26.428999999999998</v>
      </c>
      <c r="Z40" s="18">
        <f t="shared" ref="Z40" si="227">ROUND(H40/Q40,3)</f>
        <v>53</v>
      </c>
      <c r="AA40" s="19">
        <f t="shared" ref="AA40" si="228">ROUND(I40/R40,3)</f>
        <v>20.547999999999998</v>
      </c>
      <c r="AB40" s="20"/>
    </row>
    <row r="41" spans="1:28" ht="14.25" customHeight="1" x14ac:dyDescent="0.2">
      <c r="A41" s="20" t="s">
        <v>49</v>
      </c>
      <c r="B41" s="5">
        <f t="shared" si="215"/>
        <v>20.489812550937245</v>
      </c>
      <c r="C41" s="5">
        <f t="shared" si="216"/>
        <v>0.99266503667481654</v>
      </c>
      <c r="D41" s="4">
        <f t="shared" si="217"/>
        <v>24.54</v>
      </c>
      <c r="E41" s="13">
        <v>1.27</v>
      </c>
      <c r="F41" s="9">
        <v>12.24</v>
      </c>
      <c r="G41" s="9">
        <v>11.19</v>
      </c>
      <c r="H41" s="9">
        <v>1.1100000000000001</v>
      </c>
      <c r="I41" s="10">
        <v>12.92</v>
      </c>
      <c r="J41" s="20" t="s">
        <v>49</v>
      </c>
      <c r="K41" s="5">
        <f t="shared" ref="K41" si="229">M$2/M41</f>
        <v>42.131313131313128</v>
      </c>
      <c r="L41" s="5">
        <f t="shared" ref="L41" si="230">M40/M41</f>
        <v>1.0606060606060606</v>
      </c>
      <c r="M41" s="4">
        <f t="shared" ref="M41" si="231">SUM(O41:Q41)</f>
        <v>0.99</v>
      </c>
      <c r="N41" s="13">
        <v>0.14000000000000001</v>
      </c>
      <c r="O41" s="9">
        <v>0.61</v>
      </c>
      <c r="P41" s="9">
        <v>0.36</v>
      </c>
      <c r="Q41" s="9">
        <v>0.02</v>
      </c>
      <c r="R41" s="10">
        <v>0.56999999999999995</v>
      </c>
      <c r="S41" s="20" t="s">
        <v>49</v>
      </c>
      <c r="T41" s="5">
        <f t="shared" ref="T41" si="232">ROUND(B41/K41,3)</f>
        <v>0.48599999999999999</v>
      </c>
      <c r="U41" s="5">
        <f t="shared" ref="U41" si="233">ROUND(C41/L41,3)</f>
        <v>0.93600000000000005</v>
      </c>
      <c r="V41" s="4">
        <f t="shared" ref="V41" si="234">ROUND(D41/M41,3)</f>
        <v>24.788</v>
      </c>
      <c r="W41" s="13">
        <f t="shared" ref="W41" si="235">ROUND(E41/N41,3)</f>
        <v>9.0709999999999997</v>
      </c>
      <c r="X41" s="9">
        <f t="shared" ref="X41" si="236">ROUND(F41/O41,3)</f>
        <v>20.065999999999999</v>
      </c>
      <c r="Y41" s="9">
        <f t="shared" ref="Y41" si="237">ROUND(G41/P41,3)</f>
        <v>31.082999999999998</v>
      </c>
      <c r="Z41" s="9">
        <f t="shared" ref="Z41" si="238">ROUND(H41/Q41,3)</f>
        <v>55.5</v>
      </c>
      <c r="AA41" s="10">
        <f t="shared" ref="AA41" si="239">ROUND(I41/R41,3)</f>
        <v>22.667000000000002</v>
      </c>
    </row>
    <row r="42" spans="1:28" ht="14.25" customHeight="1" x14ac:dyDescent="0.2">
      <c r="A42" s="12" t="s">
        <v>50</v>
      </c>
      <c r="B42" s="5">
        <f t="shared" ref="B42" si="240">D$2/D42</f>
        <v>20.23420523138833</v>
      </c>
      <c r="C42" s="5">
        <f t="shared" ref="C42" si="241">D41/D42</f>
        <v>0.98752515090543269</v>
      </c>
      <c r="D42" s="4">
        <f t="shared" ref="D42" si="242">SUM(F42:H42)</f>
        <v>24.849999999999998</v>
      </c>
      <c r="E42" s="9">
        <v>1.28</v>
      </c>
      <c r="F42" s="13">
        <v>12.59</v>
      </c>
      <c r="G42" s="9">
        <v>11.17</v>
      </c>
      <c r="H42" s="9">
        <v>1.0900000000000001</v>
      </c>
      <c r="I42" s="10">
        <v>12.91</v>
      </c>
      <c r="J42" s="12" t="s">
        <v>50</v>
      </c>
      <c r="K42" s="5">
        <f t="shared" ref="K42" si="243">M$2/M42</f>
        <v>42.131313131313128</v>
      </c>
      <c r="L42" s="5">
        <f t="shared" ref="L42" si="244">M41/M42</f>
        <v>1</v>
      </c>
      <c r="M42" s="4">
        <f t="shared" ref="M42" si="245">SUM(O42:Q42)</f>
        <v>0.99</v>
      </c>
      <c r="N42" s="9">
        <v>0.13</v>
      </c>
      <c r="O42" s="13">
        <v>0.61</v>
      </c>
      <c r="P42" s="9">
        <v>0.36</v>
      </c>
      <c r="Q42" s="9">
        <v>0.02</v>
      </c>
      <c r="R42" s="10">
        <v>0.56999999999999995</v>
      </c>
      <c r="S42" s="12" t="s">
        <v>50</v>
      </c>
      <c r="T42" s="5">
        <f t="shared" ref="T42" si="246">ROUND(B42/K42,3)</f>
        <v>0.48</v>
      </c>
      <c r="U42" s="5">
        <f t="shared" ref="U42" si="247">ROUND(C42/L42,3)</f>
        <v>0.98799999999999999</v>
      </c>
      <c r="V42" s="4">
        <f t="shared" ref="V42" si="248">ROUND(D42/M42,3)</f>
        <v>25.100999999999999</v>
      </c>
      <c r="W42" s="18">
        <f t="shared" ref="W42" si="249">ROUND(E42/N42,3)</f>
        <v>9.8460000000000001</v>
      </c>
      <c r="X42" s="13">
        <f t="shared" ref="X42" si="250">ROUND(F42/O42,3)</f>
        <v>20.638999999999999</v>
      </c>
      <c r="Y42" s="9">
        <f t="shared" ref="Y42" si="251">ROUND(G42/P42,3)</f>
        <v>31.027999999999999</v>
      </c>
      <c r="Z42" s="9">
        <f t="shared" ref="Z42" si="252">ROUND(H42/Q42,3)</f>
        <v>54.5</v>
      </c>
      <c r="AA42" s="10">
        <f t="shared" ref="AA42" si="253">ROUND(I42/R42,3)</f>
        <v>22.649000000000001</v>
      </c>
    </row>
    <row r="43" spans="1:28" ht="14.25" customHeight="1" x14ac:dyDescent="0.2">
      <c r="A43" s="12" t="s">
        <v>51</v>
      </c>
      <c r="B43" s="5">
        <f t="shared" ref="B43" si="254">D$2/D43</f>
        <v>21.976398601398596</v>
      </c>
      <c r="C43" s="5">
        <f t="shared" ref="C43" si="255">D42/D43</f>
        <v>1.0861013986013983</v>
      </c>
      <c r="D43" s="4">
        <f t="shared" ref="D43" si="256">SUM(F43:H43)</f>
        <v>22.880000000000003</v>
      </c>
      <c r="E43" s="9">
        <v>0.98</v>
      </c>
      <c r="F43" s="13">
        <v>10.75</v>
      </c>
      <c r="G43" s="9">
        <v>11.06</v>
      </c>
      <c r="H43" s="9">
        <v>1.07</v>
      </c>
      <c r="I43" s="10">
        <v>12.65</v>
      </c>
      <c r="J43" s="12" t="s">
        <v>51</v>
      </c>
      <c r="K43" s="5">
        <f t="shared" ref="K43" si="257">M$2/M43</f>
        <v>42.999999999999993</v>
      </c>
      <c r="L43" s="5">
        <f t="shared" ref="L43" si="258">M42/M43</f>
        <v>1.0206185567010309</v>
      </c>
      <c r="M43" s="4">
        <f t="shared" ref="M43" si="259">SUM(O43:Q43)</f>
        <v>0.97</v>
      </c>
      <c r="N43" s="9">
        <v>0.1</v>
      </c>
      <c r="O43" s="13">
        <v>0.59</v>
      </c>
      <c r="P43" s="9">
        <v>0.36</v>
      </c>
      <c r="Q43" s="9">
        <v>0.02</v>
      </c>
      <c r="R43" s="10">
        <v>0.57999999999999996</v>
      </c>
      <c r="S43" s="12" t="s">
        <v>51</v>
      </c>
      <c r="T43" s="5">
        <f t="shared" ref="T43" si="260">ROUND(B43/K43,3)</f>
        <v>0.51100000000000001</v>
      </c>
      <c r="U43" s="5">
        <f t="shared" ref="U43" si="261">ROUND(C43/L43,3)</f>
        <v>1.0640000000000001</v>
      </c>
      <c r="V43" s="4">
        <f t="shared" ref="V43" si="262">ROUND(D43/M43,3)</f>
        <v>23.588000000000001</v>
      </c>
      <c r="W43" s="18">
        <f t="shared" ref="W43" si="263">ROUND(E43/N43,3)</f>
        <v>9.8000000000000007</v>
      </c>
      <c r="X43" s="13">
        <f t="shared" ref="X43" si="264">ROUND(F43/O43,3)</f>
        <v>18.22</v>
      </c>
      <c r="Y43" s="9">
        <f t="shared" ref="Y43" si="265">ROUND(G43/P43,3)</f>
        <v>30.722000000000001</v>
      </c>
      <c r="Z43" s="9">
        <f t="shared" ref="Z43" si="266">ROUND(H43/Q43,3)</f>
        <v>53.5</v>
      </c>
      <c r="AA43" s="10">
        <f t="shared" ref="AA43" si="267">ROUND(I43/R43,3)</f>
        <v>21.81</v>
      </c>
    </row>
    <row r="44" spans="1:28" ht="14.25" customHeight="1" x14ac:dyDescent="0.2">
      <c r="A44" s="12" t="s">
        <v>52</v>
      </c>
      <c r="B44" s="5">
        <f t="shared" ref="B44" si="268">D$2/D44</f>
        <v>22.307897071872226</v>
      </c>
      <c r="C44" s="5">
        <f t="shared" ref="C44" si="269">D43/D44</f>
        <v>1.0150842945874003</v>
      </c>
      <c r="D44" s="4">
        <f t="shared" ref="D44" si="270">SUM(F44:H44)</f>
        <v>22.54</v>
      </c>
      <c r="E44" s="9">
        <v>0.78</v>
      </c>
      <c r="F44" s="9">
        <v>10.84</v>
      </c>
      <c r="G44" s="9">
        <v>11.04</v>
      </c>
      <c r="H44" s="13">
        <v>0.66</v>
      </c>
      <c r="I44" s="10">
        <v>12.73</v>
      </c>
      <c r="J44" s="12" t="s">
        <v>52</v>
      </c>
      <c r="K44" s="5">
        <f t="shared" ref="K44:K46" si="271">M$2/M44</f>
        <v>42.999999999999993</v>
      </c>
      <c r="L44" s="5">
        <f t="shared" ref="L44:L46" si="272">M43/M44</f>
        <v>1</v>
      </c>
      <c r="M44" s="4">
        <f t="shared" ref="M44:M46" si="273">SUM(O44:Q44)</f>
        <v>0.97</v>
      </c>
      <c r="N44" s="9">
        <v>0.08</v>
      </c>
      <c r="O44" s="9">
        <v>0.57999999999999996</v>
      </c>
      <c r="P44" s="9">
        <v>0.36</v>
      </c>
      <c r="Q44" s="13">
        <v>0.03</v>
      </c>
      <c r="R44" s="10">
        <v>0.57999999999999996</v>
      </c>
      <c r="S44" s="12" t="s">
        <v>52</v>
      </c>
      <c r="T44" s="5">
        <f t="shared" ref="T44" si="274">ROUND(B44/K44,3)</f>
        <v>0.51900000000000002</v>
      </c>
      <c r="U44" s="5">
        <f t="shared" ref="U44" si="275">ROUND(C44/L44,3)</f>
        <v>1.0149999999999999</v>
      </c>
      <c r="V44" s="4">
        <f t="shared" ref="V44" si="276">ROUND(D44/M44,3)</f>
        <v>23.236999999999998</v>
      </c>
      <c r="W44" s="9">
        <f t="shared" ref="W44" si="277">ROUND(E44/N44,3)</f>
        <v>9.75</v>
      </c>
      <c r="X44" s="9">
        <f t="shared" ref="X44" si="278">ROUND(F44/O44,3)</f>
        <v>18.690000000000001</v>
      </c>
      <c r="Y44" s="9">
        <f t="shared" ref="Y44" si="279">ROUND(G44/P44,3)</f>
        <v>30.667000000000002</v>
      </c>
      <c r="Z44" s="13">
        <f t="shared" ref="Z44" si="280">ROUND(H44/Q44,3)</f>
        <v>22</v>
      </c>
      <c r="AA44" s="10">
        <f t="shared" ref="AA44" si="281">ROUND(I44/R44,3)</f>
        <v>21.948</v>
      </c>
    </row>
    <row r="45" spans="1:28" ht="14.25" customHeight="1" x14ac:dyDescent="0.2">
      <c r="A45" s="12" t="s">
        <v>53</v>
      </c>
      <c r="B45" s="2">
        <f t="shared" ref="B45" si="282">D$2/D45</f>
        <v>24.635962763351294</v>
      </c>
      <c r="C45" s="2">
        <f t="shared" ref="C45" si="283">D44/D45</f>
        <v>1.1043606075453209</v>
      </c>
      <c r="D45" s="6">
        <f t="shared" ref="D45" si="284">SUM(F45:H45)</f>
        <v>20.41</v>
      </c>
      <c r="E45" s="9">
        <v>0.79</v>
      </c>
      <c r="F45" s="13">
        <v>8.75</v>
      </c>
      <c r="G45" s="9">
        <v>11.02</v>
      </c>
      <c r="H45" s="9">
        <v>0.64</v>
      </c>
      <c r="I45" s="10">
        <v>12.67</v>
      </c>
      <c r="J45" s="12" t="s">
        <v>53</v>
      </c>
      <c r="K45" s="2">
        <f t="shared" si="271"/>
        <v>45.835164835164825</v>
      </c>
      <c r="L45" s="2">
        <f t="shared" si="272"/>
        <v>1.0659340659340659</v>
      </c>
      <c r="M45" s="6">
        <f t="shared" si="273"/>
        <v>0.91</v>
      </c>
      <c r="N45" s="9">
        <v>0.08</v>
      </c>
      <c r="O45" s="13">
        <v>0.52</v>
      </c>
      <c r="P45" s="9">
        <v>0.36</v>
      </c>
      <c r="Q45" s="9">
        <v>0.03</v>
      </c>
      <c r="R45" s="10">
        <v>0.57999999999999996</v>
      </c>
      <c r="S45" s="12" t="s">
        <v>53</v>
      </c>
      <c r="T45" s="2">
        <f t="shared" ref="T45" si="285">ROUND(B45/K45,3)</f>
        <v>0.53700000000000003</v>
      </c>
      <c r="U45" s="2">
        <f t="shared" ref="U45" si="286">ROUND(C45/L45,3)</f>
        <v>1.036</v>
      </c>
      <c r="V45" s="6">
        <f t="shared" ref="V45" si="287">ROUND(D45/M45,3)</f>
        <v>22.428999999999998</v>
      </c>
      <c r="W45" s="9">
        <f t="shared" ref="W45" si="288">ROUND(E45/N45,3)</f>
        <v>9.875</v>
      </c>
      <c r="X45" s="13">
        <f t="shared" ref="X45" si="289">ROUND(F45/O45,3)</f>
        <v>16.827000000000002</v>
      </c>
      <c r="Y45" s="9">
        <f t="shared" ref="Y45" si="290">ROUND(G45/P45,3)</f>
        <v>30.611000000000001</v>
      </c>
      <c r="Z45" s="9">
        <f t="shared" ref="Z45" si="291">ROUND(H45/Q45,3)</f>
        <v>21.332999999999998</v>
      </c>
      <c r="AA45" s="10">
        <f t="shared" ref="AA45" si="292">ROUND(I45/R45,3)</f>
        <v>21.844999999999999</v>
      </c>
    </row>
    <row r="46" spans="1:28" ht="14.25" customHeight="1" x14ac:dyDescent="0.2">
      <c r="A46" s="12" t="s">
        <v>54</v>
      </c>
      <c r="B46" s="5">
        <f t="shared" ref="B46" si="293">D$2/D46</f>
        <v>24.611845325501712</v>
      </c>
      <c r="C46" s="5">
        <f t="shared" ref="C46" si="294">D45/D46</f>
        <v>0.99902104747919729</v>
      </c>
      <c r="D46" s="4">
        <f t="shared" ref="D46" si="295">SUM(F46:H46)</f>
        <v>20.43</v>
      </c>
      <c r="E46" s="9">
        <v>0.78</v>
      </c>
      <c r="F46" s="9">
        <v>8.7799999999999994</v>
      </c>
      <c r="G46" s="9">
        <v>11.01</v>
      </c>
      <c r="H46" s="9">
        <v>0.64</v>
      </c>
      <c r="I46" s="14">
        <v>9.81</v>
      </c>
      <c r="J46" s="12" t="s">
        <v>54</v>
      </c>
      <c r="K46" s="5">
        <f t="shared" si="271"/>
        <v>45.835164835164825</v>
      </c>
      <c r="L46" s="5">
        <f t="shared" si="272"/>
        <v>1</v>
      </c>
      <c r="M46" s="4">
        <f t="shared" si="273"/>
        <v>0.91</v>
      </c>
      <c r="N46" s="9">
        <v>0.09</v>
      </c>
      <c r="O46" s="9">
        <v>0.52</v>
      </c>
      <c r="P46" s="9">
        <v>0.36</v>
      </c>
      <c r="Q46" s="9">
        <v>0.03</v>
      </c>
      <c r="R46" s="14">
        <v>0.34</v>
      </c>
      <c r="S46" s="12" t="s">
        <v>54</v>
      </c>
      <c r="T46" s="5">
        <f t="shared" ref="T46" si="296">ROUND(B46/K46,3)</f>
        <v>0.53700000000000003</v>
      </c>
      <c r="U46" s="5">
        <f t="shared" ref="U46" si="297">ROUND(C46/L46,3)</f>
        <v>0.999</v>
      </c>
      <c r="V46" s="4">
        <f t="shared" ref="V46" si="298">ROUND(D46/M46,3)</f>
        <v>22.451000000000001</v>
      </c>
      <c r="W46" s="9">
        <f t="shared" ref="W46" si="299">ROUND(E46/N46,3)</f>
        <v>8.6669999999999998</v>
      </c>
      <c r="X46" s="9">
        <f t="shared" ref="X46" si="300">ROUND(F46/O46,3)</f>
        <v>16.885000000000002</v>
      </c>
      <c r="Y46" s="9">
        <f t="shared" ref="Y46" si="301">ROUND(G46/P46,3)</f>
        <v>30.582999999999998</v>
      </c>
      <c r="Z46" s="9">
        <f t="shared" ref="Z46" si="302">ROUND(H46/Q46,3)</f>
        <v>21.332999999999998</v>
      </c>
      <c r="AA46" s="14">
        <f t="shared" ref="AA46" si="303">ROUND(I46/R46,3)</f>
        <v>28.853000000000002</v>
      </c>
    </row>
    <row r="47" spans="1:28" ht="14.25" customHeight="1" x14ac:dyDescent="0.2">
      <c r="A47" s="12" t="s">
        <v>55</v>
      </c>
      <c r="B47" s="5">
        <f t="shared" ref="B47" si="304">D$2/D47</f>
        <v>25.128435782108944</v>
      </c>
      <c r="C47" s="5">
        <f t="shared" ref="C47" si="305">D46/D47</f>
        <v>1.0209895052473763</v>
      </c>
      <c r="D47" s="4">
        <f t="shared" ref="D47" si="306">SUM(F47:H47)</f>
        <v>20.009999999999998</v>
      </c>
      <c r="E47" s="9">
        <v>0.8</v>
      </c>
      <c r="F47" s="9">
        <v>8.69</v>
      </c>
      <c r="G47" s="13">
        <v>10.68</v>
      </c>
      <c r="H47" s="9">
        <v>0.64</v>
      </c>
      <c r="I47" s="14">
        <v>9.42</v>
      </c>
      <c r="J47" s="12" t="s">
        <v>56</v>
      </c>
      <c r="K47" s="5">
        <f t="shared" ref="K47" si="307">M$2/M47</f>
        <v>47.397727272727266</v>
      </c>
      <c r="L47" s="5">
        <f t="shared" ref="L47" si="308">M46/M47</f>
        <v>1.0340909090909092</v>
      </c>
      <c r="M47" s="4">
        <f t="shared" ref="M47" si="309">SUM(O47:Q47)</f>
        <v>0.88</v>
      </c>
      <c r="N47" s="9">
        <v>0.08</v>
      </c>
      <c r="O47" s="9">
        <v>0.49</v>
      </c>
      <c r="P47" s="13">
        <v>0.36</v>
      </c>
      <c r="Q47" s="9">
        <v>0.03</v>
      </c>
      <c r="R47" s="14">
        <v>0.33</v>
      </c>
      <c r="S47" s="12" t="s">
        <v>56</v>
      </c>
      <c r="T47" s="5">
        <f t="shared" ref="T47" si="310">ROUND(B47/K47,3)</f>
        <v>0.53</v>
      </c>
      <c r="U47" s="5">
        <f t="shared" ref="U47" si="311">ROUND(C47/L47,3)</f>
        <v>0.98699999999999999</v>
      </c>
      <c r="V47" s="4">
        <f t="shared" ref="V47" si="312">ROUND(D47/M47,3)</f>
        <v>22.739000000000001</v>
      </c>
      <c r="W47" s="9">
        <f t="shared" ref="W47" si="313">ROUND(E47/N47,3)</f>
        <v>10</v>
      </c>
      <c r="X47" s="9">
        <f t="shared" ref="X47" si="314">ROUND(F47/O47,3)</f>
        <v>17.734999999999999</v>
      </c>
      <c r="Y47" s="13">
        <f t="shared" ref="Y47" si="315">ROUND(G47/P47,3)</f>
        <v>29.667000000000002</v>
      </c>
      <c r="Z47" s="9">
        <f t="shared" ref="Z47" si="316">ROUND(H47/Q47,3)</f>
        <v>21.332999999999998</v>
      </c>
      <c r="AA47" s="14">
        <f t="shared" ref="AA47" si="317">ROUND(I47/R47,3)</f>
        <v>28.545000000000002</v>
      </c>
    </row>
    <row r="48" spans="1:28" ht="14.25" customHeight="1" x14ac:dyDescent="0.2">
      <c r="A48" s="12" t="s">
        <v>57</v>
      </c>
      <c r="B48" s="2">
        <f t="shared" ref="B48" si="318">D$2/D48</f>
        <v>27.062432723358448</v>
      </c>
      <c r="C48" s="2">
        <f t="shared" ref="C48" si="319">D47/D48</f>
        <v>1.0769644779332617</v>
      </c>
      <c r="D48" s="6">
        <f t="shared" ref="D48" si="320">SUM(F48:H48)</f>
        <v>18.579999999999998</v>
      </c>
      <c r="E48" s="9">
        <v>0.91</v>
      </c>
      <c r="F48" s="18">
        <v>8.6300000000000008</v>
      </c>
      <c r="G48" s="13">
        <v>9.3000000000000007</v>
      </c>
      <c r="H48" s="9">
        <v>0.65</v>
      </c>
      <c r="I48" s="14">
        <v>7.11</v>
      </c>
      <c r="J48" s="12" t="s">
        <v>57</v>
      </c>
      <c r="K48" s="2">
        <f t="shared" ref="K48" si="321">M$2/M48</f>
        <v>53.474358974358964</v>
      </c>
      <c r="L48" s="2">
        <f t="shared" ref="L48" si="322">M47/M48</f>
        <v>1.1282051282051282</v>
      </c>
      <c r="M48" s="6">
        <f t="shared" ref="M48" si="323">SUM(O48:Q48)</f>
        <v>0.78</v>
      </c>
      <c r="N48" s="9">
        <v>0.08</v>
      </c>
      <c r="O48" s="9">
        <v>0.5</v>
      </c>
      <c r="P48" s="13">
        <v>0.25</v>
      </c>
      <c r="Q48" s="9">
        <v>0.03</v>
      </c>
      <c r="R48" s="14">
        <v>0.25</v>
      </c>
      <c r="S48" s="12" t="s">
        <v>57</v>
      </c>
      <c r="T48" s="2">
        <f t="shared" ref="T48" si="324">ROUND(B48/K48,3)</f>
        <v>0.50600000000000001</v>
      </c>
      <c r="U48" s="2">
        <f t="shared" ref="U48" si="325">ROUND(C48/L48,3)</f>
        <v>0.95499999999999996</v>
      </c>
      <c r="V48" s="6">
        <f t="shared" ref="V48" si="326">ROUND(D48/M48,3)</f>
        <v>23.821000000000002</v>
      </c>
      <c r="W48" s="9">
        <f t="shared" ref="W48" si="327">ROUND(E48/N48,3)</f>
        <v>11.375</v>
      </c>
      <c r="X48" s="9">
        <f t="shared" ref="X48" si="328">ROUND(F48/O48,3)</f>
        <v>17.260000000000002</v>
      </c>
      <c r="Y48" s="13">
        <f t="shared" ref="Y48" si="329">ROUND(G48/P48,3)</f>
        <v>37.200000000000003</v>
      </c>
      <c r="Z48" s="9">
        <f t="shared" ref="Z48" si="330">ROUND(H48/Q48,3)</f>
        <v>21.667000000000002</v>
      </c>
      <c r="AA48" s="14">
        <f t="shared" ref="AA48" si="331">ROUND(I48/R48,3)</f>
        <v>28.44</v>
      </c>
    </row>
    <row r="49" spans="1:27" ht="14.25" customHeight="1" x14ac:dyDescent="0.2">
      <c r="A49" s="12" t="s">
        <v>58</v>
      </c>
      <c r="B49" s="5">
        <f t="shared" ref="B49" si="332">D$2/D49</f>
        <v>27.312330255296033</v>
      </c>
      <c r="C49" s="5">
        <f t="shared" ref="C49" si="333">D48/D49</f>
        <v>1.0092341118957087</v>
      </c>
      <c r="D49" s="4">
        <f t="shared" ref="D49" si="334">SUM(F49:H49)</f>
        <v>18.41</v>
      </c>
      <c r="E49" s="13">
        <v>0.6</v>
      </c>
      <c r="F49" s="9">
        <v>8.69</v>
      </c>
      <c r="G49" s="9">
        <v>9.08</v>
      </c>
      <c r="H49" s="9">
        <v>0.64</v>
      </c>
      <c r="I49" s="14">
        <v>6.94</v>
      </c>
      <c r="J49" s="12" t="s">
        <v>58</v>
      </c>
      <c r="K49" s="5">
        <f t="shared" ref="K49" si="335">M$2/M49</f>
        <v>54.168831168831161</v>
      </c>
      <c r="L49" s="5">
        <f t="shared" ref="L49" si="336">M48/M49</f>
        <v>1.0129870129870131</v>
      </c>
      <c r="M49" s="4">
        <f t="shared" ref="M49" si="337">SUM(O49:Q49)</f>
        <v>0.77</v>
      </c>
      <c r="N49" s="13">
        <v>7.0000000000000007E-2</v>
      </c>
      <c r="O49" s="9">
        <v>0.5</v>
      </c>
      <c r="P49" s="9">
        <v>0.24</v>
      </c>
      <c r="Q49" s="9">
        <v>0.03</v>
      </c>
      <c r="R49" s="14">
        <v>0.24</v>
      </c>
      <c r="S49" s="12" t="s">
        <v>58</v>
      </c>
      <c r="T49" s="5">
        <f t="shared" ref="T49" si="338">ROUND(B49/K49,3)</f>
        <v>0.504</v>
      </c>
      <c r="U49" s="5">
        <f t="shared" ref="U49" si="339">ROUND(C49/L49,3)</f>
        <v>0.996</v>
      </c>
      <c r="V49" s="4">
        <f t="shared" ref="V49" si="340">ROUND(D49/M49,3)</f>
        <v>23.908999999999999</v>
      </c>
      <c r="W49" s="13">
        <f t="shared" ref="W49" si="341">ROUND(E49/N49,3)</f>
        <v>8.5709999999999997</v>
      </c>
      <c r="X49" s="18">
        <f t="shared" ref="X49" si="342">ROUND(F49/O49,3)</f>
        <v>17.38</v>
      </c>
      <c r="Y49" s="18">
        <f t="shared" ref="Y49" si="343">ROUND(G49/P49,3)</f>
        <v>37.832999999999998</v>
      </c>
      <c r="Z49" s="18">
        <f t="shared" ref="Z49" si="344">ROUND(H49/Q49,3)</f>
        <v>21.332999999999998</v>
      </c>
      <c r="AA49" s="14">
        <f t="shared" ref="AA49" si="345">ROUND(I49/R49,3)</f>
        <v>28.917000000000002</v>
      </c>
    </row>
    <row r="50" spans="1:27" ht="14.25" customHeight="1" x14ac:dyDescent="0.2">
      <c r="A50" s="12" t="s">
        <v>59</v>
      </c>
      <c r="B50" s="2">
        <f t="shared" ref="B50" si="346">D$2/D50</f>
        <v>28.699771689497712</v>
      </c>
      <c r="C50" s="2">
        <f t="shared" ref="C50" si="347">D49/D50</f>
        <v>1.0507990867579908</v>
      </c>
      <c r="D50" s="6">
        <f t="shared" ref="D50" si="348">SUM(F50:H50)</f>
        <v>17.52</v>
      </c>
      <c r="E50" s="9">
        <v>0.69</v>
      </c>
      <c r="F50" s="13">
        <v>7.78</v>
      </c>
      <c r="G50" s="9">
        <v>9.09</v>
      </c>
      <c r="H50" s="9">
        <v>0.65</v>
      </c>
      <c r="I50" s="10">
        <v>6.91</v>
      </c>
      <c r="J50" s="12" t="s">
        <v>59</v>
      </c>
      <c r="K50" s="2">
        <f t="shared" ref="K50" si="349">M$2/M50</f>
        <v>56.364864864864856</v>
      </c>
      <c r="L50" s="2">
        <f t="shared" ref="L50" si="350">M49/M50</f>
        <v>1.0405405405405406</v>
      </c>
      <c r="M50" s="6">
        <f t="shared" ref="M50" si="351">SUM(O50:Q50)</f>
        <v>0.74</v>
      </c>
      <c r="N50" s="9">
        <v>7.0000000000000007E-2</v>
      </c>
      <c r="O50" s="13">
        <v>0.47</v>
      </c>
      <c r="P50" s="9">
        <v>0.24</v>
      </c>
      <c r="Q50" s="9">
        <v>0.03</v>
      </c>
      <c r="R50" s="10">
        <v>0.24</v>
      </c>
      <c r="S50" s="12" t="s">
        <v>59</v>
      </c>
      <c r="T50" s="2">
        <f t="shared" ref="T50" si="352">ROUND(B50/K50,3)</f>
        <v>0.50900000000000001</v>
      </c>
      <c r="U50" s="2">
        <f t="shared" ref="U50" si="353">ROUND(C50/L50,3)</f>
        <v>1.01</v>
      </c>
      <c r="V50" s="6">
        <f t="shared" ref="V50" si="354">ROUND(D50/M50,3)</f>
        <v>23.675999999999998</v>
      </c>
      <c r="W50" s="18">
        <f t="shared" ref="W50" si="355">ROUND(E50/N50,3)</f>
        <v>9.8569999999999993</v>
      </c>
      <c r="X50" s="13">
        <f t="shared" ref="X50" si="356">ROUND(F50/O50,3)</f>
        <v>16.553000000000001</v>
      </c>
      <c r="Y50" s="18">
        <f t="shared" ref="Y50" si="357">ROUND(G50/P50,3)</f>
        <v>37.875</v>
      </c>
      <c r="Z50" s="18">
        <f t="shared" ref="Z50" si="358">ROUND(H50/Q50,3)</f>
        <v>21.667000000000002</v>
      </c>
      <c r="AA50" s="19">
        <f t="shared" ref="AA50" si="359">ROUND(I50/R50,3)</f>
        <v>28.792000000000002</v>
      </c>
    </row>
  </sheetData>
  <phoneticPr fontId="2" type="noConversion"/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2026-05-01T09:02:42Z</dcterms:created>
  <dcterms:modified xsi:type="dcterms:W3CDTF">2026-09-08T08:17:00Z</dcterms:modified>
</cp:coreProperties>
</file>