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gram Files\First Publisher\bin\i386-win32\pas\数学问题\diandeng\"/>
    </mc:Choice>
  </mc:AlternateContent>
  <xr:revisionPtr revIDLastSave="0" documentId="13_ncr:1_{FFF35255-8AFC-4E24-85FE-8AB7830C90B0}" xr6:coauthVersionLast="47" xr6:coauthVersionMax="47" xr10:uidLastSave="{00000000-0000-0000-0000-000000000000}"/>
  <bookViews>
    <workbookView xWindow="2730" yWindow="2730" windowWidth="28800" windowHeight="15345" xr2:uid="{7D9E62D1-CE3F-4CF7-9B1B-78C5766E129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2" l="1"/>
  <c r="U2" i="2"/>
  <c r="W2" i="2"/>
  <c r="X2" i="2"/>
  <c r="Y2" i="2"/>
  <c r="Z2" i="2"/>
  <c r="AA2" i="2"/>
  <c r="K3" i="2"/>
  <c r="L3" i="2"/>
  <c r="W3" i="2"/>
  <c r="X3" i="2"/>
  <c r="Y3" i="2"/>
  <c r="Z3" i="2"/>
  <c r="AA3" i="2"/>
  <c r="M4" i="2"/>
  <c r="L5" i="2" s="1"/>
  <c r="V4" i="2"/>
  <c r="W4" i="2"/>
  <c r="X4" i="2"/>
  <c r="Y4" i="2"/>
  <c r="Z4" i="2"/>
  <c r="AA4" i="2"/>
  <c r="M5" i="2"/>
  <c r="K5" i="2" s="1"/>
  <c r="W5" i="2"/>
  <c r="X5" i="2"/>
  <c r="Y5" i="2"/>
  <c r="Z5" i="2"/>
  <c r="AA5" i="2"/>
  <c r="M6" i="2"/>
  <c r="K6" i="2" s="1"/>
  <c r="W6" i="2"/>
  <c r="X6" i="2"/>
  <c r="Y6" i="2"/>
  <c r="Z6" i="2"/>
  <c r="AA6" i="2"/>
  <c r="M7" i="2"/>
  <c r="L8" i="2" s="1"/>
  <c r="V7" i="2"/>
  <c r="W7" i="2"/>
  <c r="X7" i="2"/>
  <c r="Y7" i="2"/>
  <c r="Z7" i="2"/>
  <c r="AA7" i="2"/>
  <c r="K8" i="2"/>
  <c r="M8" i="2"/>
  <c r="W8" i="2"/>
  <c r="X8" i="2"/>
  <c r="Y8" i="2"/>
  <c r="Z8" i="2"/>
  <c r="AA8" i="2"/>
  <c r="M9" i="2"/>
  <c r="L10" i="2" s="1"/>
  <c r="V9" i="2"/>
  <c r="W9" i="2"/>
  <c r="X9" i="2"/>
  <c r="Y9" i="2"/>
  <c r="Z9" i="2"/>
  <c r="AA9" i="2"/>
  <c r="M10" i="2"/>
  <c r="K10" i="2" s="1"/>
  <c r="M11" i="2"/>
  <c r="K11" i="2" s="1"/>
  <c r="M12" i="2"/>
  <c r="K12" i="2" s="1"/>
  <c r="M13" i="2"/>
  <c r="K13" i="2" s="1"/>
  <c r="M14" i="2"/>
  <c r="M15" i="2"/>
  <c r="K15" i="2" s="1"/>
  <c r="M16" i="2"/>
  <c r="L16" i="2" s="1"/>
  <c r="M17" i="2"/>
  <c r="L17" i="2" s="1"/>
  <c r="K18" i="2"/>
  <c r="M18" i="2"/>
  <c r="M19" i="2"/>
  <c r="K19" i="2" s="1"/>
  <c r="M20" i="2"/>
  <c r="K20" i="2" s="1"/>
  <c r="M21" i="2"/>
  <c r="K21" i="2" s="1"/>
  <c r="M22" i="2"/>
  <c r="K22" i="2" s="1"/>
  <c r="M23" i="2"/>
  <c r="K23" i="2" s="1"/>
  <c r="C12" i="2"/>
  <c r="B12" i="2"/>
  <c r="C11" i="2"/>
  <c r="B11" i="2"/>
  <c r="B5" i="2"/>
  <c r="C4" i="2"/>
  <c r="B4" i="2"/>
  <c r="D23" i="2"/>
  <c r="B23" i="2" s="1"/>
  <c r="D22" i="2"/>
  <c r="B22" i="2" s="1"/>
  <c r="D21" i="2"/>
  <c r="AA23" i="2"/>
  <c r="Z23" i="2"/>
  <c r="Y23" i="2"/>
  <c r="X23" i="2"/>
  <c r="W23" i="2"/>
  <c r="AA22" i="2"/>
  <c r="Z22" i="2"/>
  <c r="Y22" i="2"/>
  <c r="X22" i="2"/>
  <c r="W22" i="2"/>
  <c r="AA21" i="2"/>
  <c r="Z21" i="2"/>
  <c r="Y21" i="2"/>
  <c r="X21" i="2"/>
  <c r="W21" i="2"/>
  <c r="AA20" i="2"/>
  <c r="Z20" i="2"/>
  <c r="Y20" i="2"/>
  <c r="X20" i="2"/>
  <c r="W20" i="2"/>
  <c r="D20" i="2"/>
  <c r="C21" i="2" s="1"/>
  <c r="AA19" i="2"/>
  <c r="Z19" i="2"/>
  <c r="Y19" i="2"/>
  <c r="X19" i="2"/>
  <c r="W19" i="2"/>
  <c r="D19" i="2"/>
  <c r="D2" i="2"/>
  <c r="B10" i="2" s="1"/>
  <c r="D3" i="2"/>
  <c r="V3" i="2" s="1"/>
  <c r="D4" i="2"/>
  <c r="D5" i="2"/>
  <c r="V5" i="2" s="1"/>
  <c r="D6" i="2"/>
  <c r="C7" i="2" s="1"/>
  <c r="D7" i="2"/>
  <c r="C8" i="2" s="1"/>
  <c r="D8" i="2"/>
  <c r="C9" i="2" s="1"/>
  <c r="D9" i="2"/>
  <c r="C10" i="2" s="1"/>
  <c r="D10" i="2"/>
  <c r="D11" i="2"/>
  <c r="D12" i="2"/>
  <c r="D13" i="2"/>
  <c r="C13" i="2" s="1"/>
  <c r="D14" i="2"/>
  <c r="C15" i="2" s="1"/>
  <c r="D15" i="2"/>
  <c r="B15" i="2" s="1"/>
  <c r="D16" i="2"/>
  <c r="C17" i="2" s="1"/>
  <c r="D17" i="2"/>
  <c r="D18" i="2"/>
  <c r="W18" i="2"/>
  <c r="X18" i="2"/>
  <c r="Y18" i="2"/>
  <c r="Z18" i="2"/>
  <c r="AA18" i="2"/>
  <c r="AA17" i="2"/>
  <c r="Z17" i="2"/>
  <c r="Y17" i="2"/>
  <c r="X17" i="2"/>
  <c r="W17" i="2"/>
  <c r="W16" i="2"/>
  <c r="X16" i="2"/>
  <c r="Y16" i="2"/>
  <c r="Z16" i="2"/>
  <c r="AA16" i="2"/>
  <c r="W15" i="2"/>
  <c r="X15" i="2"/>
  <c r="Y15" i="2"/>
  <c r="Z15" i="2"/>
  <c r="AA15" i="2"/>
  <c r="W10" i="2"/>
  <c r="W11" i="2"/>
  <c r="W12" i="2"/>
  <c r="W13" i="2"/>
  <c r="W14" i="2"/>
  <c r="X13" i="2"/>
  <c r="Y13" i="2"/>
  <c r="Z13" i="2"/>
  <c r="AA13" i="2"/>
  <c r="X14" i="2"/>
  <c r="Y14" i="2"/>
  <c r="Z14" i="2"/>
  <c r="AA14" i="2"/>
  <c r="Z12" i="2"/>
  <c r="Y12" i="2"/>
  <c r="X12" i="2"/>
  <c r="AA12" i="2"/>
  <c r="Z11" i="2"/>
  <c r="Y11" i="2"/>
  <c r="X11" i="2"/>
  <c r="AA11" i="2"/>
  <c r="Z10" i="2"/>
  <c r="Y10" i="2"/>
  <c r="X10" i="2"/>
  <c r="AA10" i="2"/>
  <c r="B14" i="2" l="1"/>
  <c r="K16" i="2"/>
  <c r="L9" i="2"/>
  <c r="U9" i="2" s="1"/>
  <c r="U8" i="2"/>
  <c r="B13" i="2"/>
  <c r="K9" i="2"/>
  <c r="C14" i="2"/>
  <c r="C5" i="2"/>
  <c r="U5" i="2" s="1"/>
  <c r="L15" i="2"/>
  <c r="L4" i="2"/>
  <c r="U4" i="2" s="1"/>
  <c r="B6" i="2"/>
  <c r="T6" i="2" s="1"/>
  <c r="B16" i="2"/>
  <c r="U3" i="2"/>
  <c r="C6" i="2"/>
  <c r="C16" i="2"/>
  <c r="L13" i="2"/>
  <c r="T3" i="2"/>
  <c r="K4" i="2"/>
  <c r="T4" i="2" s="1"/>
  <c r="B7" i="2"/>
  <c r="B17" i="2"/>
  <c r="K17" i="2"/>
  <c r="V8" i="2"/>
  <c r="B8" i="2"/>
  <c r="T8" i="2"/>
  <c r="T5" i="2"/>
  <c r="L11" i="2"/>
  <c r="B9" i="2"/>
  <c r="T9" i="2" s="1"/>
  <c r="V2" i="2"/>
  <c r="L18" i="2"/>
  <c r="C20" i="2"/>
  <c r="C23" i="2"/>
  <c r="C19" i="2"/>
  <c r="V23" i="2"/>
  <c r="C22" i="2"/>
  <c r="B18" i="2"/>
  <c r="C18" i="2"/>
  <c r="B19" i="2"/>
  <c r="B20" i="2"/>
  <c r="T20" i="2" s="1"/>
  <c r="B21" i="2"/>
  <c r="T21" i="2" s="1"/>
  <c r="L14" i="2"/>
  <c r="K14" i="2"/>
  <c r="L20" i="2"/>
  <c r="L19" i="2"/>
  <c r="L7" i="2"/>
  <c r="U7" i="2" s="1"/>
  <c r="L12" i="2"/>
  <c r="K7" i="2"/>
  <c r="T7" i="2" s="1"/>
  <c r="V6" i="2"/>
  <c r="L23" i="2"/>
  <c r="L22" i="2"/>
  <c r="L6" i="2"/>
  <c r="L21" i="2"/>
  <c r="T22" i="2"/>
  <c r="V21" i="2"/>
  <c r="U21" i="2"/>
  <c r="T23" i="2"/>
  <c r="V22" i="2"/>
  <c r="V20" i="2"/>
  <c r="C3" i="2"/>
  <c r="V19" i="2"/>
  <c r="B3" i="2"/>
  <c r="V18" i="2"/>
  <c r="V17" i="2"/>
  <c r="V13" i="2"/>
  <c r="V10" i="2"/>
  <c r="V11" i="2"/>
  <c r="V16" i="2"/>
  <c r="V15" i="2"/>
  <c r="V14" i="2"/>
  <c r="V12" i="2"/>
  <c r="U20" i="2" l="1"/>
  <c r="U23" i="2"/>
  <c r="U6" i="2"/>
  <c r="U22" i="2"/>
  <c r="T17" i="2"/>
  <c r="T18" i="2"/>
  <c r="T19" i="2"/>
  <c r="U19" i="2"/>
  <c r="U17" i="2"/>
  <c r="U18" i="2"/>
  <c r="U15" i="2"/>
  <c r="U14" i="2"/>
  <c r="T10" i="2"/>
  <c r="U10" i="2"/>
  <c r="T11" i="2"/>
  <c r="U13" i="2"/>
  <c r="T16" i="2"/>
  <c r="U16" i="2"/>
  <c r="U11" i="2"/>
  <c r="T13" i="2"/>
  <c r="T14" i="2"/>
  <c r="T15" i="2"/>
  <c r="T12" i="2"/>
  <c r="U12" i="2"/>
</calcChain>
</file>

<file path=xl/sharedStrings.xml><?xml version="1.0" encoding="utf-8"?>
<sst xmlns="http://schemas.openxmlformats.org/spreadsheetml/2006/main" count="93" uniqueCount="32">
  <si>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</si>
  <si>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</si>
  <si>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</si>
  <si>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</si>
  <si>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</si>
  <si>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</si>
  <si>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</si>
  <si>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</si>
  <si>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</si>
  <si>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</si>
  <si>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q</t>
  </si>
  <si>
    <t>z</t>
  </si>
  <si>
    <t>x</t>
  </si>
  <si>
    <t>上一</t>
    <phoneticPr fontId="2" type="noConversion"/>
  </si>
  <si>
    <t>第一</t>
    <phoneticPr fontId="2" type="noConversion"/>
  </si>
  <si>
    <t>A</t>
    <phoneticPr fontId="2" type="noConversion"/>
  </si>
  <si>
    <t>总计</t>
    <phoneticPr fontId="2" type="noConversion"/>
  </si>
  <si>
    <t>gen</t>
    <phoneticPr fontId="2" type="noConversion"/>
  </si>
  <si>
    <t>H33</t>
  </si>
  <si>
    <t>H34</t>
  </si>
  <si>
    <t>mak</t>
    <phoneticPr fontId="2" type="noConversion"/>
  </si>
  <si>
    <t>H35</t>
  </si>
  <si>
    <t>H37</t>
    <phoneticPr fontId="2" type="noConversion"/>
  </si>
  <si>
    <t>H38</t>
    <phoneticPr fontId="2" type="noConversion"/>
  </si>
  <si>
    <t>H39</t>
    <phoneticPr fontId="2" type="noConversion"/>
  </si>
  <si>
    <t>H41</t>
  </si>
  <si>
    <t>H42</t>
  </si>
  <si>
    <t>H43</t>
  </si>
  <si>
    <t>H22</t>
    <phoneticPr fontId="2" type="noConversion"/>
  </si>
  <si>
    <t>H40</t>
    <phoneticPr fontId="2" type="noConversion"/>
  </si>
  <si>
    <t>H36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</si>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</sst>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76" fontId="1" fillId="0" borderId="0" xfId="0" applyNumberFormat="1" applyFont="1" applyAlignment="1">
      <alignment horizontal="left" vertical="center" wrapText="1"/>
    </xf>
    <xf numFmtId="176" fontId="6" fillId="0" borderId="0" xfId="0" applyNumberFormat="1" applyFont="1" applyAlignment="1">
      <alignment horizontal="left" vertical="center" wrapText="1"/>
    </xf>
    <xf numFmtId="176" fontId="1" fillId="0" borderId="2" xfId="0" applyNumberFormat="1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3" fillId="0" borderId="2" xfId="0" applyNumberFormat="1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6" fillId="0" borderId="1" xfId="0" applyNumberFormat="1" applyFont="1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A733-9BF5-4E02-BF58-4A4E24DE2BDD}">
  <dimension ref="A1:AB23"/>
  <sheetViews>
    <sheetView tabSelected="1" workbookViewId="0">
      <selection activeCell="Q23" sqref="Q23"/>
    </sheetView>
  </sheetViews>
  <sheetFormatPr defaultColWidth="7.625" defaultRowHeight="14.25" customHeight="1" x14ac:dyDescent="0.2"/>
  <cols>
    <col min="1" max="1" width="7.625" style="12"/>
    <col min="2" max="3" width="7.625" style="9"/>
    <col min="4" max="4" width="7.625" style="9" customWidth="1"/>
    <col min="5" max="8" width="7.625" style="9"/>
    <col min="9" max="9" width="7.625" style="10"/>
    <col min="10" max="10" width="7.625" style="12"/>
    <col min="11" max="17" width="7.625" style="9"/>
    <col min="18" max="18" width="7.625" style="10"/>
    <col min="19" max="19" width="7.625" style="12"/>
    <col min="20" max="26" width="7.625" style="9"/>
    <col min="27" max="27" width="7.625" style="10"/>
    <col min="28" max="28" width="7.625" style="12"/>
    <col min="29" max="16384" width="7.625" style="9"/>
  </cols>
  <sheetData>
    <row r="1" spans="1:27" ht="14.25" customHeight="1" x14ac:dyDescent="0.2">
      <c r="A1" s="11" t="s">
        <v>15</v>
      </c>
      <c r="B1" s="2" t="s">
        <v>14</v>
      </c>
      <c r="C1" s="2" t="s">
        <v>13</v>
      </c>
      <c r="D1" s="1" t="s">
        <v>16</v>
      </c>
      <c r="E1" s="1" t="s">
        <v>20</v>
      </c>
      <c r="F1" s="1" t="s">
        <v>10</v>
      </c>
      <c r="G1" s="1" t="s">
        <v>11</v>
      </c>
      <c r="H1" s="1" t="s">
        <v>12</v>
      </c>
      <c r="I1" s="3" t="s">
        <v>17</v>
      </c>
      <c r="J1" s="11" t="s">
        <v>31</v>
      </c>
      <c r="K1" s="2" t="s">
        <v>14</v>
      </c>
      <c r="L1" s="2" t="s">
        <v>13</v>
      </c>
      <c r="M1" s="1" t="s">
        <v>16</v>
      </c>
      <c r="N1" s="1" t="s">
        <v>20</v>
      </c>
      <c r="O1" s="1" t="s">
        <v>10</v>
      </c>
      <c r="P1" s="1" t="s">
        <v>11</v>
      </c>
      <c r="Q1" s="1" t="s">
        <v>12</v>
      </c>
      <c r="R1" s="3" t="s">
        <v>17</v>
      </c>
      <c r="S1" s="11" t="s">
        <v>15</v>
      </c>
      <c r="T1" s="2" t="s">
        <v>14</v>
      </c>
      <c r="U1" s="2" t="s">
        <v>13</v>
      </c>
      <c r="V1" s="1" t="s">
        <v>16</v>
      </c>
      <c r="W1" s="1" t="s">
        <v>20</v>
      </c>
      <c r="X1" s="1" t="s">
        <v>10</v>
      </c>
      <c r="Y1" s="1" t="s">
        <v>11</v>
      </c>
      <c r="Z1" s="1" t="s">
        <v>12</v>
      </c>
      <c r="AA1" s="3" t="s">
        <v>17</v>
      </c>
    </row>
    <row r="2" spans="1:27" ht="14.25" customHeight="1" x14ac:dyDescent="0.2">
      <c r="A2" s="15" t="s">
        <v>28</v>
      </c>
      <c r="B2" s="5">
        <v>1</v>
      </c>
      <c r="C2" s="5">
        <v>1</v>
      </c>
      <c r="D2" s="4">
        <f>SUM(F2:H2)</f>
        <v>502.81999999999994</v>
      </c>
      <c r="E2" s="5">
        <v>369.63</v>
      </c>
      <c r="F2" s="8">
        <v>174.9</v>
      </c>
      <c r="G2" s="8">
        <v>144.88999999999999</v>
      </c>
      <c r="H2" s="8">
        <v>183.03</v>
      </c>
      <c r="I2" s="7">
        <v>293.08999999999997</v>
      </c>
      <c r="J2" s="15" t="s">
        <v>28</v>
      </c>
      <c r="K2" s="5">
        <v>1</v>
      </c>
      <c r="L2" s="5">
        <v>1</v>
      </c>
      <c r="M2" s="4">
        <v>41.709999999999994</v>
      </c>
      <c r="N2" s="5">
        <v>93.96</v>
      </c>
      <c r="O2" s="8">
        <v>6.59</v>
      </c>
      <c r="P2" s="8">
        <v>15.56</v>
      </c>
      <c r="Q2" s="8">
        <v>19.559999999999999</v>
      </c>
      <c r="R2" s="7">
        <v>33.96</v>
      </c>
      <c r="S2" s="15" t="s">
        <v>28</v>
      </c>
      <c r="T2" s="5">
        <f t="shared" ref="T2:T20" si="0">ROUND(B2/K2,3)</f>
        <v>1</v>
      </c>
      <c r="U2" s="5">
        <f t="shared" ref="U2:U20" si="1">ROUND(C2/L2,3)</f>
        <v>1</v>
      </c>
      <c r="V2" s="4">
        <f t="shared" ref="V2:V20" si="2">ROUND(D2/M2,3)</f>
        <v>12.055</v>
      </c>
      <c r="W2" s="5">
        <f t="shared" ref="W2:W20" si="3">ROUND(E2/N2,3)</f>
        <v>3.9340000000000002</v>
      </c>
      <c r="X2" s="8">
        <f t="shared" ref="X2:X20" si="4">ROUND(F2/O2,3)</f>
        <v>26.54</v>
      </c>
      <c r="Y2" s="8">
        <f t="shared" ref="Y2:Y20" si="5">ROUND(G2/P2,3)</f>
        <v>9.3119999999999994</v>
      </c>
      <c r="Z2" s="8">
        <f t="shared" ref="Z2:Z20" si="6">ROUND(H2/Q2,3)</f>
        <v>9.3569999999999993</v>
      </c>
      <c r="AA2" s="7">
        <f t="shared" ref="AA2:AA20" si="7">ROUND(I2/R2,3)</f>
        <v>8.6300000000000008</v>
      </c>
    </row>
    <row r="3" spans="1:27" ht="14.25" customHeight="1" x14ac:dyDescent="0.2">
      <c r="A3" s="15" t="s">
        <v>0</v>
      </c>
      <c r="B3" s="2">
        <f>D$2/D3</f>
        <v>1.5134695843241126</v>
      </c>
      <c r="C3" s="2">
        <f>D2/D3</f>
        <v>1.5134695843241126</v>
      </c>
      <c r="D3" s="6">
        <f t="shared" ref="D3:D14" si="8">SUM(F3:H3)</f>
        <v>332.23</v>
      </c>
      <c r="E3" s="5">
        <v>360.67</v>
      </c>
      <c r="F3" s="8">
        <v>175.4</v>
      </c>
      <c r="G3" s="8">
        <v>153.86000000000001</v>
      </c>
      <c r="H3" s="1">
        <v>2.97</v>
      </c>
      <c r="I3" s="7">
        <v>295.49</v>
      </c>
      <c r="J3" s="15" t="s">
        <v>0</v>
      </c>
      <c r="K3" s="2">
        <f>M$2/M3</f>
        <v>1.8221930974224549</v>
      </c>
      <c r="L3" s="2">
        <f>M2/M3</f>
        <v>1.8221930974224549</v>
      </c>
      <c r="M3" s="6">
        <v>22.89</v>
      </c>
      <c r="N3" s="5">
        <v>89.09</v>
      </c>
      <c r="O3" s="8">
        <v>6.74</v>
      </c>
      <c r="P3" s="8">
        <v>15.54</v>
      </c>
      <c r="Q3" s="1">
        <v>0.61</v>
      </c>
      <c r="R3" s="7">
        <v>33.75</v>
      </c>
      <c r="S3" s="15" t="s">
        <v>0</v>
      </c>
      <c r="T3" s="2">
        <f t="shared" si="0"/>
        <v>0.83099999999999996</v>
      </c>
      <c r="U3" s="2">
        <f t="shared" si="1"/>
        <v>0.83099999999999996</v>
      </c>
      <c r="V3" s="6">
        <f t="shared" si="2"/>
        <v>14.513999999999999</v>
      </c>
      <c r="W3" s="5">
        <f t="shared" si="3"/>
        <v>4.048</v>
      </c>
      <c r="X3" s="8">
        <f t="shared" si="4"/>
        <v>26.024000000000001</v>
      </c>
      <c r="Y3" s="8">
        <f t="shared" si="5"/>
        <v>9.9009999999999998</v>
      </c>
      <c r="Z3" s="1">
        <f t="shared" si="6"/>
        <v>4.8689999999999998</v>
      </c>
      <c r="AA3" s="7">
        <f t="shared" si="7"/>
        <v>8.7550000000000008</v>
      </c>
    </row>
    <row r="4" spans="1:27" ht="14.25" customHeight="1" x14ac:dyDescent="0.2">
      <c r="A4" s="15" t="s">
        <v>1</v>
      </c>
      <c r="B4" s="2">
        <f t="shared" ref="B4:B23" si="9">D$2/D4</f>
        <v>2.0672614397894993</v>
      </c>
      <c r="C4" s="2">
        <f t="shared" ref="C4:C23" si="10">D3/D4</f>
        <v>1.3659088105907988</v>
      </c>
      <c r="D4" s="6">
        <f t="shared" si="8"/>
        <v>243.23000000000002</v>
      </c>
      <c r="E4" s="5">
        <v>358.84</v>
      </c>
      <c r="F4" s="1">
        <v>91.11</v>
      </c>
      <c r="G4" s="8">
        <v>149.25</v>
      </c>
      <c r="H4" s="8">
        <v>2.87</v>
      </c>
      <c r="I4" s="7">
        <v>295.82</v>
      </c>
      <c r="J4" s="15" t="s">
        <v>1</v>
      </c>
      <c r="K4" s="2">
        <f t="shared" ref="K4:K23" si="11">M$2/M4</f>
        <v>1.9852451213707754</v>
      </c>
      <c r="L4" s="2">
        <f t="shared" ref="L4:L23" si="12">M3/M4</f>
        <v>1.0894811994288434</v>
      </c>
      <c r="M4" s="6">
        <f t="shared" ref="M4:M23" si="13">SUM(O4:Q4)</f>
        <v>21.01</v>
      </c>
      <c r="N4" s="5">
        <v>89.15</v>
      </c>
      <c r="O4" s="1">
        <v>4.7699999999999996</v>
      </c>
      <c r="P4" s="8">
        <v>15.64</v>
      </c>
      <c r="Q4" s="8">
        <v>0.6</v>
      </c>
      <c r="R4" s="7">
        <v>33.96</v>
      </c>
      <c r="S4" s="15" t="s">
        <v>1</v>
      </c>
      <c r="T4" s="2">
        <f t="shared" si="0"/>
        <v>1.0409999999999999</v>
      </c>
      <c r="U4" s="2">
        <f t="shared" si="1"/>
        <v>1.254</v>
      </c>
      <c r="V4" s="6">
        <f t="shared" si="2"/>
        <v>11.577</v>
      </c>
      <c r="W4" s="5">
        <f t="shared" si="3"/>
        <v>4.0250000000000004</v>
      </c>
      <c r="X4" s="1">
        <f t="shared" si="4"/>
        <v>19.100999999999999</v>
      </c>
      <c r="Y4" s="8">
        <f t="shared" si="5"/>
        <v>9.5429999999999993</v>
      </c>
      <c r="Z4" s="8">
        <f t="shared" si="6"/>
        <v>4.7830000000000004</v>
      </c>
      <c r="AA4" s="7">
        <f t="shared" si="7"/>
        <v>8.7110000000000003</v>
      </c>
    </row>
    <row r="5" spans="1:27" ht="14.25" customHeight="1" x14ac:dyDescent="0.2">
      <c r="A5" s="15" t="s">
        <v>2</v>
      </c>
      <c r="B5" s="2">
        <f t="shared" si="9"/>
        <v>2.2113642360805694</v>
      </c>
      <c r="C5" s="2">
        <f t="shared" si="10"/>
        <v>1.0697070982496262</v>
      </c>
      <c r="D5" s="6">
        <f t="shared" si="8"/>
        <v>227.38000000000002</v>
      </c>
      <c r="E5" s="5">
        <v>373.6</v>
      </c>
      <c r="F5" s="8">
        <v>92.29</v>
      </c>
      <c r="G5" s="1">
        <v>132.24</v>
      </c>
      <c r="H5" s="8">
        <v>2.85</v>
      </c>
      <c r="I5" s="7">
        <v>297.08999999999997</v>
      </c>
      <c r="J5" s="15" t="s">
        <v>2</v>
      </c>
      <c r="K5" s="2">
        <f t="shared" si="11"/>
        <v>3.435749588138385</v>
      </c>
      <c r="L5" s="2">
        <f t="shared" si="12"/>
        <v>1.7306425041186162</v>
      </c>
      <c r="M5" s="6">
        <f t="shared" si="13"/>
        <v>12.14</v>
      </c>
      <c r="N5" s="5">
        <v>89.78</v>
      </c>
      <c r="O5" s="8">
        <v>4.82</v>
      </c>
      <c r="P5" s="1">
        <v>6.71</v>
      </c>
      <c r="Q5" s="8">
        <v>0.61</v>
      </c>
      <c r="R5" s="7">
        <v>34.090000000000003</v>
      </c>
      <c r="S5" s="15" t="s">
        <v>2</v>
      </c>
      <c r="T5" s="2">
        <f t="shared" si="0"/>
        <v>0.64400000000000002</v>
      </c>
      <c r="U5" s="2">
        <f t="shared" si="1"/>
        <v>0.61799999999999999</v>
      </c>
      <c r="V5" s="6">
        <f t="shared" si="2"/>
        <v>18.73</v>
      </c>
      <c r="W5" s="5">
        <f t="shared" si="3"/>
        <v>4.1609999999999996</v>
      </c>
      <c r="X5" s="8">
        <f t="shared" si="4"/>
        <v>19.146999999999998</v>
      </c>
      <c r="Y5" s="1">
        <f t="shared" si="5"/>
        <v>19.707999999999998</v>
      </c>
      <c r="Z5" s="8">
        <f t="shared" si="6"/>
        <v>4.6719999999999997</v>
      </c>
      <c r="AA5" s="7">
        <f t="shared" si="7"/>
        <v>8.7149999999999999</v>
      </c>
    </row>
    <row r="6" spans="1:27" ht="14.25" customHeight="1" x14ac:dyDescent="0.2">
      <c r="A6" s="15" t="s">
        <v>3</v>
      </c>
      <c r="B6" s="5">
        <f t="shared" si="9"/>
        <v>2.2125319017864999</v>
      </c>
      <c r="C6" s="5">
        <f t="shared" si="10"/>
        <v>1.0005280295696561</v>
      </c>
      <c r="D6" s="4">
        <f t="shared" si="8"/>
        <v>227.26</v>
      </c>
      <c r="E6" s="5">
        <v>372.01</v>
      </c>
      <c r="F6" s="8">
        <v>93</v>
      </c>
      <c r="G6" s="8">
        <v>131.47</v>
      </c>
      <c r="H6" s="8">
        <v>2.79</v>
      </c>
      <c r="I6" s="3">
        <v>112.14</v>
      </c>
      <c r="J6" s="15" t="s">
        <v>3</v>
      </c>
      <c r="K6" s="5">
        <f t="shared" si="11"/>
        <v>3.444260941370767</v>
      </c>
      <c r="L6" s="5">
        <f t="shared" si="12"/>
        <v>1.0024772914946325</v>
      </c>
      <c r="M6" s="4">
        <f t="shared" si="13"/>
        <v>12.110000000000001</v>
      </c>
      <c r="N6" s="5">
        <v>89.96</v>
      </c>
      <c r="O6" s="8">
        <v>4.79</v>
      </c>
      <c r="P6" s="8">
        <v>6.69</v>
      </c>
      <c r="Q6" s="8">
        <v>0.63</v>
      </c>
      <c r="R6" s="3">
        <v>6.1</v>
      </c>
      <c r="S6" s="15" t="s">
        <v>3</v>
      </c>
      <c r="T6" s="5">
        <f t="shared" si="0"/>
        <v>0.64200000000000002</v>
      </c>
      <c r="U6" s="5">
        <f t="shared" si="1"/>
        <v>0.998</v>
      </c>
      <c r="V6" s="4">
        <f t="shared" si="2"/>
        <v>18.765999999999998</v>
      </c>
      <c r="W6" s="5">
        <f t="shared" si="3"/>
        <v>4.1349999999999998</v>
      </c>
      <c r="X6" s="8">
        <f t="shared" si="4"/>
        <v>19.414999999999999</v>
      </c>
      <c r="Y6" s="8">
        <f t="shared" si="5"/>
        <v>19.652000000000001</v>
      </c>
      <c r="Z6" s="8">
        <f t="shared" si="6"/>
        <v>4.4290000000000003</v>
      </c>
      <c r="AA6" s="3">
        <f t="shared" si="7"/>
        <v>18.384</v>
      </c>
    </row>
    <row r="7" spans="1:27" ht="14.25" customHeight="1" x14ac:dyDescent="0.2">
      <c r="A7" s="15" t="s">
        <v>4</v>
      </c>
      <c r="B7" s="5">
        <f t="shared" si="9"/>
        <v>2.1726656008296241</v>
      </c>
      <c r="C7" s="5">
        <f t="shared" si="10"/>
        <v>0.98198159270621777</v>
      </c>
      <c r="D7" s="4">
        <f t="shared" si="8"/>
        <v>231.43</v>
      </c>
      <c r="E7" s="5">
        <v>524.05999999999995</v>
      </c>
      <c r="F7" s="8">
        <v>98.24</v>
      </c>
      <c r="G7" s="8">
        <v>131.75</v>
      </c>
      <c r="H7" s="1">
        <v>1.44</v>
      </c>
      <c r="I7" s="7">
        <v>112.99</v>
      </c>
      <c r="J7" s="15" t="s">
        <v>4</v>
      </c>
      <c r="K7" s="5">
        <f t="shared" si="11"/>
        <v>3.5680068434559447</v>
      </c>
      <c r="L7" s="5">
        <f t="shared" si="12"/>
        <v>1.0359281437125749</v>
      </c>
      <c r="M7" s="4">
        <f t="shared" si="13"/>
        <v>11.69</v>
      </c>
      <c r="N7" s="5">
        <v>100.86</v>
      </c>
      <c r="O7" s="8">
        <v>4.71</v>
      </c>
      <c r="P7" s="8">
        <v>6.71</v>
      </c>
      <c r="Q7" s="1">
        <v>0.27</v>
      </c>
      <c r="R7" s="7">
        <v>6.05</v>
      </c>
      <c r="S7" s="15" t="s">
        <v>4</v>
      </c>
      <c r="T7" s="5">
        <f t="shared" si="0"/>
        <v>0.60899999999999999</v>
      </c>
      <c r="U7" s="5">
        <f t="shared" si="1"/>
        <v>0.94799999999999995</v>
      </c>
      <c r="V7" s="4">
        <f t="shared" si="2"/>
        <v>19.797000000000001</v>
      </c>
      <c r="W7" s="5">
        <f t="shared" si="3"/>
        <v>5.1959999999999997</v>
      </c>
      <c r="X7" s="8">
        <f t="shared" si="4"/>
        <v>20.858000000000001</v>
      </c>
      <c r="Y7" s="8">
        <f t="shared" si="5"/>
        <v>19.635000000000002</v>
      </c>
      <c r="Z7" s="1">
        <f t="shared" si="6"/>
        <v>5.3330000000000002</v>
      </c>
      <c r="AA7" s="7">
        <f t="shared" si="7"/>
        <v>18.675999999999998</v>
      </c>
    </row>
    <row r="8" spans="1:27" ht="14.25" customHeight="1" x14ac:dyDescent="0.2">
      <c r="A8" s="15" t="s">
        <v>5</v>
      </c>
      <c r="B8" s="5">
        <f t="shared" si="9"/>
        <v>2.1582110052365007</v>
      </c>
      <c r="C8" s="5">
        <f t="shared" si="10"/>
        <v>0.99334706841789</v>
      </c>
      <c r="D8" s="4">
        <f t="shared" si="8"/>
        <v>232.98</v>
      </c>
      <c r="E8" s="5">
        <v>667.66</v>
      </c>
      <c r="F8" s="8">
        <v>98.75</v>
      </c>
      <c r="G8" s="8">
        <v>132.88</v>
      </c>
      <c r="H8" s="8">
        <v>1.35</v>
      </c>
      <c r="I8" s="7">
        <v>114.88</v>
      </c>
      <c r="J8" s="15" t="s">
        <v>5</v>
      </c>
      <c r="K8" s="5">
        <f t="shared" si="11"/>
        <v>3.5895008605851975</v>
      </c>
      <c r="L8" s="5">
        <f t="shared" si="12"/>
        <v>1.0060240963855422</v>
      </c>
      <c r="M8" s="4">
        <f t="shared" si="13"/>
        <v>11.62</v>
      </c>
      <c r="N8" s="5">
        <v>121.4</v>
      </c>
      <c r="O8" s="8">
        <v>4.75</v>
      </c>
      <c r="P8" s="8">
        <v>6.6</v>
      </c>
      <c r="Q8" s="8">
        <v>0.27</v>
      </c>
      <c r="R8" s="7">
        <v>6.02</v>
      </c>
      <c r="S8" s="15" t="s">
        <v>5</v>
      </c>
      <c r="T8" s="5">
        <f t="shared" si="0"/>
        <v>0.60099999999999998</v>
      </c>
      <c r="U8" s="5">
        <f t="shared" si="1"/>
        <v>0.98699999999999999</v>
      </c>
      <c r="V8" s="4">
        <f t="shared" si="2"/>
        <v>20.05</v>
      </c>
      <c r="W8" s="5">
        <f t="shared" si="3"/>
        <v>5.5</v>
      </c>
      <c r="X8" s="8">
        <f t="shared" si="4"/>
        <v>20.789000000000001</v>
      </c>
      <c r="Y8" s="8">
        <f t="shared" si="5"/>
        <v>20.132999999999999</v>
      </c>
      <c r="Z8" s="8">
        <f t="shared" si="6"/>
        <v>5</v>
      </c>
      <c r="AA8" s="7">
        <f t="shared" si="7"/>
        <v>19.082999999999998</v>
      </c>
    </row>
    <row r="9" spans="1:27" ht="14.25" customHeight="1" x14ac:dyDescent="0.2">
      <c r="A9" s="15" t="s">
        <v>6</v>
      </c>
      <c r="B9" s="5">
        <f t="shared" si="9"/>
        <v>2.1661138155343984</v>
      </c>
      <c r="C9" s="5">
        <f t="shared" si="10"/>
        <v>1.0036617412656701</v>
      </c>
      <c r="D9" s="4">
        <f t="shared" si="8"/>
        <v>232.13</v>
      </c>
      <c r="E9" s="5">
        <v>669.91</v>
      </c>
      <c r="F9" s="8">
        <v>100.22</v>
      </c>
      <c r="G9" s="8">
        <v>130.52000000000001</v>
      </c>
      <c r="H9" s="8">
        <v>1.39</v>
      </c>
      <c r="I9" s="7">
        <v>112.53</v>
      </c>
      <c r="J9" s="15" t="s">
        <v>6</v>
      </c>
      <c r="K9" s="5">
        <f t="shared" si="11"/>
        <v>3.5680068434559447</v>
      </c>
      <c r="L9" s="5">
        <f t="shared" si="12"/>
        <v>0.99401197604790414</v>
      </c>
      <c r="M9" s="4">
        <f t="shared" si="13"/>
        <v>11.69</v>
      </c>
      <c r="N9" s="5">
        <v>123.25</v>
      </c>
      <c r="O9" s="8">
        <v>4.75</v>
      </c>
      <c r="P9" s="8">
        <v>6.66</v>
      </c>
      <c r="Q9" s="8">
        <v>0.28000000000000003</v>
      </c>
      <c r="R9" s="7">
        <v>6.05</v>
      </c>
      <c r="S9" s="15" t="s">
        <v>6</v>
      </c>
      <c r="T9" s="5">
        <f t="shared" si="0"/>
        <v>0.60699999999999998</v>
      </c>
      <c r="U9" s="5">
        <f t="shared" si="1"/>
        <v>1.01</v>
      </c>
      <c r="V9" s="4">
        <f t="shared" si="2"/>
        <v>19.856999999999999</v>
      </c>
      <c r="W9" s="5">
        <f t="shared" si="3"/>
        <v>5.4349999999999996</v>
      </c>
      <c r="X9" s="8">
        <f t="shared" si="4"/>
        <v>21.099</v>
      </c>
      <c r="Y9" s="8">
        <f t="shared" si="5"/>
        <v>19.597999999999999</v>
      </c>
      <c r="Z9" s="8">
        <f t="shared" si="6"/>
        <v>4.9640000000000004</v>
      </c>
      <c r="AA9" s="7">
        <f t="shared" si="7"/>
        <v>18.600000000000001</v>
      </c>
    </row>
    <row r="10" spans="1:27" ht="14.25" customHeight="1" x14ac:dyDescent="0.2">
      <c r="A10" s="15" t="s">
        <v>7</v>
      </c>
      <c r="B10" s="5">
        <f t="shared" si="9"/>
        <v>2.1769926830324287</v>
      </c>
      <c r="C10" s="5">
        <f t="shared" si="10"/>
        <v>1.0050222972680436</v>
      </c>
      <c r="D10" s="4">
        <f t="shared" si="8"/>
        <v>230.96999999999997</v>
      </c>
      <c r="E10" s="2">
        <v>338.85</v>
      </c>
      <c r="F10" s="8">
        <v>98.21</v>
      </c>
      <c r="G10" s="8">
        <v>131.38999999999999</v>
      </c>
      <c r="H10" s="8">
        <v>1.37</v>
      </c>
      <c r="I10" s="7">
        <v>112.43</v>
      </c>
      <c r="J10" s="15" t="s">
        <v>7</v>
      </c>
      <c r="K10" s="5">
        <f t="shared" si="11"/>
        <v>3.6112554112554109</v>
      </c>
      <c r="L10" s="5">
        <f t="shared" si="12"/>
        <v>1.0121212121212122</v>
      </c>
      <c r="M10" s="4">
        <f t="shared" si="13"/>
        <v>11.549999999999999</v>
      </c>
      <c r="N10" s="2">
        <v>101.72</v>
      </c>
      <c r="O10" s="8">
        <v>4.7</v>
      </c>
      <c r="P10" s="8">
        <v>6.57</v>
      </c>
      <c r="Q10" s="8">
        <v>0.28000000000000003</v>
      </c>
      <c r="R10" s="7">
        <v>5.97</v>
      </c>
      <c r="S10" s="15" t="s">
        <v>7</v>
      </c>
      <c r="T10" s="5">
        <f t="shared" si="0"/>
        <v>0.60299999999999998</v>
      </c>
      <c r="U10" s="5">
        <f t="shared" si="1"/>
        <v>0.99299999999999999</v>
      </c>
      <c r="V10" s="4">
        <f t="shared" si="2"/>
        <v>19.997</v>
      </c>
      <c r="W10" s="2">
        <f t="shared" si="3"/>
        <v>3.331</v>
      </c>
      <c r="X10" s="8">
        <f t="shared" si="4"/>
        <v>20.896000000000001</v>
      </c>
      <c r="Y10" s="8">
        <f t="shared" si="5"/>
        <v>19.998000000000001</v>
      </c>
      <c r="Z10" s="8">
        <f t="shared" si="6"/>
        <v>4.8929999999999998</v>
      </c>
      <c r="AA10" s="7">
        <f t="shared" si="7"/>
        <v>18.832000000000001</v>
      </c>
    </row>
    <row r="11" spans="1:27" ht="14.25" customHeight="1" x14ac:dyDescent="0.2">
      <c r="A11" s="15" t="s">
        <v>8</v>
      </c>
      <c r="B11" s="2">
        <f t="shared" si="9"/>
        <v>2.6913236632232507</v>
      </c>
      <c r="C11" s="2">
        <f t="shared" si="10"/>
        <v>1.23625756034898</v>
      </c>
      <c r="D11" s="6">
        <f t="shared" si="8"/>
        <v>186.83</v>
      </c>
      <c r="E11" s="5">
        <v>290.02999999999997</v>
      </c>
      <c r="F11" s="1">
        <v>53.19</v>
      </c>
      <c r="G11" s="8">
        <v>132.06</v>
      </c>
      <c r="H11" s="8">
        <v>1.58</v>
      </c>
      <c r="I11" s="7">
        <v>111.93</v>
      </c>
      <c r="J11" s="15" t="s">
        <v>8</v>
      </c>
      <c r="K11" s="2">
        <f t="shared" si="11"/>
        <v>3.9837631327602674</v>
      </c>
      <c r="L11" s="2">
        <f t="shared" si="12"/>
        <v>1.1031518624641834</v>
      </c>
      <c r="M11" s="6">
        <f t="shared" si="13"/>
        <v>10.469999999999999</v>
      </c>
      <c r="N11" s="5">
        <v>99.82</v>
      </c>
      <c r="O11" s="1">
        <v>1.83</v>
      </c>
      <c r="P11" s="8">
        <v>8.3699999999999992</v>
      </c>
      <c r="Q11" s="8">
        <v>0.27</v>
      </c>
      <c r="R11" s="7">
        <v>7.81</v>
      </c>
      <c r="S11" s="15" t="s">
        <v>8</v>
      </c>
      <c r="T11" s="2">
        <f t="shared" si="0"/>
        <v>0.67600000000000005</v>
      </c>
      <c r="U11" s="2">
        <f t="shared" si="1"/>
        <v>1.121</v>
      </c>
      <c r="V11" s="6">
        <f t="shared" si="2"/>
        <v>17.844000000000001</v>
      </c>
      <c r="W11" s="5">
        <f t="shared" si="3"/>
        <v>2.9060000000000001</v>
      </c>
      <c r="X11" s="1">
        <f t="shared" si="4"/>
        <v>29.065999999999999</v>
      </c>
      <c r="Y11" s="8">
        <f t="shared" si="5"/>
        <v>15.778</v>
      </c>
      <c r="Z11" s="8">
        <f t="shared" si="6"/>
        <v>5.8520000000000003</v>
      </c>
      <c r="AA11" s="7">
        <f t="shared" si="7"/>
        <v>14.332000000000001</v>
      </c>
    </row>
    <row r="12" spans="1:27" ht="14.25" customHeight="1" x14ac:dyDescent="0.2">
      <c r="A12" s="15" t="s">
        <v>9</v>
      </c>
      <c r="B12" s="2">
        <f t="shared" si="9"/>
        <v>2.9142227889185115</v>
      </c>
      <c r="C12" s="2">
        <f t="shared" si="10"/>
        <v>1.0828213747536803</v>
      </c>
      <c r="D12" s="6">
        <f t="shared" si="8"/>
        <v>172.54</v>
      </c>
      <c r="E12" s="5">
        <v>290.17</v>
      </c>
      <c r="F12" s="8">
        <v>52.21</v>
      </c>
      <c r="G12" s="1">
        <v>118.92</v>
      </c>
      <c r="H12" s="8">
        <v>1.41</v>
      </c>
      <c r="I12" s="3">
        <v>93.93</v>
      </c>
      <c r="J12" s="15" t="s">
        <v>9</v>
      </c>
      <c r="K12" s="2">
        <f t="shared" si="11"/>
        <v>4.8898007033997652</v>
      </c>
      <c r="L12" s="2">
        <f t="shared" si="12"/>
        <v>1.227432590855803</v>
      </c>
      <c r="M12" s="6">
        <f t="shared" si="13"/>
        <v>8.5299999999999994</v>
      </c>
      <c r="N12" s="5">
        <v>100.42</v>
      </c>
      <c r="O12" s="8">
        <v>1.79</v>
      </c>
      <c r="P12" s="1">
        <v>6.46</v>
      </c>
      <c r="Q12" s="8">
        <v>0.28000000000000003</v>
      </c>
      <c r="R12" s="3">
        <v>5.44</v>
      </c>
      <c r="S12" s="15" t="s">
        <v>9</v>
      </c>
      <c r="T12" s="2">
        <f t="shared" si="0"/>
        <v>0.59599999999999997</v>
      </c>
      <c r="U12" s="2">
        <f t="shared" si="1"/>
        <v>0.88200000000000001</v>
      </c>
      <c r="V12" s="6">
        <f t="shared" si="2"/>
        <v>20.227</v>
      </c>
      <c r="W12" s="5">
        <f t="shared" si="3"/>
        <v>2.89</v>
      </c>
      <c r="X12" s="8">
        <f t="shared" si="4"/>
        <v>29.167999999999999</v>
      </c>
      <c r="Y12" s="1">
        <f t="shared" si="5"/>
        <v>18.408999999999999</v>
      </c>
      <c r="Z12" s="8">
        <f t="shared" si="6"/>
        <v>5.0359999999999996</v>
      </c>
      <c r="AA12" s="3">
        <f t="shared" si="7"/>
        <v>17.266999999999999</v>
      </c>
    </row>
    <row r="13" spans="1:27" ht="14.25" customHeight="1" x14ac:dyDescent="0.2">
      <c r="A13" s="16" t="s">
        <v>18</v>
      </c>
      <c r="B13" s="2">
        <f t="shared" si="9"/>
        <v>3.3354560530679929</v>
      </c>
      <c r="C13" s="2">
        <f t="shared" si="10"/>
        <v>1.1445439469320067</v>
      </c>
      <c r="D13" s="6">
        <f t="shared" si="8"/>
        <v>150.75</v>
      </c>
      <c r="E13" s="5">
        <v>292.87</v>
      </c>
      <c r="F13" s="1">
        <v>30.74</v>
      </c>
      <c r="G13" s="8">
        <v>118.51</v>
      </c>
      <c r="H13" s="8">
        <v>1.5</v>
      </c>
      <c r="I13" s="7">
        <v>94.27</v>
      </c>
      <c r="J13" s="16" t="s">
        <v>18</v>
      </c>
      <c r="K13" s="2">
        <f t="shared" si="11"/>
        <v>5.2465408805031446</v>
      </c>
      <c r="L13" s="2">
        <f t="shared" si="12"/>
        <v>1.0729559748427673</v>
      </c>
      <c r="M13" s="6">
        <f t="shared" si="13"/>
        <v>7.9499999999999993</v>
      </c>
      <c r="N13" s="5">
        <v>101.89</v>
      </c>
      <c r="O13" s="1">
        <v>1.1599999999999999</v>
      </c>
      <c r="P13" s="8">
        <v>6.52</v>
      </c>
      <c r="Q13" s="8">
        <v>0.27</v>
      </c>
      <c r="R13" s="7">
        <v>5.47</v>
      </c>
      <c r="S13" s="16" t="s">
        <v>18</v>
      </c>
      <c r="T13" s="2">
        <f t="shared" si="0"/>
        <v>0.63600000000000001</v>
      </c>
      <c r="U13" s="2">
        <f t="shared" si="1"/>
        <v>1.0669999999999999</v>
      </c>
      <c r="V13" s="6">
        <f t="shared" si="2"/>
        <v>18.962</v>
      </c>
      <c r="W13" s="5">
        <f t="shared" si="3"/>
        <v>2.8740000000000001</v>
      </c>
      <c r="X13" s="1">
        <f t="shared" si="4"/>
        <v>26.5</v>
      </c>
      <c r="Y13" s="8">
        <f t="shared" si="5"/>
        <v>18.175999999999998</v>
      </c>
      <c r="Z13" s="8">
        <f t="shared" si="6"/>
        <v>5.556</v>
      </c>
      <c r="AA13" s="7">
        <f t="shared" si="7"/>
        <v>17.234000000000002</v>
      </c>
    </row>
    <row r="14" spans="1:27" ht="14.25" customHeight="1" x14ac:dyDescent="0.2">
      <c r="A14" s="17" t="s">
        <v>19</v>
      </c>
      <c r="B14" s="5">
        <f t="shared" si="9"/>
        <v>3.3443298969072162</v>
      </c>
      <c r="C14" s="5">
        <f t="shared" si="10"/>
        <v>1.0026604589291652</v>
      </c>
      <c r="D14" s="4">
        <f t="shared" si="8"/>
        <v>150.35</v>
      </c>
      <c r="E14" s="5">
        <v>293.14</v>
      </c>
      <c r="F14" s="1">
        <v>30.84</v>
      </c>
      <c r="G14" s="8">
        <v>118.09</v>
      </c>
      <c r="H14" s="8">
        <v>1.42</v>
      </c>
      <c r="I14" s="7">
        <v>93.68</v>
      </c>
      <c r="J14" s="17" t="s">
        <v>19</v>
      </c>
      <c r="K14" s="5">
        <f t="shared" si="11"/>
        <v>5.3405889884763109</v>
      </c>
      <c r="L14" s="5">
        <f t="shared" si="12"/>
        <v>1.0179257362355951</v>
      </c>
      <c r="M14" s="4">
        <f t="shared" si="13"/>
        <v>7.8100000000000005</v>
      </c>
      <c r="N14" s="5">
        <v>100.03</v>
      </c>
      <c r="O14" s="1">
        <v>1.1299999999999999</v>
      </c>
      <c r="P14" s="8">
        <v>6.41</v>
      </c>
      <c r="Q14" s="8">
        <v>0.27</v>
      </c>
      <c r="R14" s="7">
        <v>5.35</v>
      </c>
      <c r="S14" s="17" t="s">
        <v>19</v>
      </c>
      <c r="T14" s="5">
        <f t="shared" si="0"/>
        <v>0.626</v>
      </c>
      <c r="U14" s="5">
        <f t="shared" si="1"/>
        <v>0.98499999999999999</v>
      </c>
      <c r="V14" s="4">
        <f t="shared" si="2"/>
        <v>19.251000000000001</v>
      </c>
      <c r="W14" s="5">
        <f t="shared" si="3"/>
        <v>2.931</v>
      </c>
      <c r="X14" s="1">
        <f t="shared" si="4"/>
        <v>27.292000000000002</v>
      </c>
      <c r="Y14" s="8">
        <f t="shared" si="5"/>
        <v>18.422999999999998</v>
      </c>
      <c r="Z14" s="8">
        <f t="shared" si="6"/>
        <v>5.2590000000000003</v>
      </c>
      <c r="AA14" s="7">
        <f t="shared" si="7"/>
        <v>17.510000000000002</v>
      </c>
    </row>
    <row r="15" spans="1:27" ht="14.25" customHeight="1" x14ac:dyDescent="0.2">
      <c r="A15" s="17" t="s">
        <v>21</v>
      </c>
      <c r="B15" s="2">
        <f t="shared" si="9"/>
        <v>4.2789549825546755</v>
      </c>
      <c r="C15" s="2">
        <f t="shared" si="10"/>
        <v>1.2794655773976682</v>
      </c>
      <c r="D15" s="6">
        <f t="shared" ref="D15:D20" si="14">SUM(F15:H15)</f>
        <v>117.51</v>
      </c>
      <c r="E15" s="5">
        <v>298.74</v>
      </c>
      <c r="F15" s="8">
        <v>30.98</v>
      </c>
      <c r="G15" s="1">
        <v>85.1</v>
      </c>
      <c r="H15" s="8">
        <v>1.43</v>
      </c>
      <c r="I15" s="3">
        <v>64.790000000000006</v>
      </c>
      <c r="J15" s="17" t="s">
        <v>21</v>
      </c>
      <c r="K15" s="2">
        <f t="shared" si="11"/>
        <v>5.7531034482758603</v>
      </c>
      <c r="L15" s="2">
        <f t="shared" si="12"/>
        <v>1.0772413793103448</v>
      </c>
      <c r="M15" s="6">
        <f t="shared" si="13"/>
        <v>7.2500000000000009</v>
      </c>
      <c r="N15" s="5">
        <v>99.74</v>
      </c>
      <c r="O15" s="8">
        <v>1.1499999999999999</v>
      </c>
      <c r="P15" s="1">
        <v>5.82</v>
      </c>
      <c r="Q15" s="8">
        <v>0.28000000000000003</v>
      </c>
      <c r="R15" s="3">
        <v>5.0599999999999996</v>
      </c>
      <c r="S15" s="17" t="s">
        <v>21</v>
      </c>
      <c r="T15" s="2">
        <f t="shared" si="0"/>
        <v>0.74399999999999999</v>
      </c>
      <c r="U15" s="2">
        <f t="shared" si="1"/>
        <v>1.1879999999999999</v>
      </c>
      <c r="V15" s="6">
        <f t="shared" si="2"/>
        <v>16.207999999999998</v>
      </c>
      <c r="W15" s="5">
        <f t="shared" si="3"/>
        <v>2.9950000000000001</v>
      </c>
      <c r="X15" s="8">
        <f t="shared" si="4"/>
        <v>26.939</v>
      </c>
      <c r="Y15" s="1">
        <f t="shared" si="5"/>
        <v>14.622</v>
      </c>
      <c r="Z15" s="8">
        <f t="shared" si="6"/>
        <v>5.1070000000000002</v>
      </c>
      <c r="AA15" s="3">
        <f t="shared" si="7"/>
        <v>12.804</v>
      </c>
    </row>
    <row r="16" spans="1:27" ht="14.25" customHeight="1" x14ac:dyDescent="0.2">
      <c r="A16" s="17" t="s">
        <v>30</v>
      </c>
      <c r="B16" s="5">
        <f t="shared" si="9"/>
        <v>4.3257054370268406</v>
      </c>
      <c r="C16" s="5">
        <f t="shared" si="10"/>
        <v>1.0109256710254646</v>
      </c>
      <c r="D16" s="4">
        <f t="shared" si="14"/>
        <v>116.24</v>
      </c>
      <c r="E16" s="1">
        <v>293.04000000000002</v>
      </c>
      <c r="F16" s="8">
        <v>30.81</v>
      </c>
      <c r="G16" s="8">
        <v>83.82</v>
      </c>
      <c r="H16" s="8">
        <v>1.61</v>
      </c>
      <c r="I16" s="7">
        <v>63.86</v>
      </c>
      <c r="J16" s="17" t="s">
        <v>30</v>
      </c>
      <c r="K16" s="5">
        <f t="shared" si="11"/>
        <v>5.7850208044382789</v>
      </c>
      <c r="L16" s="5">
        <f t="shared" si="12"/>
        <v>1.0055478502080446</v>
      </c>
      <c r="M16" s="4">
        <f t="shared" si="13"/>
        <v>7.21</v>
      </c>
      <c r="N16" s="1">
        <v>13.94</v>
      </c>
      <c r="O16" s="8">
        <v>1.1299999999999999</v>
      </c>
      <c r="P16" s="8">
        <v>5.8</v>
      </c>
      <c r="Q16" s="8">
        <v>0.28000000000000003</v>
      </c>
      <c r="R16" s="7">
        <v>5.0199999999999996</v>
      </c>
      <c r="S16" s="17" t="s">
        <v>30</v>
      </c>
      <c r="T16" s="5">
        <f t="shared" si="0"/>
        <v>0.748</v>
      </c>
      <c r="U16" s="5">
        <f t="shared" si="1"/>
        <v>1.0049999999999999</v>
      </c>
      <c r="V16" s="4">
        <f t="shared" si="2"/>
        <v>16.122</v>
      </c>
      <c r="W16" s="1">
        <f t="shared" si="3"/>
        <v>21.021999999999998</v>
      </c>
      <c r="X16" s="8">
        <f t="shared" si="4"/>
        <v>27.265000000000001</v>
      </c>
      <c r="Y16" s="8">
        <f t="shared" si="5"/>
        <v>14.452</v>
      </c>
      <c r="Z16" s="8">
        <f t="shared" si="6"/>
        <v>5.75</v>
      </c>
      <c r="AA16" s="7">
        <f t="shared" si="7"/>
        <v>12.721</v>
      </c>
    </row>
    <row r="17" spans="1:27" ht="14.25" customHeight="1" x14ac:dyDescent="0.2">
      <c r="A17" s="17" t="s">
        <v>22</v>
      </c>
      <c r="B17" s="5">
        <f t="shared" si="9"/>
        <v>4.3421416234887733</v>
      </c>
      <c r="C17" s="5">
        <f t="shared" si="10"/>
        <v>1.0037996545768566</v>
      </c>
      <c r="D17" s="4">
        <f t="shared" si="14"/>
        <v>115.8</v>
      </c>
      <c r="E17" s="18">
        <v>293.16000000000003</v>
      </c>
      <c r="F17" s="18">
        <v>30.57</v>
      </c>
      <c r="G17" s="13">
        <v>83.77</v>
      </c>
      <c r="H17" s="18">
        <v>1.46</v>
      </c>
      <c r="I17" s="18">
        <v>64.06</v>
      </c>
      <c r="J17" s="17" t="s">
        <v>22</v>
      </c>
      <c r="K17" s="5">
        <f t="shared" si="11"/>
        <v>6.291101055806938</v>
      </c>
      <c r="L17" s="5">
        <f t="shared" si="12"/>
        <v>1.0874811463046758</v>
      </c>
      <c r="M17" s="4">
        <f t="shared" si="13"/>
        <v>6.629999999999999</v>
      </c>
      <c r="N17" s="18">
        <v>13.86</v>
      </c>
      <c r="O17" s="18">
        <v>1.1499999999999999</v>
      </c>
      <c r="P17" s="13">
        <v>5.21</v>
      </c>
      <c r="Q17" s="18">
        <v>0.27</v>
      </c>
      <c r="R17" s="18">
        <v>4.26</v>
      </c>
      <c r="S17" s="17" t="s">
        <v>22</v>
      </c>
      <c r="T17" s="5">
        <f t="shared" si="0"/>
        <v>0.69</v>
      </c>
      <c r="U17" s="5">
        <f t="shared" si="1"/>
        <v>0.92300000000000004</v>
      </c>
      <c r="V17" s="4">
        <f t="shared" si="2"/>
        <v>17.466000000000001</v>
      </c>
      <c r="W17" s="18">
        <f t="shared" si="3"/>
        <v>21.152000000000001</v>
      </c>
      <c r="X17" s="18">
        <f t="shared" si="4"/>
        <v>26.582999999999998</v>
      </c>
      <c r="Y17" s="13">
        <f t="shared" si="5"/>
        <v>16.079000000000001</v>
      </c>
      <c r="Z17" s="18">
        <f t="shared" si="6"/>
        <v>5.407</v>
      </c>
      <c r="AA17" s="18">
        <f t="shared" si="7"/>
        <v>15.038</v>
      </c>
    </row>
    <row r="18" spans="1:27" ht="14.25" customHeight="1" x14ac:dyDescent="0.2">
      <c r="A18" s="17" t="s">
        <v>23</v>
      </c>
      <c r="B18" s="5">
        <f t="shared" si="9"/>
        <v>4.3432668221473598</v>
      </c>
      <c r="C18" s="5">
        <f t="shared" si="10"/>
        <v>1.0002591344908005</v>
      </c>
      <c r="D18" s="4">
        <f t="shared" si="14"/>
        <v>115.77000000000001</v>
      </c>
      <c r="E18" s="18">
        <v>298.27</v>
      </c>
      <c r="F18" s="18">
        <v>30.43</v>
      </c>
      <c r="G18" s="13">
        <v>83.93</v>
      </c>
      <c r="H18" s="18">
        <v>1.41</v>
      </c>
      <c r="I18" s="14">
        <v>63.83</v>
      </c>
      <c r="J18" s="17" t="s">
        <v>23</v>
      </c>
      <c r="K18" s="5">
        <f t="shared" si="11"/>
        <v>6.8042414355628056</v>
      </c>
      <c r="L18" s="5">
        <f t="shared" si="12"/>
        <v>1.0815660685154975</v>
      </c>
      <c r="M18" s="4">
        <f t="shared" si="13"/>
        <v>6.129999999999999</v>
      </c>
      <c r="N18" s="18">
        <v>13.93</v>
      </c>
      <c r="O18" s="18">
        <v>1.18</v>
      </c>
      <c r="P18" s="13">
        <v>4.68</v>
      </c>
      <c r="Q18" s="18">
        <v>0.27</v>
      </c>
      <c r="R18" s="14">
        <v>3.98</v>
      </c>
      <c r="S18" s="17" t="s">
        <v>23</v>
      </c>
      <c r="T18" s="5">
        <f t="shared" si="0"/>
        <v>0.63800000000000001</v>
      </c>
      <c r="U18" s="5">
        <f t="shared" si="1"/>
        <v>0.92500000000000004</v>
      </c>
      <c r="V18" s="4">
        <f t="shared" si="2"/>
        <v>18.885999999999999</v>
      </c>
      <c r="W18" s="18">
        <f t="shared" si="3"/>
        <v>21.411999999999999</v>
      </c>
      <c r="X18" s="18">
        <f t="shared" si="4"/>
        <v>25.788</v>
      </c>
      <c r="Y18" s="13">
        <f t="shared" si="5"/>
        <v>17.934000000000001</v>
      </c>
      <c r="Z18" s="18">
        <f t="shared" si="6"/>
        <v>5.2220000000000004</v>
      </c>
      <c r="AA18" s="14">
        <f t="shared" si="7"/>
        <v>16.038</v>
      </c>
    </row>
    <row r="19" spans="1:27" ht="14.25" customHeight="1" x14ac:dyDescent="0.2">
      <c r="A19" s="17" t="s">
        <v>24</v>
      </c>
      <c r="B19" s="5">
        <f t="shared" si="9"/>
        <v>4.4505222163214722</v>
      </c>
      <c r="C19" s="5">
        <f t="shared" si="10"/>
        <v>1.0246946362187999</v>
      </c>
      <c r="D19" s="4">
        <f t="shared" si="14"/>
        <v>112.98</v>
      </c>
      <c r="E19" s="9">
        <v>297.26</v>
      </c>
      <c r="F19" s="9">
        <v>31.06</v>
      </c>
      <c r="G19" s="13">
        <v>80.38</v>
      </c>
      <c r="H19" s="9">
        <v>1.54</v>
      </c>
      <c r="I19" s="10">
        <v>63.89</v>
      </c>
      <c r="J19" s="17" t="s">
        <v>24</v>
      </c>
      <c r="K19" s="5">
        <f t="shared" si="11"/>
        <v>7.7240740740740721</v>
      </c>
      <c r="L19" s="5">
        <f t="shared" si="12"/>
        <v>1.1351851851851849</v>
      </c>
      <c r="M19" s="4">
        <f t="shared" si="13"/>
        <v>5.4</v>
      </c>
      <c r="N19" s="9">
        <v>16.829999999999998</v>
      </c>
      <c r="O19" s="9">
        <v>1.1399999999999999</v>
      </c>
      <c r="P19" s="13">
        <v>3.98</v>
      </c>
      <c r="Q19" s="9">
        <v>0.28000000000000003</v>
      </c>
      <c r="R19" s="10">
        <v>3.56</v>
      </c>
      <c r="S19" s="17" t="s">
        <v>24</v>
      </c>
      <c r="T19" s="5">
        <f t="shared" si="0"/>
        <v>0.57599999999999996</v>
      </c>
      <c r="U19" s="5">
        <f t="shared" si="1"/>
        <v>0.90300000000000002</v>
      </c>
      <c r="V19" s="4">
        <f t="shared" si="2"/>
        <v>20.922000000000001</v>
      </c>
      <c r="W19" s="9">
        <f t="shared" si="3"/>
        <v>17.663</v>
      </c>
      <c r="X19" s="9">
        <f t="shared" si="4"/>
        <v>27.245999999999999</v>
      </c>
      <c r="Y19" s="13">
        <f t="shared" si="5"/>
        <v>20.196000000000002</v>
      </c>
      <c r="Z19" s="9">
        <f t="shared" si="6"/>
        <v>5.5</v>
      </c>
      <c r="AA19" s="10">
        <f t="shared" si="7"/>
        <v>17.946999999999999</v>
      </c>
    </row>
    <row r="20" spans="1:27" ht="14.25" customHeight="1" x14ac:dyDescent="0.2">
      <c r="A20" s="17" t="s">
        <v>29</v>
      </c>
      <c r="B20" s="2">
        <f t="shared" si="9"/>
        <v>5.0975263584752621</v>
      </c>
      <c r="C20" s="2">
        <f t="shared" si="10"/>
        <v>1.1453771289537711</v>
      </c>
      <c r="D20" s="6">
        <f t="shared" si="14"/>
        <v>98.640000000000015</v>
      </c>
      <c r="E20" s="13">
        <v>298.05</v>
      </c>
      <c r="F20" s="9">
        <v>31.04</v>
      </c>
      <c r="G20" s="13">
        <v>66.17</v>
      </c>
      <c r="H20" s="9">
        <v>1.43</v>
      </c>
      <c r="I20" s="14">
        <v>47.91</v>
      </c>
      <c r="J20" s="17" t="s">
        <v>29</v>
      </c>
      <c r="K20" s="2">
        <f t="shared" si="11"/>
        <v>9.0871459694989074</v>
      </c>
      <c r="L20" s="2">
        <f t="shared" si="12"/>
        <v>1.1764705882352939</v>
      </c>
      <c r="M20" s="6">
        <f t="shared" si="13"/>
        <v>4.5900000000000007</v>
      </c>
      <c r="N20" s="13">
        <v>13.93</v>
      </c>
      <c r="O20" s="9">
        <v>1.1499999999999999</v>
      </c>
      <c r="P20" s="13">
        <v>3.16</v>
      </c>
      <c r="Q20" s="9">
        <v>0.28000000000000003</v>
      </c>
      <c r="R20" s="14">
        <v>3.03</v>
      </c>
      <c r="S20" s="17" t="s">
        <v>29</v>
      </c>
      <c r="T20" s="2">
        <f t="shared" si="0"/>
        <v>0.56100000000000005</v>
      </c>
      <c r="U20" s="2">
        <f t="shared" si="1"/>
        <v>0.97399999999999998</v>
      </c>
      <c r="V20" s="4">
        <f t="shared" si="2"/>
        <v>21.49</v>
      </c>
      <c r="W20" s="9">
        <f t="shared" si="3"/>
        <v>21.396000000000001</v>
      </c>
      <c r="X20" s="9">
        <f t="shared" si="4"/>
        <v>26.991</v>
      </c>
      <c r="Y20" s="13">
        <f t="shared" si="5"/>
        <v>20.94</v>
      </c>
      <c r="Z20" s="9">
        <f t="shared" si="6"/>
        <v>5.1070000000000002</v>
      </c>
      <c r="AA20" s="14">
        <f t="shared" si="7"/>
        <v>15.811999999999999</v>
      </c>
    </row>
    <row r="21" spans="1:27" ht="14.25" customHeight="1" x14ac:dyDescent="0.2">
      <c r="A21" s="17" t="s">
        <v>25</v>
      </c>
      <c r="B21" s="5">
        <f t="shared" si="9"/>
        <v>5.1618930294630934</v>
      </c>
      <c r="C21" s="5">
        <f t="shared" si="10"/>
        <v>1.012627040344934</v>
      </c>
      <c r="D21" s="4">
        <f t="shared" ref="D21:D23" si="15">SUM(F21:H21)</f>
        <v>97.41</v>
      </c>
      <c r="E21" s="18">
        <v>292.64999999999998</v>
      </c>
      <c r="F21" s="18">
        <v>30.63</v>
      </c>
      <c r="G21" s="18">
        <v>65.34</v>
      </c>
      <c r="H21" s="18">
        <v>1.44</v>
      </c>
      <c r="I21" s="19">
        <v>46.92</v>
      </c>
      <c r="J21" s="17" t="s">
        <v>25</v>
      </c>
      <c r="K21" s="5">
        <f t="shared" si="11"/>
        <v>8.9698924731182768</v>
      </c>
      <c r="L21" s="5">
        <f t="shared" si="12"/>
        <v>0.98709677419354847</v>
      </c>
      <c r="M21" s="4">
        <f t="shared" si="13"/>
        <v>4.6500000000000004</v>
      </c>
      <c r="N21" s="18">
        <v>13.93</v>
      </c>
      <c r="O21" s="18">
        <v>1.1599999999999999</v>
      </c>
      <c r="P21" s="18">
        <v>3.2</v>
      </c>
      <c r="Q21" s="18">
        <v>0.28999999999999998</v>
      </c>
      <c r="R21" s="19">
        <v>3.1</v>
      </c>
      <c r="S21" s="17" t="s">
        <v>25</v>
      </c>
      <c r="T21" s="2">
        <f t="shared" ref="T21:T23" si="16">ROUND(B21/K21,3)</f>
        <v>0.57499999999999996</v>
      </c>
      <c r="U21" s="2">
        <f t="shared" ref="U21:U23" si="17">ROUND(C21/L21,3)</f>
        <v>1.026</v>
      </c>
      <c r="V21" s="4">
        <f t="shared" ref="V21:V23" si="18">ROUND(D21/M21,3)</f>
        <v>20.948</v>
      </c>
      <c r="W21" s="13">
        <f t="shared" ref="W21:W23" si="19">ROUND(E21/N21,3)</f>
        <v>21.009</v>
      </c>
      <c r="X21" s="13">
        <f t="shared" ref="X21:X23" si="20">ROUND(F21/O21,3)</f>
        <v>26.405000000000001</v>
      </c>
      <c r="Y21" s="13">
        <f t="shared" ref="Y21:Y23" si="21">ROUND(G21/P21,3)</f>
        <v>20.419</v>
      </c>
      <c r="Z21" s="13">
        <f t="shared" ref="Z21:Z23" si="22">ROUND(H21/Q21,3)</f>
        <v>4.9660000000000002</v>
      </c>
      <c r="AA21" s="14">
        <f t="shared" ref="AA21:AA23" si="23">ROUND(I21/R21,3)</f>
        <v>15.135</v>
      </c>
    </row>
    <row r="22" spans="1:27" ht="14.25" customHeight="1" x14ac:dyDescent="0.2">
      <c r="A22" s="17" t="s">
        <v>26</v>
      </c>
      <c r="B22" s="5">
        <f t="shared" si="9"/>
        <v>5.1058082859463854</v>
      </c>
      <c r="C22" s="5">
        <f t="shared" si="10"/>
        <v>0.98913484971567833</v>
      </c>
      <c r="D22" s="4">
        <f t="shared" si="15"/>
        <v>98.47999999999999</v>
      </c>
      <c r="E22" s="18">
        <v>293.38</v>
      </c>
      <c r="F22" s="18">
        <v>30.58</v>
      </c>
      <c r="G22" s="18">
        <v>66.489999999999995</v>
      </c>
      <c r="H22" s="9">
        <v>1.41</v>
      </c>
      <c r="I22" s="19">
        <v>48.2</v>
      </c>
      <c r="J22" s="17" t="s">
        <v>26</v>
      </c>
      <c r="K22" s="5">
        <f t="shared" si="11"/>
        <v>9.0477223427331861</v>
      </c>
      <c r="L22" s="5">
        <f t="shared" si="12"/>
        <v>1.0086767895878526</v>
      </c>
      <c r="M22" s="4">
        <f t="shared" si="13"/>
        <v>4.6100000000000003</v>
      </c>
      <c r="N22" s="18">
        <v>14.53</v>
      </c>
      <c r="O22" s="18">
        <v>1.17</v>
      </c>
      <c r="P22" s="18">
        <v>3.16</v>
      </c>
      <c r="Q22" s="9">
        <v>0.28000000000000003</v>
      </c>
      <c r="R22" s="19">
        <v>3.03</v>
      </c>
      <c r="S22" s="17" t="s">
        <v>26</v>
      </c>
      <c r="T22" s="5">
        <f t="shared" si="16"/>
        <v>0.56399999999999995</v>
      </c>
      <c r="U22" s="5">
        <f t="shared" si="17"/>
        <v>0.98099999999999998</v>
      </c>
      <c r="V22" s="4">
        <f t="shared" si="18"/>
        <v>21.361999999999998</v>
      </c>
      <c r="W22" s="18">
        <f t="shared" si="19"/>
        <v>20.190999999999999</v>
      </c>
      <c r="X22" s="13">
        <f t="shared" si="20"/>
        <v>26.137</v>
      </c>
      <c r="Y22" s="13">
        <f t="shared" si="21"/>
        <v>21.041</v>
      </c>
      <c r="Z22" s="9">
        <f t="shared" si="22"/>
        <v>5.0359999999999996</v>
      </c>
      <c r="AA22" s="14">
        <f t="shared" si="23"/>
        <v>15.907999999999999</v>
      </c>
    </row>
    <row r="23" spans="1:27" ht="14.25" customHeight="1" x14ac:dyDescent="0.2">
      <c r="A23" s="17" t="s">
        <v>27</v>
      </c>
      <c r="B23" s="5">
        <f t="shared" si="9"/>
        <v>5.0631356358876234</v>
      </c>
      <c r="C23" s="5">
        <f t="shared" si="10"/>
        <v>0.9916423320914306</v>
      </c>
      <c r="D23" s="4">
        <f t="shared" si="15"/>
        <v>99.310000000000016</v>
      </c>
      <c r="E23" s="18">
        <v>297.35000000000002</v>
      </c>
      <c r="F23" s="18">
        <v>31.04</v>
      </c>
      <c r="G23" s="18">
        <v>66.760000000000005</v>
      </c>
      <c r="H23" s="18">
        <v>1.51</v>
      </c>
      <c r="I23" s="19">
        <v>48.14</v>
      </c>
      <c r="J23" s="17" t="s">
        <v>27</v>
      </c>
      <c r="K23" s="5">
        <f t="shared" si="11"/>
        <v>9.1269146608315079</v>
      </c>
      <c r="L23" s="5">
        <f t="shared" si="12"/>
        <v>1.0087527352297594</v>
      </c>
      <c r="M23" s="4">
        <f t="shared" si="13"/>
        <v>4.57</v>
      </c>
      <c r="N23" s="18">
        <v>13.77</v>
      </c>
      <c r="O23" s="18">
        <v>1.1299999999999999</v>
      </c>
      <c r="P23" s="18">
        <v>3.17</v>
      </c>
      <c r="Q23" s="18">
        <v>0.27</v>
      </c>
      <c r="R23" s="19">
        <v>3.04</v>
      </c>
      <c r="S23" s="17" t="s">
        <v>27</v>
      </c>
      <c r="T23" s="5">
        <f t="shared" si="16"/>
        <v>0.55500000000000005</v>
      </c>
      <c r="U23" s="5">
        <f t="shared" si="17"/>
        <v>0.98299999999999998</v>
      </c>
      <c r="V23" s="4">
        <f t="shared" si="18"/>
        <v>21.731000000000002</v>
      </c>
      <c r="W23" s="18">
        <f t="shared" si="19"/>
        <v>21.594000000000001</v>
      </c>
      <c r="X23" s="18">
        <f t="shared" si="20"/>
        <v>27.469000000000001</v>
      </c>
      <c r="Y23" s="18">
        <f t="shared" si="21"/>
        <v>21.06</v>
      </c>
      <c r="Z23" s="18">
        <f t="shared" si="22"/>
        <v>5.593</v>
      </c>
      <c r="AA23" s="19">
        <f t="shared" si="23"/>
        <v>15.836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2026-05-01T09:02:42Z</dcterms:created>
  <dcterms:modified xsi:type="dcterms:W3CDTF">2026-08-28T14:40:34Z</dcterms:modified>
</cp:coreProperties>
</file>