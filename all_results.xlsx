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2C5291A0-C6BA-4446-9620-8B18DFEB7CA3}" xr6:coauthVersionLast="47" xr6:coauthVersionMax="47" xr10:uidLastSave="{00000000-0000-0000-0000-000000000000}"/>
  <bookViews>
    <workbookView xWindow="3075" yWindow="3075" windowWidth="28800" windowHeight="15345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27" i="2" l="1"/>
  <c r="Z27" i="2"/>
  <c r="Y27" i="2"/>
  <c r="X27" i="2"/>
  <c r="W27" i="2"/>
  <c r="M27" i="2"/>
  <c r="L27" i="2" s="1"/>
  <c r="D27" i="2"/>
  <c r="C27" i="2" s="1"/>
  <c r="U27" i="2" s="1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C22" i="2" s="1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V5" i="2" s="1"/>
  <c r="D6" i="2"/>
  <c r="D7" i="2"/>
  <c r="D8" i="2"/>
  <c r="D9" i="2"/>
  <c r="D10" i="2"/>
  <c r="D11" i="2"/>
  <c r="D12" i="2"/>
  <c r="D13" i="2"/>
  <c r="C13" i="2" s="1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V27" i="2" l="1"/>
  <c r="K27" i="2"/>
  <c r="B27" i="2"/>
  <c r="T27" i="2" s="1"/>
  <c r="L17" i="2"/>
  <c r="V26" i="2"/>
  <c r="C26" i="2"/>
  <c r="L25" i="2"/>
  <c r="L26" i="2"/>
  <c r="U26" i="2" s="1"/>
  <c r="K26" i="2"/>
  <c r="B26" i="2"/>
  <c r="C25" i="2"/>
  <c r="U25" i="2" s="1"/>
  <c r="V25" i="2"/>
  <c r="K25" i="2"/>
  <c r="B25" i="2"/>
  <c r="L23" i="2"/>
  <c r="V7" i="2"/>
  <c r="C24" i="2"/>
  <c r="V4" i="2"/>
  <c r="L24" i="2"/>
  <c r="U24" i="2" s="1"/>
  <c r="V24" i="2"/>
  <c r="K24" i="2"/>
  <c r="B24" i="2"/>
  <c r="C23" i="2"/>
  <c r="U23" i="2" s="1"/>
  <c r="V23" i="2"/>
  <c r="K23" i="2"/>
  <c r="B23" i="2"/>
  <c r="C12" i="2"/>
  <c r="C10" i="2"/>
  <c r="B22" i="2"/>
  <c r="B12" i="2"/>
  <c r="C11" i="2"/>
  <c r="L5" i="2"/>
  <c r="L8" i="2"/>
  <c r="L22" i="2"/>
  <c r="U22" i="2" s="1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U4" i="2" s="1"/>
  <c r="B6" i="2"/>
  <c r="T6" i="2" s="1"/>
  <c r="B16" i="2"/>
  <c r="U3" i="2"/>
  <c r="C6" i="2"/>
  <c r="C16" i="2"/>
  <c r="L13" i="2"/>
  <c r="K4" i="2"/>
  <c r="B7" i="2"/>
  <c r="B17" i="2"/>
  <c r="K17" i="2"/>
  <c r="V8" i="2"/>
  <c r="B8" i="2"/>
  <c r="T8" i="2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T7" i="2" s="1"/>
  <c r="V6" i="2"/>
  <c r="L6" i="2"/>
  <c r="L21" i="2"/>
  <c r="V21" i="2"/>
  <c r="V20" i="2"/>
  <c r="C3" i="2"/>
  <c r="V19" i="2"/>
  <c r="B3" i="2"/>
  <c r="T3" i="2" s="1"/>
  <c r="V18" i="2"/>
  <c r="V17" i="2"/>
  <c r="V13" i="2"/>
  <c r="V10" i="2"/>
  <c r="V11" i="2"/>
  <c r="V16" i="2"/>
  <c r="V15" i="2"/>
  <c r="V14" i="2"/>
  <c r="V12" i="2"/>
  <c r="U7" i="2" l="1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<sst xmlns="http://schemas.openxmlformats.org/spreadsheetml/2006/main" count="105" uniqueCount="36">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</sst>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27"/>
  <sheetViews>
    <sheetView tabSelected="1" workbookViewId="0">
      <selection activeCell="H27" sqref="H27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8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8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8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7.137260468417316</v>
      </c>
      <c r="C22" s="2">
        <f t="shared" ref="C22" si="25">D21/D22</f>
        <v>1.2681334279630945</v>
      </c>
      <c r="D22" s="6">
        <f t="shared" ref="D22" si="26">SUM(F22:H22)</f>
        <v>70.45</v>
      </c>
      <c r="E22" s="9">
        <v>296.97000000000003</v>
      </c>
      <c r="F22" s="9">
        <v>30.4</v>
      </c>
      <c r="G22" s="13">
        <v>38.47</v>
      </c>
      <c r="H22" s="9">
        <v>1.58</v>
      </c>
      <c r="I22" s="14">
        <v>27.24</v>
      </c>
      <c r="J22" s="17" t="s">
        <v>30</v>
      </c>
      <c r="K22" s="2">
        <f t="shared" ref="K22:K24" si="27">M$2/M22</f>
        <v>12.677811550151974</v>
      </c>
      <c r="L22" s="2">
        <f t="shared" ref="L22:L24" si="28">M21/M22</f>
        <v>1.1519756838905775</v>
      </c>
      <c r="M22" s="6">
        <f t="shared" ref="M22:M24" si="29">SUM(O22:Q22)</f>
        <v>3.29</v>
      </c>
      <c r="N22" s="9">
        <v>14.05</v>
      </c>
      <c r="O22" s="9">
        <v>1.23</v>
      </c>
      <c r="P22" s="13">
        <v>1.78</v>
      </c>
      <c r="Q22" s="9">
        <v>0.28000000000000003</v>
      </c>
      <c r="R22" s="14">
        <v>1.39</v>
      </c>
      <c r="S22" s="17" t="s">
        <v>30</v>
      </c>
      <c r="T22" s="2">
        <f t="shared" ref="T22" si="30">ROUND(B22/K22,3)</f>
        <v>0.56299999999999994</v>
      </c>
      <c r="U22" s="2">
        <f t="shared" ref="U22" si="31">ROUND(C22/L22,3)</f>
        <v>1.101</v>
      </c>
      <c r="V22" s="6">
        <f t="shared" ref="V22" si="32">ROUND(D22/M22,3)</f>
        <v>21.413</v>
      </c>
      <c r="W22" s="9">
        <f t="shared" ref="W22" si="33">ROUND(E22/N22,3)</f>
        <v>21.137</v>
      </c>
      <c r="X22" s="9">
        <f t="shared" ref="X22" si="34">ROUND(F22/O22,3)</f>
        <v>24.715</v>
      </c>
      <c r="Y22" s="13">
        <f t="shared" ref="Y22" si="35">ROUND(G22/P22,3)</f>
        <v>21.611999999999998</v>
      </c>
      <c r="Z22" s="9">
        <f t="shared" ref="Z22" si="36">ROUND(H22/Q22,3)</f>
        <v>5.6429999999999998</v>
      </c>
      <c r="AA22" s="14">
        <f t="shared" ref="AA22" si="37">ROUND(I22/R22,3)</f>
        <v>19.597000000000001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6.9392768423958042</v>
      </c>
      <c r="C23" s="5">
        <f t="shared" ref="C23" si="39">D22/D23</f>
        <v>0.97226055754899265</v>
      </c>
      <c r="D23" s="6">
        <f t="shared" ref="D23" si="40">SUM(F23:H23)</f>
        <v>72.459999999999994</v>
      </c>
      <c r="E23" s="13">
        <v>244.74</v>
      </c>
      <c r="F23" s="9">
        <v>30.53</v>
      </c>
      <c r="G23" s="9">
        <v>40.36</v>
      </c>
      <c r="H23" s="9">
        <v>1.57</v>
      </c>
      <c r="I23" s="10">
        <v>28.45</v>
      </c>
      <c r="J23" s="17" t="s">
        <v>31</v>
      </c>
      <c r="K23" s="5">
        <f t="shared" si="27"/>
        <v>13.241269841269839</v>
      </c>
      <c r="L23" s="5">
        <f t="shared" si="28"/>
        <v>1.0444444444444443</v>
      </c>
      <c r="M23" s="6">
        <f t="shared" si="29"/>
        <v>3.1500000000000004</v>
      </c>
      <c r="N23" s="13">
        <v>12.88</v>
      </c>
      <c r="O23" s="9">
        <v>1.1499999999999999</v>
      </c>
      <c r="P23" s="9">
        <v>1.72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0.93100000000000005</v>
      </c>
      <c r="V23" s="6">
        <f t="shared" ref="V23" si="43">ROUND(D23/M23,3)</f>
        <v>23.003</v>
      </c>
      <c r="W23" s="13">
        <f t="shared" ref="W23" si="44">ROUND(E23/N23,3)</f>
        <v>19.001999999999999</v>
      </c>
      <c r="X23" s="9">
        <f t="shared" ref="X23" si="45">ROUND(F23/O23,3)</f>
        <v>26.547999999999998</v>
      </c>
      <c r="Y23" s="9">
        <f t="shared" ref="Y23" si="46">ROUND(G23/P23,3)</f>
        <v>23.465</v>
      </c>
      <c r="Z23" s="9">
        <f t="shared" ref="Z23" si="47">ROUND(H23/Q23,3)</f>
        <v>5.6070000000000002</v>
      </c>
      <c r="AA23" s="10">
        <f t="shared" ref="AA23" si="48">ROUND(I23/R23,3)</f>
        <v>21.718</v>
      </c>
    </row>
    <row r="24" spans="1:27" ht="14.25" customHeight="1" x14ac:dyDescent="0.2">
      <c r="A24" s="17" t="s">
        <v>32</v>
      </c>
      <c r="B24" s="2">
        <f t="shared" ref="B24" si="49">D$2/D24</f>
        <v>8.0878237091844927</v>
      </c>
      <c r="C24" s="2">
        <f t="shared" ref="C24" si="50">D23/D24</f>
        <v>1.165513913463085</v>
      </c>
      <c r="D24" s="6">
        <f t="shared" ref="D24" si="51">SUM(F24:H24)</f>
        <v>62.17</v>
      </c>
      <c r="E24" s="9">
        <v>250.47</v>
      </c>
      <c r="F24" s="9">
        <v>30.59</v>
      </c>
      <c r="G24" s="13">
        <v>30.11</v>
      </c>
      <c r="H24" s="9">
        <v>1.47</v>
      </c>
      <c r="I24" s="14">
        <v>21.64</v>
      </c>
      <c r="J24" s="17" t="s">
        <v>32</v>
      </c>
      <c r="K24" s="2">
        <f t="shared" si="27"/>
        <v>14.738515901060069</v>
      </c>
      <c r="L24" s="2">
        <f t="shared" si="28"/>
        <v>1.1130742049469966</v>
      </c>
      <c r="M24" s="6">
        <f t="shared" si="29"/>
        <v>2.83</v>
      </c>
      <c r="N24" s="9">
        <v>11.47</v>
      </c>
      <c r="O24" s="9">
        <v>1.1499999999999999</v>
      </c>
      <c r="P24" s="13">
        <v>1.4</v>
      </c>
      <c r="Q24" s="9">
        <v>0.28000000000000003</v>
      </c>
      <c r="R24" s="14">
        <v>1.04</v>
      </c>
      <c r="S24" s="17" t="s">
        <v>32</v>
      </c>
      <c r="T24" s="2">
        <f t="shared" ref="T24" si="52">ROUND(B24/K24,3)</f>
        <v>0.54900000000000004</v>
      </c>
      <c r="U24" s="2">
        <f t="shared" ref="U24" si="53">ROUND(C24/L24,3)</f>
        <v>1.0469999999999999</v>
      </c>
      <c r="V24" s="6">
        <f t="shared" ref="V24" si="54">ROUND(D24/M24,3)</f>
        <v>21.968</v>
      </c>
      <c r="W24" s="9">
        <f t="shared" ref="W24" si="55">ROUND(E24/N24,3)</f>
        <v>21.837</v>
      </c>
      <c r="X24" s="9">
        <f t="shared" ref="X24" si="56">ROUND(F24/O24,3)</f>
        <v>26.6</v>
      </c>
      <c r="Y24" s="13">
        <f t="shared" ref="Y24" si="57">ROUND(G24/P24,3)</f>
        <v>21.507000000000001</v>
      </c>
      <c r="Z24" s="9">
        <f t="shared" ref="Z24" si="58">ROUND(H24/Q24,3)</f>
        <v>5.25</v>
      </c>
      <c r="AA24" s="14">
        <f t="shared" ref="AA24" si="59">ROUND(I24/R24,3)</f>
        <v>20.808</v>
      </c>
    </row>
    <row r="25" spans="1:27" ht="14.25" customHeight="1" x14ac:dyDescent="0.2">
      <c r="A25" s="17" t="s">
        <v>33</v>
      </c>
      <c r="B25" s="2">
        <f t="shared" ref="B25" si="60">D$2/D25</f>
        <v>8.3317315658657822</v>
      </c>
      <c r="C25" s="2">
        <f t="shared" ref="C25" si="61">D24/D25</f>
        <v>1.0301574150787076</v>
      </c>
      <c r="D25" s="6">
        <f t="shared" ref="D25" si="62">SUM(F25:H25)</f>
        <v>60.35</v>
      </c>
      <c r="E25" s="9">
        <v>246.52</v>
      </c>
      <c r="F25" s="9">
        <v>30.96</v>
      </c>
      <c r="G25" s="13">
        <v>27.91</v>
      </c>
      <c r="H25" s="9">
        <v>1.48</v>
      </c>
      <c r="I25" s="14">
        <v>18.809999999999999</v>
      </c>
      <c r="J25" s="17" t="s">
        <v>33</v>
      </c>
      <c r="K25" s="2">
        <f t="shared" ref="K25:K27" si="63">M$2/M25</f>
        <v>15.79924242424242</v>
      </c>
      <c r="L25" s="2">
        <f t="shared" ref="L25:L27" si="64">M24/M25</f>
        <v>1.071969696969697</v>
      </c>
      <c r="M25" s="6">
        <f t="shared" ref="M25:M27" si="65">SUM(O25:Q25)</f>
        <v>2.64</v>
      </c>
      <c r="N25" s="9">
        <v>11.72</v>
      </c>
      <c r="O25" s="9">
        <v>1.1200000000000001</v>
      </c>
      <c r="P25" s="13">
        <v>1.23</v>
      </c>
      <c r="Q25" s="9">
        <v>0.28999999999999998</v>
      </c>
      <c r="R25" s="14">
        <v>0.9</v>
      </c>
      <c r="S25" s="17" t="s">
        <v>33</v>
      </c>
      <c r="T25" s="2">
        <f t="shared" ref="T25" si="66">ROUND(B25/K25,3)</f>
        <v>0.52700000000000002</v>
      </c>
      <c r="U25" s="2">
        <f t="shared" ref="U25" si="67">ROUND(C25/L25,3)</f>
        <v>0.96099999999999997</v>
      </c>
      <c r="V25" s="6">
        <f t="shared" ref="V25" si="68">ROUND(D25/M25,3)</f>
        <v>22.86</v>
      </c>
      <c r="W25" s="9">
        <f t="shared" ref="W25" si="69">ROUND(E25/N25,3)</f>
        <v>21.033999999999999</v>
      </c>
      <c r="X25" s="9">
        <f t="shared" ref="X25" si="70">ROUND(F25/O25,3)</f>
        <v>27.643000000000001</v>
      </c>
      <c r="Y25" s="13">
        <f t="shared" ref="Y25" si="71">ROUND(G25/P25,3)</f>
        <v>22.690999999999999</v>
      </c>
      <c r="Z25" s="9">
        <f t="shared" ref="Z25" si="72">ROUND(H25/Q25,3)</f>
        <v>5.1029999999999998</v>
      </c>
      <c r="AA25" s="14">
        <f t="shared" ref="AA25" si="73">ROUND(I25/R25,3)</f>
        <v>20.9</v>
      </c>
    </row>
    <row r="26" spans="1:27" ht="14.25" customHeight="1" x14ac:dyDescent="0.2">
      <c r="A26" s="17" t="s">
        <v>34</v>
      </c>
      <c r="B26" s="2">
        <f t="shared" ref="B26" si="74">D$2/D26</f>
        <v>9.3097574523236428</v>
      </c>
      <c r="C26" s="2">
        <f t="shared" ref="C26" si="75">D25/D26</f>
        <v>1.1173856693204962</v>
      </c>
      <c r="D26" s="6">
        <f t="shared" ref="D26" si="76">SUM(F26:H26)</f>
        <v>54.01</v>
      </c>
      <c r="E26" s="9">
        <v>244.97</v>
      </c>
      <c r="F26" s="9">
        <v>31.1</v>
      </c>
      <c r="G26" s="13">
        <v>21.48</v>
      </c>
      <c r="H26" s="9">
        <v>1.43</v>
      </c>
      <c r="I26" s="14">
        <v>17.510000000000002</v>
      </c>
      <c r="J26" s="17" t="s">
        <v>34</v>
      </c>
      <c r="K26" s="2">
        <f t="shared" si="63"/>
        <v>16.751004016064254</v>
      </c>
      <c r="L26" s="2">
        <f t="shared" si="64"/>
        <v>1.0602409638554215</v>
      </c>
      <c r="M26" s="6">
        <f t="shared" si="65"/>
        <v>2.4900000000000002</v>
      </c>
      <c r="N26" s="9">
        <v>11.58</v>
      </c>
      <c r="O26" s="9">
        <v>1.1599999999999999</v>
      </c>
      <c r="P26" s="13">
        <v>1.05</v>
      </c>
      <c r="Q26" s="9">
        <v>0.28000000000000003</v>
      </c>
      <c r="R26" s="14">
        <v>0.88</v>
      </c>
      <c r="S26" s="17" t="s">
        <v>34</v>
      </c>
      <c r="T26" s="2">
        <f t="shared" ref="T26" si="77">ROUND(B26/K26,3)</f>
        <v>0.55600000000000005</v>
      </c>
      <c r="U26" s="2">
        <f t="shared" ref="U26" si="78">ROUND(C26/L26,3)</f>
        <v>1.054</v>
      </c>
      <c r="V26" s="6">
        <f t="shared" ref="V26" si="79">ROUND(D26/M26,3)</f>
        <v>21.690999999999999</v>
      </c>
      <c r="W26" s="9">
        <f t="shared" ref="W26" si="80">ROUND(E26/N26,3)</f>
        <v>21.155000000000001</v>
      </c>
      <c r="X26" s="9">
        <f t="shared" ref="X26" si="81">ROUND(F26/O26,3)</f>
        <v>26.81</v>
      </c>
      <c r="Y26" s="13">
        <f t="shared" ref="Y26" si="82">ROUND(G26/P26,3)</f>
        <v>20.457000000000001</v>
      </c>
      <c r="Z26" s="9">
        <f t="shared" ref="Z26" si="83">ROUND(H26/Q26,3)</f>
        <v>5.1070000000000002</v>
      </c>
      <c r="AA26" s="14">
        <f t="shared" ref="AA26" si="84">ROUND(I26/R26,3)</f>
        <v>19.898</v>
      </c>
    </row>
    <row r="27" spans="1:27" ht="14.25" customHeight="1" x14ac:dyDescent="0.2">
      <c r="A27" s="17" t="s">
        <v>35</v>
      </c>
      <c r="B27" s="2">
        <f t="shared" ref="B27" si="85">D$2/D27</f>
        <v>10.536881810561606</v>
      </c>
      <c r="C27" s="2">
        <f t="shared" ref="C27" si="86">D26/D27</f>
        <v>1.1318105616093879</v>
      </c>
      <c r="D27" s="6">
        <f t="shared" ref="D27" si="87">SUM(F27:H27)</f>
        <v>47.720000000000006</v>
      </c>
      <c r="E27" s="9">
        <v>244.09</v>
      </c>
      <c r="F27" s="13">
        <v>25.17</v>
      </c>
      <c r="G27" s="9">
        <v>21.09</v>
      </c>
      <c r="H27" s="9">
        <v>1.46</v>
      </c>
      <c r="I27" s="10">
        <v>17.38</v>
      </c>
      <c r="J27" s="17" t="s">
        <v>35</v>
      </c>
      <c r="K27" s="2">
        <f t="shared" si="63"/>
        <v>18.455752212389381</v>
      </c>
      <c r="L27" s="2">
        <f t="shared" si="64"/>
        <v>1.101769911504425</v>
      </c>
      <c r="M27" s="6">
        <f t="shared" si="65"/>
        <v>2.2599999999999998</v>
      </c>
      <c r="N27" s="9">
        <v>11.76</v>
      </c>
      <c r="O27" s="13">
        <v>0.94</v>
      </c>
      <c r="P27" s="9">
        <v>1.04</v>
      </c>
      <c r="Q27" s="9">
        <v>0.28000000000000003</v>
      </c>
      <c r="R27" s="10">
        <v>0.88</v>
      </c>
      <c r="S27" s="17" t="s">
        <v>35</v>
      </c>
      <c r="T27" s="2">
        <f t="shared" ref="T27" si="88">ROUND(B27/K27,3)</f>
        <v>0.57099999999999995</v>
      </c>
      <c r="U27" s="2">
        <f t="shared" ref="U27" si="89">ROUND(C27/L27,3)</f>
        <v>1.0269999999999999</v>
      </c>
      <c r="V27" s="6">
        <f t="shared" ref="V27" si="90">ROUND(D27/M27,3)</f>
        <v>21.114999999999998</v>
      </c>
      <c r="W27" s="9">
        <f t="shared" ref="W27" si="91">ROUND(E27/N27,3)</f>
        <v>20.756</v>
      </c>
      <c r="X27" s="13">
        <f t="shared" ref="X27" si="92">ROUND(F27/O27,3)</f>
        <v>26.777000000000001</v>
      </c>
      <c r="Y27" s="9">
        <f t="shared" ref="Y27" si="93">ROUND(G27/P27,3)</f>
        <v>20.279</v>
      </c>
      <c r="Z27" s="9">
        <f t="shared" ref="Z27" si="94">ROUND(H27/Q27,3)</f>
        <v>5.2140000000000004</v>
      </c>
      <c r="AA27" s="10">
        <f t="shared" ref="AA27" si="95">ROUND(I27/R27,3)</f>
        <v>19.75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2026-08-29T16:25:31Z</dcterms:modified>
</cp:coreProperties>
</file>