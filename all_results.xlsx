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A929256-E440-45E4-A04D-B012F5452188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3" i="2" l="1"/>
  <c r="Z53" i="2"/>
  <c r="Y53" i="2"/>
  <c r="X53" i="2"/>
  <c r="W53" i="2"/>
  <c r="V53" i="2"/>
  <c r="U53" i="2"/>
  <c r="T53" i="2"/>
  <c r="AA52" i="2"/>
  <c r="Z52" i="2"/>
  <c r="Y52" i="2"/>
  <c r="X52" i="2"/>
  <c r="W52" i="2"/>
  <c r="V52" i="2"/>
  <c r="U52" i="2"/>
  <c r="T52" i="2"/>
  <c r="M53" i="2"/>
  <c r="K53" i="2" s="1"/>
  <c r="M52" i="2"/>
  <c r="L53" i="2" s="1"/>
  <c r="L52" i="2"/>
  <c r="K52" i="2"/>
  <c r="D53" i="2"/>
  <c r="D52" i="2"/>
  <c r="C53" i="2" s="1"/>
  <c r="AA51" i="2"/>
  <c r="Z51" i="2"/>
  <c r="Y51" i="2"/>
  <c r="X51" i="2"/>
  <c r="W51" i="2"/>
  <c r="M51" i="2"/>
  <c r="D51" i="2"/>
  <c r="C52" i="2" s="1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52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53" i="2" l="1"/>
  <c r="C51" i="2"/>
  <c r="L51" i="2"/>
  <c r="U51" i="2"/>
  <c r="V51" i="2"/>
  <c r="K51" i="2"/>
  <c r="B51" i="2"/>
  <c r="C50" i="2"/>
  <c r="L50" i="2"/>
  <c r="U50" i="2" s="1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48" i="2" l="1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<sst xmlns="http://schemas.openxmlformats.org/spreadsheetml/2006/main" count="183" uniqueCount="63">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</sst>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3"/>
  <sheetViews>
    <sheetView tabSelected="1" topLeftCell="A43" workbookViewId="0">
      <selection activeCell="A53" sqref="A53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7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7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7" ht="14.25" customHeight="1" x14ac:dyDescent="0.2">
      <c r="A51" s="12" t="s">
        <v>60</v>
      </c>
      <c r="B51" s="2">
        <f t="shared" ref="B51" si="360">D$2/D51</f>
        <v>32.885546108567688</v>
      </c>
      <c r="C51" s="2">
        <f t="shared" ref="C51" si="361">D50/D51</f>
        <v>1.143230869849575</v>
      </c>
      <c r="D51" s="6">
        <f t="shared" ref="D51" si="362">SUM(F51:H51)</f>
        <v>15.29</v>
      </c>
      <c r="E51" s="9">
        <v>0.65</v>
      </c>
      <c r="F51" s="9">
        <v>7.72</v>
      </c>
      <c r="G51" s="13">
        <v>6.93</v>
      </c>
      <c r="H51" s="9">
        <v>0.64</v>
      </c>
      <c r="I51" s="14">
        <v>4.91</v>
      </c>
      <c r="J51" s="12" t="s">
        <v>60</v>
      </c>
      <c r="K51" s="2">
        <f t="shared" ref="K51:K53" si="363">M$2/M51</f>
        <v>63.196969696969681</v>
      </c>
      <c r="L51" s="2">
        <f t="shared" ref="L51:L53" si="364">M50/M51</f>
        <v>1.1212121212121211</v>
      </c>
      <c r="M51" s="6">
        <f t="shared" ref="M51:M53" si="365">SUM(O51:Q51)</f>
        <v>0.66</v>
      </c>
      <c r="N51" s="9">
        <v>0.12</v>
      </c>
      <c r="O51" s="9">
        <v>0.47</v>
      </c>
      <c r="P51" s="13">
        <v>0.16</v>
      </c>
      <c r="Q51" s="9">
        <v>0.03</v>
      </c>
      <c r="R51" s="14">
        <v>0.17</v>
      </c>
      <c r="S51" s="12" t="s">
        <v>60</v>
      </c>
      <c r="T51" s="2">
        <f t="shared" ref="T51" si="366">ROUND(B51/K51,3)</f>
        <v>0.52</v>
      </c>
      <c r="U51" s="2">
        <f t="shared" ref="U51" si="367">ROUND(C51/L51,3)</f>
        <v>1.02</v>
      </c>
      <c r="V51" s="6">
        <f t="shared" ref="V51" si="368">ROUND(D51/M51,3)</f>
        <v>23.167000000000002</v>
      </c>
      <c r="W51" s="9">
        <f t="shared" ref="W51" si="369">ROUND(E51/N51,3)</f>
        <v>5.4169999999999998</v>
      </c>
      <c r="X51" s="9">
        <f t="shared" ref="X51" si="370">ROUND(F51/O51,3)</f>
        <v>16.425999999999998</v>
      </c>
      <c r="Y51" s="13">
        <f t="shared" ref="Y51" si="371">ROUND(G51/P51,3)</f>
        <v>43.313000000000002</v>
      </c>
      <c r="Z51" s="9">
        <f t="shared" ref="Z51" si="372">ROUND(H51/Q51,3)</f>
        <v>21.332999999999998</v>
      </c>
      <c r="AA51" s="14">
        <f t="shared" ref="AA51" si="373">ROUND(I51/R51,3)</f>
        <v>28.882000000000001</v>
      </c>
    </row>
    <row r="52" spans="1:27" ht="14.25" customHeight="1" x14ac:dyDescent="0.2">
      <c r="A52" s="12" t="s">
        <v>61</v>
      </c>
      <c r="B52" s="5">
        <f t="shared" ref="B52:B53" si="374">D$2/D52</f>
        <v>32.885546108567688</v>
      </c>
      <c r="C52" s="5">
        <f t="shared" ref="C52:C53" si="375">D51/D52</f>
        <v>0.99999999999999989</v>
      </c>
      <c r="D52" s="4">
        <f t="shared" ref="D52:D53" si="376">SUM(F52:H52)</f>
        <v>15.290000000000001</v>
      </c>
      <c r="E52" s="9">
        <v>0.73</v>
      </c>
      <c r="F52" s="9">
        <v>7.69</v>
      </c>
      <c r="G52" s="9">
        <v>6.94</v>
      </c>
      <c r="H52" s="9">
        <v>0.66</v>
      </c>
      <c r="I52" s="14">
        <v>4.92</v>
      </c>
      <c r="J52" s="12" t="s">
        <v>61</v>
      </c>
      <c r="K52" s="5">
        <f t="shared" si="363"/>
        <v>62.253731343283569</v>
      </c>
      <c r="L52" s="5">
        <f t="shared" si="364"/>
        <v>0.9850746268656716</v>
      </c>
      <c r="M52" s="4">
        <f t="shared" si="365"/>
        <v>0.67</v>
      </c>
      <c r="N52" s="9">
        <v>0.09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61</v>
      </c>
      <c r="T52" s="5">
        <f t="shared" ref="T52:T53" si="377">ROUND(B52/K52,3)</f>
        <v>0.52800000000000002</v>
      </c>
      <c r="U52" s="5">
        <f t="shared" ref="U52:U53" si="378">ROUND(C52/L52,3)</f>
        <v>1.0149999999999999</v>
      </c>
      <c r="V52" s="4">
        <f t="shared" ref="V52:V53" si="379">ROUND(D52/M52,3)</f>
        <v>22.821000000000002</v>
      </c>
      <c r="W52" s="18">
        <f t="shared" ref="W52:W53" si="380">ROUND(E52/N52,3)</f>
        <v>8.1110000000000007</v>
      </c>
      <c r="X52" s="18">
        <f t="shared" ref="X52:X53" si="381">ROUND(F52/O52,3)</f>
        <v>16.361999999999998</v>
      </c>
      <c r="Y52" s="18">
        <f t="shared" ref="Y52:Y53" si="382">ROUND(G52/P52,3)</f>
        <v>40.823999999999998</v>
      </c>
      <c r="Z52" s="18">
        <f t="shared" ref="Z52:Z53" si="383">ROUND(H52/Q52,3)</f>
        <v>22</v>
      </c>
      <c r="AA52" s="14">
        <f t="shared" ref="AA52:AA53" si="384">ROUND(I52/R52,3)</f>
        <v>27.332999999999998</v>
      </c>
    </row>
    <row r="53" spans="1:27" ht="14.25" customHeight="1" x14ac:dyDescent="0.2">
      <c r="A53" s="12" t="s">
        <v>62</v>
      </c>
      <c r="B53" s="5">
        <f t="shared" si="374"/>
        <v>33.365627073656263</v>
      </c>
      <c r="C53" s="5">
        <f t="shared" si="375"/>
        <v>1.0145985401459854</v>
      </c>
      <c r="D53" s="4">
        <f t="shared" si="376"/>
        <v>15.07</v>
      </c>
      <c r="E53" s="9">
        <v>0.66</v>
      </c>
      <c r="F53" s="9">
        <v>7.74</v>
      </c>
      <c r="G53" s="13">
        <v>6.67</v>
      </c>
      <c r="H53" s="9">
        <v>0.66</v>
      </c>
      <c r="I53" s="14">
        <v>4.82</v>
      </c>
      <c r="J53" s="12" t="s">
        <v>62</v>
      </c>
      <c r="K53" s="5">
        <f t="shared" si="363"/>
        <v>63.196969696969681</v>
      </c>
      <c r="L53" s="5">
        <f t="shared" si="364"/>
        <v>1.0151515151515151</v>
      </c>
      <c r="M53" s="4">
        <f t="shared" si="365"/>
        <v>0.66</v>
      </c>
      <c r="N53" s="9">
        <v>0.09</v>
      </c>
      <c r="O53" s="9">
        <v>0.48</v>
      </c>
      <c r="P53" s="13">
        <v>0.15</v>
      </c>
      <c r="Q53" s="9">
        <v>0.03</v>
      </c>
      <c r="R53" s="14">
        <v>0.16</v>
      </c>
      <c r="S53" s="12" t="s">
        <v>62</v>
      </c>
      <c r="T53" s="5">
        <f t="shared" si="377"/>
        <v>0.52800000000000002</v>
      </c>
      <c r="U53" s="5">
        <f t="shared" si="378"/>
        <v>0.999</v>
      </c>
      <c r="V53" s="4">
        <f t="shared" si="379"/>
        <v>22.832999999999998</v>
      </c>
      <c r="W53" s="18">
        <f t="shared" si="380"/>
        <v>7.3330000000000002</v>
      </c>
      <c r="X53" s="18">
        <f t="shared" si="381"/>
        <v>16.125</v>
      </c>
      <c r="Y53" s="13">
        <f t="shared" si="382"/>
        <v>44.466999999999999</v>
      </c>
      <c r="Z53" s="18">
        <f t="shared" si="383"/>
        <v>22</v>
      </c>
      <c r="AA53" s="14">
        <f t="shared" si="384"/>
        <v>30.125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2026-09-09T04:14:45Z</dcterms:modified>
</cp:coreProperties>
</file>