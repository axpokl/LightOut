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67195B1B-B5DE-45D3-A727-CF348C589155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6" i="2" l="1"/>
  <c r="K36" i="2" s="1"/>
  <c r="T36" i="2" s="1"/>
  <c r="AA36" i="2"/>
  <c r="Z36" i="2"/>
  <c r="Y36" i="2"/>
  <c r="X36" i="2"/>
  <c r="W36" i="2"/>
  <c r="V36" i="2"/>
  <c r="D36" i="2"/>
  <c r="C36" i="2" s="1"/>
  <c r="AA35" i="2"/>
  <c r="Z35" i="2"/>
  <c r="Y35" i="2"/>
  <c r="X35" i="2"/>
  <c r="W35" i="2"/>
  <c r="D35" i="2"/>
  <c r="M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36" i="2" l="1"/>
  <c r="U36" i="2" s="1"/>
  <c r="B36" i="2"/>
  <c r="B33" i="2"/>
  <c r="V5" i="2"/>
  <c r="C22" i="2"/>
  <c r="C35" i="2"/>
  <c r="L35" i="2"/>
  <c r="U35" i="2" s="1"/>
  <c r="V35" i="2"/>
  <c r="B35" i="2"/>
  <c r="K35" i="2"/>
  <c r="T35" i="2" s="1"/>
  <c r="C34" i="2"/>
  <c r="L34" i="2"/>
  <c r="U34" i="2" s="1"/>
  <c r="C33" i="2"/>
  <c r="V34" i="2"/>
  <c r="K34" i="2"/>
  <c r="B34" i="2"/>
  <c r="B32" i="2"/>
  <c r="V32" i="2"/>
  <c r="L33" i="2"/>
  <c r="U33" i="2" s="1"/>
  <c r="K33" i="2"/>
  <c r="T33" i="2" s="1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32" i="2" l="1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<sst xmlns="http://schemas.openxmlformats.org/spreadsheetml/2006/main" count="132" uniqueCount="45">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</sst>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36"/>
  <sheetViews>
    <sheetView tabSelected="1" topLeftCell="A22" workbookViewId="0">
      <selection activeCell="S36" sqref="S36:AA36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8.263270336894001</v>
      </c>
      <c r="C25" s="2">
        <f t="shared" ref="C25" si="61">D24/D25</f>
        <v>1.0216926869350864</v>
      </c>
      <c r="D25" s="6">
        <f t="shared" ref="D25" si="62">SUM(F25:H25)</f>
        <v>60.849999999999994</v>
      </c>
      <c r="E25" s="9">
        <v>244.44</v>
      </c>
      <c r="F25" s="9">
        <v>31.2</v>
      </c>
      <c r="G25" s="13">
        <v>28.18</v>
      </c>
      <c r="H25" s="9">
        <v>1.47</v>
      </c>
      <c r="I25" s="14">
        <v>19.309999999999999</v>
      </c>
      <c r="J25" s="17" t="s">
        <v>33</v>
      </c>
      <c r="K25" s="2">
        <f t="shared" ref="K25:K27" si="63">M$2/M25</f>
        <v>15.85931558935361</v>
      </c>
      <c r="L25" s="2">
        <f t="shared" ref="L25:L27" si="64">M24/M25</f>
        <v>1.0760456273764258</v>
      </c>
      <c r="M25" s="6">
        <f t="shared" ref="M25:M27" si="65">SUM(O25:Q25)</f>
        <v>2.63</v>
      </c>
      <c r="N25" s="9">
        <v>11.87</v>
      </c>
      <c r="O25" s="9">
        <v>1.1100000000000001</v>
      </c>
      <c r="P25" s="13">
        <v>1.24</v>
      </c>
      <c r="Q25" s="9">
        <v>0.28000000000000003</v>
      </c>
      <c r="R25" s="14">
        <v>0.89</v>
      </c>
      <c r="S25" s="17" t="s">
        <v>33</v>
      </c>
      <c r="T25" s="2">
        <f t="shared" ref="T25" si="66">ROUND(B25/K25,3)</f>
        <v>0.52100000000000002</v>
      </c>
      <c r="U25" s="2">
        <f t="shared" ref="U25" si="67">ROUND(C25/L25,3)</f>
        <v>0.94899999999999995</v>
      </c>
      <c r="V25" s="6">
        <f t="shared" ref="V25" si="68">ROUND(D25/M25,3)</f>
        <v>23.137</v>
      </c>
      <c r="W25" s="9">
        <f t="shared" ref="W25" si="69">ROUND(E25/N25,3)</f>
        <v>20.593</v>
      </c>
      <c r="X25" s="9">
        <f t="shared" ref="X25" si="70">ROUND(F25/O25,3)</f>
        <v>28.108000000000001</v>
      </c>
      <c r="Y25" s="13">
        <f t="shared" ref="Y25" si="71">ROUND(G25/P25,3)</f>
        <v>22.725999999999999</v>
      </c>
      <c r="Z25" s="9">
        <f t="shared" ref="Z25" si="72">ROUND(H25/Q25,3)</f>
        <v>5.25</v>
      </c>
      <c r="AA25" s="14">
        <f t="shared" ref="AA25" si="73">ROUND(I25/R25,3)</f>
        <v>21.696999999999999</v>
      </c>
    </row>
    <row r="26" spans="1:27" ht="14.25" customHeight="1" x14ac:dyDescent="0.2">
      <c r="A26" s="17" t="s">
        <v>34</v>
      </c>
      <c r="B26" s="2">
        <f t="shared" ref="B26" si="74">D$2/D26</f>
        <v>9.1923217550274217</v>
      </c>
      <c r="C26" s="2">
        <f t="shared" ref="C26" si="75">D25/D26</f>
        <v>1.1124314442413163</v>
      </c>
      <c r="D26" s="6">
        <f t="shared" ref="D26" si="76">SUM(F26:H26)</f>
        <v>54.699999999999996</v>
      </c>
      <c r="E26" s="9">
        <v>249.17</v>
      </c>
      <c r="F26" s="9">
        <v>31.37</v>
      </c>
      <c r="G26" s="13">
        <v>21.93</v>
      </c>
      <c r="H26" s="9">
        <v>1.4</v>
      </c>
      <c r="I26" s="14">
        <v>18.010000000000002</v>
      </c>
      <c r="J26" s="17" t="s">
        <v>34</v>
      </c>
      <c r="K26" s="2">
        <f t="shared" si="63"/>
        <v>17.024489795918363</v>
      </c>
      <c r="L26" s="2">
        <f t="shared" si="64"/>
        <v>1.0734693877551018</v>
      </c>
      <c r="M26" s="6">
        <f t="shared" si="65"/>
        <v>2.4500000000000002</v>
      </c>
      <c r="N26" s="9">
        <v>11.51</v>
      </c>
      <c r="O26" s="9">
        <v>1.1299999999999999</v>
      </c>
      <c r="P26" s="13">
        <v>1.04</v>
      </c>
      <c r="Q26" s="9">
        <v>0.28000000000000003</v>
      </c>
      <c r="R26" s="14">
        <v>0.87</v>
      </c>
      <c r="S26" s="17" t="s">
        <v>34</v>
      </c>
      <c r="T26" s="2">
        <f t="shared" ref="T26" si="77">ROUND(B26/K26,3)</f>
        <v>0.54</v>
      </c>
      <c r="U26" s="2">
        <f t="shared" ref="U26" si="78">ROUND(C26/L26,3)</f>
        <v>1.036</v>
      </c>
      <c r="V26" s="6">
        <f t="shared" ref="V26" si="79">ROUND(D26/M26,3)</f>
        <v>22.327000000000002</v>
      </c>
      <c r="W26" s="9">
        <f t="shared" ref="W26" si="80">ROUND(E26/N26,3)</f>
        <v>21.648</v>
      </c>
      <c r="X26" s="9">
        <f t="shared" ref="X26" si="81">ROUND(F26/O26,3)</f>
        <v>27.760999999999999</v>
      </c>
      <c r="Y26" s="13">
        <f t="shared" ref="Y26" si="82">ROUND(G26/P26,3)</f>
        <v>21.087</v>
      </c>
      <c r="Z26" s="9">
        <f t="shared" ref="Z26" si="83">ROUND(H26/Q26,3)</f>
        <v>5</v>
      </c>
      <c r="AA26" s="14">
        <f t="shared" ref="AA26" si="84">ROUND(I26/R26,3)</f>
        <v>20.701000000000001</v>
      </c>
    </row>
    <row r="27" spans="1:27" ht="14.25" customHeight="1" x14ac:dyDescent="0.2">
      <c r="A27" s="17" t="s">
        <v>35</v>
      </c>
      <c r="B27" s="2">
        <f t="shared" ref="B27" si="85">D$2/D27</f>
        <v>10.453638253638253</v>
      </c>
      <c r="C27" s="2">
        <f t="shared" ref="C27" si="86">D26/D27</f>
        <v>1.1372141372141373</v>
      </c>
      <c r="D27" s="6">
        <f t="shared" ref="D27" si="87">SUM(F27:H27)</f>
        <v>48.099999999999994</v>
      </c>
      <c r="E27" s="9">
        <v>244.7</v>
      </c>
      <c r="F27" s="13">
        <v>25.5</v>
      </c>
      <c r="G27" s="9">
        <v>21.16</v>
      </c>
      <c r="H27" s="9">
        <v>1.44</v>
      </c>
      <c r="I27" s="10">
        <v>17.38</v>
      </c>
      <c r="J27" s="17" t="s">
        <v>35</v>
      </c>
      <c r="K27" s="2">
        <f t="shared" si="63"/>
        <v>17.978448275862064</v>
      </c>
      <c r="L27" s="2">
        <f t="shared" si="64"/>
        <v>1.0560344827586206</v>
      </c>
      <c r="M27" s="6">
        <f t="shared" si="65"/>
        <v>2.3200000000000003</v>
      </c>
      <c r="N27" s="9">
        <v>11.65</v>
      </c>
      <c r="O27" s="13">
        <v>0.98</v>
      </c>
      <c r="P27" s="9">
        <v>1.05</v>
      </c>
      <c r="Q27" s="9">
        <v>0.28999999999999998</v>
      </c>
      <c r="R27" s="10">
        <v>0.88</v>
      </c>
      <c r="S27" s="17" t="s">
        <v>35</v>
      </c>
      <c r="T27" s="2">
        <f t="shared" ref="T27" si="88">ROUND(B27/K27,3)</f>
        <v>0.58099999999999996</v>
      </c>
      <c r="U27" s="2">
        <f t="shared" ref="U27" si="89">ROUND(C27/L27,3)</f>
        <v>1.077</v>
      </c>
      <c r="V27" s="6">
        <f t="shared" ref="V27" si="90">ROUND(D27/M27,3)</f>
        <v>20.733000000000001</v>
      </c>
      <c r="W27" s="9">
        <f t="shared" ref="W27" si="91">ROUND(E27/N27,3)</f>
        <v>21.004000000000001</v>
      </c>
      <c r="X27" s="13">
        <f t="shared" ref="X27" si="92">ROUND(F27/O27,3)</f>
        <v>26.02</v>
      </c>
      <c r="Y27" s="9">
        <f t="shared" ref="Y27" si="93">ROUND(G27/P27,3)</f>
        <v>20.152000000000001</v>
      </c>
      <c r="Z27" s="9">
        <f t="shared" ref="Z27" si="94">ROUND(H27/Q27,3)</f>
        <v>4.9660000000000002</v>
      </c>
      <c r="AA27" s="10">
        <f t="shared" ref="AA27" si="95">ROUND(I27/R27,3)</f>
        <v>19.75</v>
      </c>
    </row>
    <row r="28" spans="1:27" ht="14.25" customHeight="1" x14ac:dyDescent="0.2">
      <c r="A28" s="17" t="s">
        <v>36</v>
      </c>
      <c r="B28" s="2">
        <f t="shared" ref="B28" si="96">D$2/D28</f>
        <v>11.085097001763668</v>
      </c>
      <c r="C28" s="2">
        <f t="shared" ref="C28" si="97">D27/D28</f>
        <v>1.0604056437389771</v>
      </c>
      <c r="D28" s="6">
        <f t="shared" ref="D28" si="98">SUM(F28:H28)</f>
        <v>45.36</v>
      </c>
      <c r="E28" s="9">
        <v>244.24</v>
      </c>
      <c r="F28" s="9">
        <v>24.96</v>
      </c>
      <c r="G28" s="13">
        <v>19.010000000000002</v>
      </c>
      <c r="H28" s="9">
        <v>1.39</v>
      </c>
      <c r="I28" s="14">
        <v>14.95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1.0841121495327104</v>
      </c>
      <c r="M28" s="6">
        <f t="shared" ref="M28" si="101">SUM(O28:Q28)</f>
        <v>2.14</v>
      </c>
      <c r="N28" s="9">
        <v>11.59</v>
      </c>
      <c r="O28" s="9">
        <v>0.92</v>
      </c>
      <c r="P28" s="13">
        <v>0.95</v>
      </c>
      <c r="Q28" s="9">
        <v>0.27</v>
      </c>
      <c r="R28" s="14">
        <v>0.77</v>
      </c>
      <c r="S28" s="17" t="s">
        <v>36</v>
      </c>
      <c r="T28" s="2">
        <f t="shared" ref="T28" si="102">ROUND(B28/K28,3)</f>
        <v>0.56899999999999995</v>
      </c>
      <c r="U28" s="2">
        <f t="shared" ref="U28" si="103">ROUND(C28/L28,3)</f>
        <v>0.97799999999999998</v>
      </c>
      <c r="V28" s="6">
        <f t="shared" ref="V28" si="104">ROUND(D28/M28,3)</f>
        <v>21.196000000000002</v>
      </c>
      <c r="W28" s="9">
        <f t="shared" ref="W28" si="105">ROUND(E28/N28,3)</f>
        <v>21.073</v>
      </c>
      <c r="X28" s="9">
        <f t="shared" ref="X28" si="106">ROUND(F28/O28,3)</f>
        <v>27.13</v>
      </c>
      <c r="Y28" s="13">
        <f t="shared" ref="Y28" si="107">ROUND(G28/P28,3)</f>
        <v>20.010999999999999</v>
      </c>
      <c r="Z28" s="9">
        <f t="shared" ref="Z28" si="108">ROUND(H28/Q28,3)</f>
        <v>5.1479999999999997</v>
      </c>
      <c r="AA28" s="14">
        <f t="shared" ref="AA28" si="109">ROUND(I28/R28,3)</f>
        <v>19.416</v>
      </c>
    </row>
    <row r="29" spans="1:27" ht="14.25" customHeight="1" x14ac:dyDescent="0.2">
      <c r="A29" s="17" t="s">
        <v>37</v>
      </c>
      <c r="B29" s="2">
        <f t="shared" ref="B29" si="110">D$2/D29</f>
        <v>13.023051023051021</v>
      </c>
      <c r="C29" s="2">
        <f t="shared" ref="C29" si="111">D28/D29</f>
        <v>1.1748251748251748</v>
      </c>
      <c r="D29" s="6">
        <f t="shared" ref="D29" si="112">SUM(F29:H29)</f>
        <v>38.61</v>
      </c>
      <c r="E29" s="9">
        <v>248.57</v>
      </c>
      <c r="F29" s="9">
        <v>25.06</v>
      </c>
      <c r="G29" s="13">
        <v>12.11</v>
      </c>
      <c r="H29" s="9">
        <v>1.44</v>
      </c>
      <c r="I29" s="19">
        <v>14.92</v>
      </c>
      <c r="J29" s="17" t="s">
        <v>37</v>
      </c>
      <c r="K29" s="2">
        <f t="shared" ref="K29:K30" si="113">M$2/M29</f>
        <v>21.952631578947365</v>
      </c>
      <c r="L29" s="2">
        <f t="shared" ref="L29:L30" si="114">M28/M29</f>
        <v>1.1263157894736842</v>
      </c>
      <c r="M29" s="6">
        <f t="shared" ref="M29:M30" si="115">SUM(O29:Q29)</f>
        <v>1.9000000000000001</v>
      </c>
      <c r="N29" s="9">
        <v>11.49</v>
      </c>
      <c r="O29" s="9">
        <v>0.97</v>
      </c>
      <c r="P29" s="13">
        <v>0.65</v>
      </c>
      <c r="Q29" s="9">
        <v>0.28000000000000003</v>
      </c>
      <c r="R29" s="19">
        <v>0.77</v>
      </c>
      <c r="S29" s="17" t="s">
        <v>37</v>
      </c>
      <c r="T29" s="2">
        <f t="shared" ref="T29" si="116">ROUND(B29/K29,3)</f>
        <v>0.59299999999999997</v>
      </c>
      <c r="U29" s="2">
        <f t="shared" ref="U29" si="117">ROUND(C29/L29,3)</f>
        <v>1.0429999999999999</v>
      </c>
      <c r="V29" s="6">
        <f t="shared" ref="V29" si="118">ROUND(D29/M29,3)</f>
        <v>20.321000000000002</v>
      </c>
      <c r="W29" s="9">
        <f t="shared" ref="W29" si="119">ROUND(E29/N29,3)</f>
        <v>21.634</v>
      </c>
      <c r="X29" s="9">
        <f t="shared" ref="X29" si="120">ROUND(F29/O29,3)</f>
        <v>25.835000000000001</v>
      </c>
      <c r="Y29" s="13">
        <f t="shared" ref="Y29" si="121">ROUND(G29/P29,3)</f>
        <v>18.631</v>
      </c>
      <c r="Z29" s="9">
        <f t="shared" ref="Z29" si="122">ROUND(H29/Q29,3)</f>
        <v>5.1429999999999998</v>
      </c>
      <c r="AA29" s="19">
        <f t="shared" ref="AA29" si="123">ROUND(I29/R29,3)</f>
        <v>19.376999999999999</v>
      </c>
    </row>
    <row r="30" spans="1:27" ht="14.25" customHeight="1" x14ac:dyDescent="0.2">
      <c r="A30" s="17" t="s">
        <v>38</v>
      </c>
      <c r="B30" s="5">
        <f t="shared" ref="B30" si="124">D$2/D30</f>
        <v>12.774898373983739</v>
      </c>
      <c r="C30" s="5">
        <f t="shared" ref="C30" si="125">D29/D30</f>
        <v>0.98094512195121952</v>
      </c>
      <c r="D30" s="4">
        <f t="shared" ref="D30" si="126">SUM(F30:H30)</f>
        <v>39.36</v>
      </c>
      <c r="E30" s="13">
        <v>206.44</v>
      </c>
      <c r="F30" s="9">
        <v>25.32</v>
      </c>
      <c r="G30" s="9">
        <v>12.45</v>
      </c>
      <c r="H30" s="9">
        <v>1.59</v>
      </c>
      <c r="I30" s="10">
        <v>15.46</v>
      </c>
      <c r="J30" s="17" t="s">
        <v>38</v>
      </c>
      <c r="K30" s="5">
        <f t="shared" si="113"/>
        <v>22.917582417582413</v>
      </c>
      <c r="L30" s="5">
        <f t="shared" si="114"/>
        <v>1.043956043956044</v>
      </c>
      <c r="M30" s="4">
        <f t="shared" si="115"/>
        <v>1.82</v>
      </c>
      <c r="N30" s="13">
        <v>9.8000000000000007</v>
      </c>
      <c r="O30" s="9">
        <v>0.91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0.55700000000000005</v>
      </c>
      <c r="U30" s="5">
        <f t="shared" ref="U30" si="128">ROUND(C30/L30,3)</f>
        <v>0.94</v>
      </c>
      <c r="V30" s="4">
        <f t="shared" ref="V30" si="129">ROUND(D30/M30,3)</f>
        <v>21.626000000000001</v>
      </c>
      <c r="W30" s="13">
        <f t="shared" ref="W30" si="130">ROUND(E30/N30,3)</f>
        <v>21.065000000000001</v>
      </c>
      <c r="X30" s="9">
        <f t="shared" ref="X30" si="131">ROUND(F30/O30,3)</f>
        <v>27.824000000000002</v>
      </c>
      <c r="Y30" s="9">
        <f t="shared" ref="Y30" si="132">ROUND(G30/P30,3)</f>
        <v>19.154</v>
      </c>
      <c r="Z30" s="9">
        <f t="shared" ref="Z30" si="133">ROUND(H30/Q30,3)</f>
        <v>6.1150000000000002</v>
      </c>
      <c r="AA30" s="10">
        <f t="shared" ref="AA30" si="134">ROUND(I30/R30,3)</f>
        <v>20.077999999999999</v>
      </c>
    </row>
    <row r="31" spans="1:27" ht="14.25" customHeight="1" x14ac:dyDescent="0.2">
      <c r="A31" s="17" t="s">
        <v>39</v>
      </c>
      <c r="B31" s="2">
        <f t="shared" ref="B31" si="135">D$2/D31</f>
        <v>12.979349509550849</v>
      </c>
      <c r="C31" s="2">
        <f t="shared" ref="C31" si="136">D30/D31</f>
        <v>1.0160041300980898</v>
      </c>
      <c r="D31" s="6">
        <f t="shared" ref="D31" si="137">SUM(F31:H31)</f>
        <v>38.74</v>
      </c>
      <c r="E31" s="9">
        <v>204.69</v>
      </c>
      <c r="F31" s="9">
        <v>25.05</v>
      </c>
      <c r="G31" s="9">
        <v>12.52</v>
      </c>
      <c r="H31" s="13">
        <v>1.17</v>
      </c>
      <c r="I31" s="10">
        <v>15.61</v>
      </c>
      <c r="J31" s="17" t="s">
        <v>39</v>
      </c>
      <c r="K31" s="2">
        <f t="shared" ref="K31:K34" si="138">M$2/M31</f>
        <v>25.746913580246911</v>
      </c>
      <c r="L31" s="2">
        <f t="shared" ref="L31:L34" si="139">M30/M31</f>
        <v>1.1234567901234569</v>
      </c>
      <c r="M31" s="6">
        <f t="shared" ref="M31:M34" si="140">SUM(O31:Q31)</f>
        <v>1.6199999999999999</v>
      </c>
      <c r="N31" s="9">
        <v>9.51</v>
      </c>
      <c r="O31" s="9">
        <v>0.96</v>
      </c>
      <c r="P31" s="9">
        <v>0.63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0.504</v>
      </c>
      <c r="U31" s="2">
        <f t="shared" ref="U31" si="142">ROUND(C31/L31,3)</f>
        <v>0.90400000000000003</v>
      </c>
      <c r="V31" s="6">
        <f t="shared" ref="V31" si="143">ROUND(D31/M31,3)</f>
        <v>23.914000000000001</v>
      </c>
      <c r="W31" s="9">
        <f t="shared" ref="W31" si="144">ROUND(E31/N31,3)</f>
        <v>21.524000000000001</v>
      </c>
      <c r="X31" s="9">
        <f t="shared" ref="X31" si="145">ROUND(F31/O31,3)</f>
        <v>26.094000000000001</v>
      </c>
      <c r="Y31" s="9">
        <f t="shared" ref="Y31" si="146">ROUND(G31/P31,3)</f>
        <v>19.873000000000001</v>
      </c>
      <c r="Z31" s="13">
        <f t="shared" ref="Z31" si="147">ROUND(H31/Q31,3)</f>
        <v>39</v>
      </c>
      <c r="AA31" s="10">
        <f t="shared" ref="AA31" si="148">ROUND(I31/R31,3)</f>
        <v>20.812999999999999</v>
      </c>
    </row>
    <row r="32" spans="1:27" ht="14.25" customHeight="1" x14ac:dyDescent="0.2">
      <c r="A32" s="17" t="s">
        <v>40</v>
      </c>
      <c r="B32" s="5">
        <f t="shared" ref="B32" si="149">D$2/D32</f>
        <v>13.152498038189901</v>
      </c>
      <c r="C32" s="5">
        <f t="shared" ref="C32" si="150">D31/D32</f>
        <v>1.0133403086581219</v>
      </c>
      <c r="D32" s="4">
        <f t="shared" ref="D32" si="151">SUM(F32:H32)</f>
        <v>38.230000000000004</v>
      </c>
      <c r="E32" s="9">
        <v>206.61</v>
      </c>
      <c r="F32" s="13">
        <v>24.56</v>
      </c>
      <c r="G32" s="9">
        <v>12.5</v>
      </c>
      <c r="H32" s="9">
        <v>1.17</v>
      </c>
      <c r="I32" s="10">
        <v>14.96</v>
      </c>
      <c r="J32" s="17" t="s">
        <v>40</v>
      </c>
      <c r="K32" s="5">
        <f t="shared" si="138"/>
        <v>28.965277777777771</v>
      </c>
      <c r="L32" s="5">
        <f t="shared" si="139"/>
        <v>1.1249999999999998</v>
      </c>
      <c r="M32" s="4">
        <f t="shared" si="140"/>
        <v>1.4400000000000002</v>
      </c>
      <c r="N32" s="9">
        <v>9.49</v>
      </c>
      <c r="O32" s="13">
        <v>0.76</v>
      </c>
      <c r="P32" s="9">
        <v>0.65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0.45400000000000001</v>
      </c>
      <c r="U32" s="5">
        <f t="shared" ref="U32:U33" si="153">ROUND(C32/L32,3)</f>
        <v>0.90100000000000002</v>
      </c>
      <c r="V32" s="4">
        <f t="shared" ref="V32:V33" si="154">ROUND(D32/M32,3)</f>
        <v>26.548999999999999</v>
      </c>
      <c r="W32" s="9">
        <f t="shared" ref="W32:W33" si="155">ROUND(E32/N32,3)</f>
        <v>21.771000000000001</v>
      </c>
      <c r="X32" s="13">
        <f t="shared" ref="X32:X33" si="156">ROUND(F32/O32,3)</f>
        <v>32.316000000000003</v>
      </c>
      <c r="Y32" s="9">
        <f t="shared" ref="Y32:Y33" si="157">ROUND(G32/P32,3)</f>
        <v>19.231000000000002</v>
      </c>
      <c r="Z32" s="9">
        <f t="shared" ref="Z32:Z33" si="158">ROUND(H32/Q32,3)</f>
        <v>39</v>
      </c>
      <c r="AA32" s="10">
        <f t="shared" ref="AA32:AA33" si="159">ROUND(I32/R32,3)</f>
        <v>19.684000000000001</v>
      </c>
    </row>
    <row r="33" spans="1:27" ht="14.25" customHeight="1" x14ac:dyDescent="0.2">
      <c r="A33" s="12" t="s">
        <v>41</v>
      </c>
      <c r="B33" s="5">
        <f t="shared" ref="B33" si="160">D$2/D33</f>
        <v>13.630252100840337</v>
      </c>
      <c r="C33" s="5">
        <f t="shared" ref="C33" si="161">D32/D33</f>
        <v>1.0363242071021961</v>
      </c>
      <c r="D33" s="4">
        <f t="shared" ref="D33" si="162">SUM(F33:H33)</f>
        <v>36.889999999999993</v>
      </c>
      <c r="E33" s="9">
        <v>203.57</v>
      </c>
      <c r="F33" s="9">
        <v>24.06</v>
      </c>
      <c r="G33" s="13">
        <v>11.67</v>
      </c>
      <c r="H33" s="9">
        <v>1.1599999999999999</v>
      </c>
      <c r="I33" s="14">
        <v>14.69</v>
      </c>
      <c r="J33" s="12" t="s">
        <v>41</v>
      </c>
      <c r="K33" s="5">
        <f t="shared" si="138"/>
        <v>28.765517241379307</v>
      </c>
      <c r="L33" s="5">
        <f t="shared" si="139"/>
        <v>0.99310344827586217</v>
      </c>
      <c r="M33" s="4">
        <f t="shared" si="140"/>
        <v>1.45</v>
      </c>
      <c r="N33" s="9">
        <v>9.43</v>
      </c>
      <c r="O33" s="9">
        <v>0.82</v>
      </c>
      <c r="P33" s="13">
        <v>0.6</v>
      </c>
      <c r="Q33" s="9">
        <v>0.03</v>
      </c>
      <c r="R33" s="14">
        <v>0.71</v>
      </c>
      <c r="S33" s="12" t="s">
        <v>41</v>
      </c>
      <c r="T33" s="5">
        <f t="shared" si="152"/>
        <v>0.47399999999999998</v>
      </c>
      <c r="U33" s="5">
        <f t="shared" si="153"/>
        <v>1.044</v>
      </c>
      <c r="V33" s="4">
        <f t="shared" si="154"/>
        <v>25.440999999999999</v>
      </c>
      <c r="W33" s="9">
        <f t="shared" si="155"/>
        <v>21.587</v>
      </c>
      <c r="X33" s="9">
        <f t="shared" si="156"/>
        <v>29.341000000000001</v>
      </c>
      <c r="Y33" s="13">
        <f t="shared" si="157"/>
        <v>19.45</v>
      </c>
      <c r="Z33" s="9">
        <f t="shared" si="158"/>
        <v>38.667000000000002</v>
      </c>
      <c r="AA33" s="14">
        <f t="shared" si="159"/>
        <v>20.69</v>
      </c>
    </row>
    <row r="34" spans="1:27" ht="14.25" customHeight="1" x14ac:dyDescent="0.2">
      <c r="A34" s="12" t="s">
        <v>42</v>
      </c>
      <c r="B34" s="2">
        <f t="shared" ref="B34" si="163">D$2/D34</f>
        <v>13.726999726999727</v>
      </c>
      <c r="C34" s="2">
        <f t="shared" ref="C34" si="164">D33/D34</f>
        <v>1.0070980070980071</v>
      </c>
      <c r="D34" s="6">
        <f t="shared" ref="D34" si="165">SUM(F34:H34)</f>
        <v>36.629999999999995</v>
      </c>
      <c r="E34" s="18">
        <v>207.16</v>
      </c>
      <c r="F34" s="9">
        <v>23.86</v>
      </c>
      <c r="G34" s="13">
        <v>11.62</v>
      </c>
      <c r="H34" s="9">
        <v>1.1499999999999999</v>
      </c>
      <c r="I34" s="14">
        <v>14.55</v>
      </c>
      <c r="J34" s="12" t="s">
        <v>42</v>
      </c>
      <c r="K34" s="2">
        <f t="shared" si="138"/>
        <v>34.188524590163929</v>
      </c>
      <c r="L34" s="2">
        <f t="shared" si="139"/>
        <v>1.1885245901639345</v>
      </c>
      <c r="M34" s="6">
        <f t="shared" si="140"/>
        <v>1.22</v>
      </c>
      <c r="N34" s="18">
        <v>9.59</v>
      </c>
      <c r="O34" s="9">
        <v>0.76</v>
      </c>
      <c r="P34" s="13">
        <v>0.43</v>
      </c>
      <c r="Q34" s="9">
        <v>0.03</v>
      </c>
      <c r="R34" s="14">
        <v>0.64</v>
      </c>
      <c r="S34" s="12" t="s">
        <v>42</v>
      </c>
      <c r="T34" s="2">
        <f t="shared" ref="T34" si="166">ROUND(B34/K34,3)</f>
        <v>0.40200000000000002</v>
      </c>
      <c r="U34" s="2">
        <f t="shared" ref="U34" si="167">ROUND(C34/L34,3)</f>
        <v>0.84699999999999998</v>
      </c>
      <c r="V34" s="6">
        <f t="shared" ref="V34" si="168">ROUND(D34/M34,3)</f>
        <v>30.024999999999999</v>
      </c>
      <c r="W34" s="18">
        <f t="shared" ref="W34" si="169">ROUND(E34/N34,3)</f>
        <v>21.602</v>
      </c>
      <c r="X34" s="9">
        <f t="shared" ref="X34" si="170">ROUND(F34/O34,3)</f>
        <v>31.395</v>
      </c>
      <c r="Y34" s="13">
        <f t="shared" ref="Y34" si="171">ROUND(G34/P34,3)</f>
        <v>27.023</v>
      </c>
      <c r="Z34" s="9">
        <f t="shared" ref="Z34" si="172">ROUND(H34/Q34,3)</f>
        <v>38.332999999999998</v>
      </c>
      <c r="AA34" s="14">
        <f t="shared" ref="AA34" si="173">ROUND(I34/R34,3)</f>
        <v>22.734000000000002</v>
      </c>
    </row>
    <row r="35" spans="1:27" ht="14.25" customHeight="1" x14ac:dyDescent="0.2">
      <c r="A35" s="12" t="s">
        <v>43</v>
      </c>
      <c r="B35" s="2">
        <f t="shared" ref="B35:B36" si="174">D$2/D35</f>
        <v>19.287303413885688</v>
      </c>
      <c r="C35" s="2">
        <f t="shared" ref="C35:C36" si="175">D34/D35</f>
        <v>1.4050632911392402</v>
      </c>
      <c r="D35" s="6">
        <f t="shared" ref="D35:D36" si="176">SUM(F35:H35)</f>
        <v>26.07</v>
      </c>
      <c r="E35" s="9">
        <v>206.87</v>
      </c>
      <c r="F35" s="13">
        <v>13.32</v>
      </c>
      <c r="G35" s="9">
        <v>11.58</v>
      </c>
      <c r="H35" s="9">
        <v>1.17</v>
      </c>
      <c r="I35" s="10">
        <v>14.8</v>
      </c>
      <c r="J35" s="12" t="s">
        <v>43</v>
      </c>
      <c r="K35" s="2">
        <f t="shared" ref="K35" si="177">M$2/M35</f>
        <v>32.333333333333329</v>
      </c>
      <c r="L35" s="2">
        <f t="shared" ref="L35" si="178">M34/M35</f>
        <v>0.94573643410852704</v>
      </c>
      <c r="M35" s="6">
        <f t="shared" ref="M35" si="179">SUM(O35:Q35)</f>
        <v>1.29</v>
      </c>
      <c r="N35" s="9">
        <v>9.44</v>
      </c>
      <c r="O35" s="13">
        <v>0.83</v>
      </c>
      <c r="P35" s="9">
        <v>0.43</v>
      </c>
      <c r="Q35" s="9">
        <v>0.03</v>
      </c>
      <c r="R35" s="10">
        <v>0.64</v>
      </c>
      <c r="S35" s="12" t="s">
        <v>43</v>
      </c>
      <c r="T35" s="2">
        <f t="shared" ref="T35" si="180">ROUND(B35/K35,3)</f>
        <v>0.59699999999999998</v>
      </c>
      <c r="U35" s="2">
        <f t="shared" ref="U35" si="181">ROUND(C35/L35,3)</f>
        <v>1.486</v>
      </c>
      <c r="V35" s="6">
        <f t="shared" ref="V35" si="182">ROUND(D35/M35,3)</f>
        <v>20.209</v>
      </c>
      <c r="W35" s="9">
        <f t="shared" ref="W35" si="183">ROUND(E35/N35,3)</f>
        <v>21.914000000000001</v>
      </c>
      <c r="X35" s="13">
        <f t="shared" ref="X35" si="184">ROUND(F35/O35,3)</f>
        <v>16.047999999999998</v>
      </c>
      <c r="Y35" s="9">
        <f t="shared" ref="Y35" si="185">ROUND(G35/P35,3)</f>
        <v>26.93</v>
      </c>
      <c r="Z35" s="9">
        <f t="shared" ref="Z35" si="186">ROUND(H35/Q35,3)</f>
        <v>39</v>
      </c>
      <c r="AA35" s="10">
        <f t="shared" ref="AA35" si="187">ROUND(I35/R35,3)</f>
        <v>23.125</v>
      </c>
    </row>
    <row r="36" spans="1:27" ht="14.25" customHeight="1" x14ac:dyDescent="0.2">
      <c r="A36" s="20" t="s">
        <v>44</v>
      </c>
      <c r="B36" s="5">
        <f t="shared" si="174"/>
        <v>19.913663366336632</v>
      </c>
      <c r="C36" s="5">
        <f t="shared" si="175"/>
        <v>1.0324752475247525</v>
      </c>
      <c r="D36" s="4">
        <f t="shared" si="176"/>
        <v>25.25</v>
      </c>
      <c r="E36" s="9">
        <v>204.9</v>
      </c>
      <c r="F36" s="13">
        <v>12.43</v>
      </c>
      <c r="G36" s="9">
        <v>11.67</v>
      </c>
      <c r="H36" s="9">
        <v>1.1499999999999999</v>
      </c>
      <c r="I36" s="10">
        <v>15.06</v>
      </c>
      <c r="J36" s="20" t="s">
        <v>44</v>
      </c>
      <c r="K36" s="5">
        <f t="shared" ref="K36" si="188">M$2/M36</f>
        <v>38.981308411214947</v>
      </c>
      <c r="L36" s="5">
        <f t="shared" ref="L36" si="189">M35/M36</f>
        <v>1.205607476635514</v>
      </c>
      <c r="M36" s="4">
        <f t="shared" ref="M36" si="190">SUM(O36:Q36)</f>
        <v>1.07</v>
      </c>
      <c r="N36" s="9">
        <v>9.5500000000000007</v>
      </c>
      <c r="O36" s="13">
        <v>0.61</v>
      </c>
      <c r="P36" s="9">
        <v>0.43</v>
      </c>
      <c r="Q36" s="9">
        <v>0.03</v>
      </c>
      <c r="R36" s="10">
        <v>0.64</v>
      </c>
      <c r="S36" s="20" t="s">
        <v>44</v>
      </c>
      <c r="T36" s="5">
        <f t="shared" ref="T36" si="191">ROUND(B36/K36,3)</f>
        <v>0.51100000000000001</v>
      </c>
      <c r="U36" s="5">
        <f t="shared" ref="U36" si="192">ROUND(C36/L36,3)</f>
        <v>0.85599999999999998</v>
      </c>
      <c r="V36" s="4">
        <f t="shared" ref="V36" si="193">ROUND(D36/M36,3)</f>
        <v>23.597999999999999</v>
      </c>
      <c r="W36" s="9">
        <f t="shared" ref="W36" si="194">ROUND(E36/N36,3)</f>
        <v>21.454999999999998</v>
      </c>
      <c r="X36" s="13">
        <f t="shared" ref="X36" si="195">ROUND(F36/O36,3)</f>
        <v>20.376999999999999</v>
      </c>
      <c r="Y36" s="9">
        <f t="shared" ref="Y36" si="196">ROUND(G36/P36,3)</f>
        <v>27.14</v>
      </c>
      <c r="Z36" s="9">
        <f t="shared" ref="Z36" si="197">ROUND(H36/Q36,3)</f>
        <v>38.332999999999998</v>
      </c>
      <c r="AA36" s="10">
        <f t="shared" ref="AA36" si="198">ROUND(I36/R36,3)</f>
        <v>23.530999999999999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2026-09-02T09:46:28Z</dcterms:modified>
</cp:coreProperties>
</file>