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A2B738B-C50D-4B78-B9D3-8915A9275B56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3" i="2" l="1"/>
  <c r="Z23" i="2"/>
  <c r="Y23" i="2"/>
  <c r="X23" i="2"/>
  <c r="W23" i="2"/>
  <c r="M23" i="2"/>
  <c r="L23" i="2" s="1"/>
  <c r="D23" i="2"/>
  <c r="C23" i="2" s="1"/>
  <c r="U23" i="2" s="1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L17" i="2" s="1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V4" i="2" s="1"/>
  <c r="D5" i="2"/>
  <c r="V5" i="2" s="1"/>
  <c r="D6" i="2"/>
  <c r="D7" i="2"/>
  <c r="V7" i="2" s="1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23" i="2" l="1"/>
  <c r="K23" i="2"/>
  <c r="B23" i="2"/>
  <c r="T23" i="2" s="1"/>
  <c r="C12" i="2"/>
  <c r="C10" i="2"/>
  <c r="B22" i="2"/>
  <c r="B12" i="2"/>
  <c r="C11" i="2"/>
  <c r="L5" i="2"/>
  <c r="L8" i="2"/>
  <c r="L22" i="2"/>
  <c r="U22" i="2" s="1"/>
  <c r="V22" i="2"/>
  <c r="K22" i="2"/>
  <c r="T22" i="2" s="1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U8" i="2"/>
  <c r="B13" i="2"/>
  <c r="K9" i="2"/>
  <c r="C14" i="2"/>
  <c r="C5" i="2"/>
  <c r="U5" i="2" s="1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U7" i="2" s="1"/>
  <c r="L12" i="2"/>
  <c r="K7" i="2"/>
  <c r="T7" i="2" s="1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U9" i="2" l="1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<sst xmlns="http://schemas.openxmlformats.org/spreadsheetml/2006/main" count="93" uniqueCount="32">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</sst>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3"/>
  <sheetViews>
    <sheetView tabSelected="1" workbookViewId="0">
      <selection activeCell="E23" sqref="E23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5.1125571936959835</v>
      </c>
      <c r="C20" s="2">
        <f t="shared" si="10"/>
        <v>1.1502796136248095</v>
      </c>
      <c r="D20" s="6">
        <f t="shared" si="14"/>
        <v>98.35</v>
      </c>
      <c r="E20" s="18">
        <v>298.58999999999997</v>
      </c>
      <c r="F20" s="9">
        <v>30.47</v>
      </c>
      <c r="G20" s="13">
        <v>66.5</v>
      </c>
      <c r="H20" s="9">
        <v>1.38</v>
      </c>
      <c r="I20" s="14">
        <v>48.19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14.67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0.56599999999999995</v>
      </c>
      <c r="U20" s="2">
        <f t="shared" si="1"/>
        <v>0.97199999999999998</v>
      </c>
      <c r="V20" s="6">
        <f t="shared" si="2"/>
        <v>21.288</v>
      </c>
      <c r="W20" s="18">
        <f t="shared" si="3"/>
        <v>20.353999999999999</v>
      </c>
      <c r="X20" s="9">
        <f t="shared" si="4"/>
        <v>26.042999999999999</v>
      </c>
      <c r="Y20" s="13">
        <f t="shared" si="5"/>
        <v>21.044</v>
      </c>
      <c r="Z20" s="9">
        <f t="shared" si="6"/>
        <v>4.7590000000000003</v>
      </c>
      <c r="AA20" s="14">
        <f t="shared" si="7"/>
        <v>15.904</v>
      </c>
    </row>
    <row r="21" spans="1:27" ht="14.25" customHeight="1" x14ac:dyDescent="0.2">
      <c r="A21" s="17" t="s">
        <v>25</v>
      </c>
      <c r="B21" s="2">
        <f t="shared" si="9"/>
        <v>5.5813075813075814</v>
      </c>
      <c r="C21" s="2">
        <f t="shared" si="10"/>
        <v>1.0916860916860918</v>
      </c>
      <c r="D21" s="6">
        <f t="shared" ref="D21" si="15">SUM(F21:H21)</f>
        <v>90.089999999999989</v>
      </c>
      <c r="E21" s="18">
        <v>297.12</v>
      </c>
      <c r="F21" s="18">
        <v>31.05</v>
      </c>
      <c r="G21" s="13">
        <v>57.41</v>
      </c>
      <c r="H21" s="18">
        <v>1.63</v>
      </c>
      <c r="I21" s="14">
        <v>44.34</v>
      </c>
      <c r="J21" s="17" t="s">
        <v>25</v>
      </c>
      <c r="K21" s="2">
        <f t="shared" si="11"/>
        <v>10.976315789473682</v>
      </c>
      <c r="L21" s="2">
        <f t="shared" si="12"/>
        <v>1.2157894736842105</v>
      </c>
      <c r="M21" s="6">
        <f t="shared" si="13"/>
        <v>3.8</v>
      </c>
      <c r="N21" s="18">
        <v>13.86</v>
      </c>
      <c r="O21" s="18">
        <v>1.1599999999999999</v>
      </c>
      <c r="P21" s="13">
        <v>2.35</v>
      </c>
      <c r="Q21" s="18">
        <v>0.28999999999999998</v>
      </c>
      <c r="R21" s="14">
        <v>1.9</v>
      </c>
      <c r="S21" s="17" t="s">
        <v>25</v>
      </c>
      <c r="T21" s="2">
        <f t="shared" ref="T21" si="16">ROUND(B21/K21,3)</f>
        <v>0.50800000000000001</v>
      </c>
      <c r="U21" s="2">
        <f t="shared" ref="U21" si="17">ROUND(C21/L21,3)</f>
        <v>0.89800000000000002</v>
      </c>
      <c r="V21" s="6">
        <f t="shared" ref="V21" si="18">ROUND(D21/M21,3)</f>
        <v>23.707999999999998</v>
      </c>
      <c r="W21" s="18">
        <f t="shared" ref="W21" si="19">ROUND(E21/N21,3)</f>
        <v>21.437000000000001</v>
      </c>
      <c r="X21" s="18">
        <f t="shared" ref="X21" si="20">ROUND(F21/O21,3)</f>
        <v>26.766999999999999</v>
      </c>
      <c r="Y21" s="13">
        <f t="shared" ref="Y21" si="21">ROUND(G21/P21,3)</f>
        <v>24.43</v>
      </c>
      <c r="Z21" s="18">
        <f t="shared" ref="Z21" si="22">ROUND(H21/Q21,3)</f>
        <v>5.6210000000000004</v>
      </c>
      <c r="AA21" s="14">
        <f t="shared" ref="AA21" si="23">ROUND(I21/R21,3)</f>
        <v>23.337</v>
      </c>
    </row>
    <row r="22" spans="1:27" ht="14.25" customHeight="1" x14ac:dyDescent="0.2">
      <c r="A22" s="17" t="s">
        <v>30</v>
      </c>
      <c r="B22" s="2">
        <f t="shared" ref="B22" si="24">D$2/D22</f>
        <v>7.1291648943711898</v>
      </c>
      <c r="C22" s="2">
        <f t="shared" ref="C22" si="25">D21/D22</f>
        <v>1.277328796256912</v>
      </c>
      <c r="D22" s="6">
        <f t="shared" ref="D22" si="26">SUM(F22:H22)</f>
        <v>70.529999999999987</v>
      </c>
      <c r="E22" s="9">
        <v>298.99</v>
      </c>
      <c r="F22" s="9">
        <v>30.56</v>
      </c>
      <c r="G22" s="13">
        <v>38.4</v>
      </c>
      <c r="H22" s="9">
        <v>1.57</v>
      </c>
      <c r="I22" s="14">
        <v>27.43</v>
      </c>
      <c r="J22" s="17" t="s">
        <v>30</v>
      </c>
      <c r="K22" s="2">
        <f t="shared" ref="K22:K23" si="27">M$2/M22</f>
        <v>13.034374999999997</v>
      </c>
      <c r="L22" s="2">
        <f t="shared" ref="L22:L23" si="28">M21/M22</f>
        <v>1.1874999999999998</v>
      </c>
      <c r="M22" s="6">
        <f t="shared" ref="M22:M23" si="29">SUM(O22:Q22)</f>
        <v>3.2</v>
      </c>
      <c r="N22" s="9">
        <v>13.98</v>
      </c>
      <c r="O22" s="9">
        <v>1.1599999999999999</v>
      </c>
      <c r="P22" s="13">
        <v>1.76</v>
      </c>
      <c r="Q22" s="9">
        <v>0.28000000000000003</v>
      </c>
      <c r="R22" s="14">
        <v>1.34</v>
      </c>
      <c r="S22" s="17" t="s">
        <v>30</v>
      </c>
      <c r="T22" s="2">
        <f t="shared" ref="T22" si="30">ROUND(B22/K22,3)</f>
        <v>0.54700000000000004</v>
      </c>
      <c r="U22" s="2">
        <f t="shared" ref="U22" si="31">ROUND(C22/L22,3)</f>
        <v>1.0760000000000001</v>
      </c>
      <c r="V22" s="6">
        <f t="shared" ref="V22" si="32">ROUND(D22/M22,3)</f>
        <v>22.041</v>
      </c>
      <c r="W22" s="9">
        <f t="shared" ref="W22" si="33">ROUND(E22/N22,3)</f>
        <v>21.387</v>
      </c>
      <c r="X22" s="9">
        <f t="shared" ref="X22" si="34">ROUND(F22/O22,3)</f>
        <v>26.344999999999999</v>
      </c>
      <c r="Y22" s="13">
        <f t="shared" ref="Y22" si="35">ROUND(G22/P22,3)</f>
        <v>21.818000000000001</v>
      </c>
      <c r="Z22" s="9">
        <f t="shared" ref="Z22" si="36">ROUND(H22/Q22,3)</f>
        <v>5.6070000000000002</v>
      </c>
      <c r="AA22" s="14">
        <f t="shared" ref="AA22" si="37">ROUND(I22/R22,3)</f>
        <v>20.47</v>
      </c>
    </row>
    <row r="23" spans="1:27" ht="14.25" customHeight="1" x14ac:dyDescent="0.2">
      <c r="A23" s="17" t="s">
        <v>31</v>
      </c>
      <c r="B23" s="5">
        <f t="shared" ref="B23" si="38">D$2/D23</f>
        <v>6.867249385413821</v>
      </c>
      <c r="C23" s="5">
        <f t="shared" ref="C23" si="39">D22/D23</f>
        <v>0.96326140398798121</v>
      </c>
      <c r="D23" s="6">
        <f t="shared" ref="D23" si="40">SUM(F23:H23)</f>
        <v>73.22</v>
      </c>
      <c r="E23" s="13">
        <v>249.18</v>
      </c>
      <c r="F23" s="9">
        <v>31.08</v>
      </c>
      <c r="G23" s="9">
        <v>40.54</v>
      </c>
      <c r="H23" s="9">
        <v>1.6</v>
      </c>
      <c r="I23" s="10">
        <v>28.46</v>
      </c>
      <c r="J23" s="17" t="s">
        <v>31</v>
      </c>
      <c r="K23" s="5">
        <f t="shared" si="27"/>
        <v>13.116352201257861</v>
      </c>
      <c r="L23" s="5">
        <f t="shared" si="28"/>
        <v>1.0062893081761008</v>
      </c>
      <c r="M23" s="6">
        <f t="shared" si="29"/>
        <v>3.1799999999999997</v>
      </c>
      <c r="N23" s="13">
        <v>11.59</v>
      </c>
      <c r="O23" s="9">
        <v>1.17</v>
      </c>
      <c r="P23" s="9">
        <v>1.72</v>
      </c>
      <c r="Q23" s="9">
        <v>0.28999999999999998</v>
      </c>
      <c r="R23" s="10">
        <v>1.33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0.95699999999999996</v>
      </c>
      <c r="V23" s="6">
        <f t="shared" ref="V23" si="43">ROUND(D23/M23,3)</f>
        <v>23.024999999999999</v>
      </c>
      <c r="W23" s="13">
        <f t="shared" ref="W23" si="44">ROUND(E23/N23,3)</f>
        <v>21.5</v>
      </c>
      <c r="X23" s="9">
        <f t="shared" ref="X23" si="45">ROUND(F23/O23,3)</f>
        <v>26.564</v>
      </c>
      <c r="Y23" s="9">
        <f t="shared" ref="Y23" si="46">ROUND(G23/P23,3)</f>
        <v>23.57</v>
      </c>
      <c r="Z23" s="9">
        <f t="shared" ref="Z23" si="47">ROUND(H23/Q23,3)</f>
        <v>5.5170000000000003</v>
      </c>
      <c r="AA23" s="10">
        <f t="shared" ref="AA23" si="48">ROUND(I23/R23,3)</f>
        <v>21.398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2026-08-29T03:38:40Z</dcterms:modified>
</cp:coreProperties>
</file>