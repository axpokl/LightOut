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35E2ACE4-D005-4648-972D-1B84E11DF018}" xr6:coauthVersionLast="47" xr6:coauthVersionMax="47" xr10:uidLastSave="{00000000-0000-0000-0000-000000000000}"/>
  <bookViews>
    <workbookView xWindow="3075" yWindow="307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4" i="2" l="1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L17" i="2" s="1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23" i="2" l="1"/>
  <c r="V7" i="2"/>
  <c r="C24" i="2"/>
  <c r="V4" i="2"/>
  <c r="L24" i="2"/>
  <c r="U24" i="2" s="1"/>
  <c r="V24" i="2"/>
  <c r="K24" i="2"/>
  <c r="B24" i="2"/>
  <c r="C23" i="2"/>
  <c r="U23" i="2" s="1"/>
  <c r="V23" i="2"/>
  <c r="K23" i="2"/>
  <c r="B23" i="2"/>
  <c r="T23" i="2" s="1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U8" i="2" s="1"/>
  <c r="C7" i="2"/>
  <c r="L16" i="2"/>
  <c r="B14" i="2"/>
  <c r="K16" i="2"/>
  <c r="L9" i="2"/>
  <c r="B13" i="2"/>
  <c r="K9" i="2"/>
  <c r="C14" i="2"/>
  <c r="C5" i="2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U7" i="2" s="1"/>
  <c r="L12" i="2"/>
  <c r="K7" i="2"/>
  <c r="T7" i="2" s="1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U5" i="2" l="1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<sst xmlns="http://schemas.openxmlformats.org/spreadsheetml/2006/main" count="96" uniqueCount="33">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</sst>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4"/>
  <sheetViews>
    <sheetView tabSelected="1" workbookViewId="0">
      <selection activeCell="S24" sqref="S24:AA2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5.1544848795489484</v>
      </c>
      <c r="C20" s="2">
        <f t="shared" si="10"/>
        <v>1.1597129677088673</v>
      </c>
      <c r="D20" s="6">
        <f t="shared" si="14"/>
        <v>97.55</v>
      </c>
      <c r="E20" s="18">
        <v>299.93</v>
      </c>
      <c r="F20" s="9">
        <v>30.56</v>
      </c>
      <c r="G20" s="13">
        <v>65.53</v>
      </c>
      <c r="H20" s="9">
        <v>1.46</v>
      </c>
      <c r="I20" s="14">
        <v>47.15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15.78</v>
      </c>
      <c r="O20" s="9">
        <v>1.1399999999999999</v>
      </c>
      <c r="P20" s="13">
        <v>3.2</v>
      </c>
      <c r="Q20" s="9">
        <v>0.28000000000000003</v>
      </c>
      <c r="R20" s="14">
        <v>3.08</v>
      </c>
      <c r="S20" s="17" t="s">
        <v>27</v>
      </c>
      <c r="T20" s="2">
        <f t="shared" si="0"/>
        <v>0.57099999999999995</v>
      </c>
      <c r="U20" s="2">
        <f t="shared" si="1"/>
        <v>0.98</v>
      </c>
      <c r="V20" s="6">
        <f t="shared" si="2"/>
        <v>21.114999999999998</v>
      </c>
      <c r="W20" s="18">
        <f t="shared" si="3"/>
        <v>19.007000000000001</v>
      </c>
      <c r="X20" s="9">
        <f t="shared" si="4"/>
        <v>26.806999999999999</v>
      </c>
      <c r="Y20" s="13">
        <f t="shared" si="5"/>
        <v>20.478000000000002</v>
      </c>
      <c r="Z20" s="9">
        <f t="shared" si="6"/>
        <v>5.2140000000000004</v>
      </c>
      <c r="AA20" s="14">
        <f t="shared" si="7"/>
        <v>15.308</v>
      </c>
    </row>
    <row r="21" spans="1:27" ht="14.25" customHeight="1" x14ac:dyDescent="0.2">
      <c r="A21" s="17" t="s">
        <v>25</v>
      </c>
      <c r="B21" s="2">
        <f t="shared" si="9"/>
        <v>5.5844069302532198</v>
      </c>
      <c r="C21" s="2">
        <f t="shared" si="10"/>
        <v>1.083407374500222</v>
      </c>
      <c r="D21" s="6">
        <f t="shared" ref="D21" si="15">SUM(F21:H21)</f>
        <v>90.04</v>
      </c>
      <c r="E21" s="18">
        <v>294.04000000000002</v>
      </c>
      <c r="F21" s="18">
        <v>30.85</v>
      </c>
      <c r="G21" s="13">
        <v>57.77</v>
      </c>
      <c r="H21" s="18">
        <v>1.42</v>
      </c>
      <c r="I21" s="14">
        <v>44.64</v>
      </c>
      <c r="J21" s="17" t="s">
        <v>25</v>
      </c>
      <c r="K21" s="2">
        <f t="shared" si="11"/>
        <v>11.034391534391531</v>
      </c>
      <c r="L21" s="2">
        <f t="shared" si="12"/>
        <v>1.2222222222222221</v>
      </c>
      <c r="M21" s="6">
        <f t="shared" si="13"/>
        <v>3.7800000000000002</v>
      </c>
      <c r="N21" s="18">
        <v>13.8</v>
      </c>
      <c r="O21" s="18">
        <v>1.1599999999999999</v>
      </c>
      <c r="P21" s="13">
        <v>2.34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0.50600000000000001</v>
      </c>
      <c r="U21" s="2">
        <f t="shared" ref="U21" si="17">ROUND(C21/L21,3)</f>
        <v>0.88600000000000001</v>
      </c>
      <c r="V21" s="6">
        <f t="shared" ref="V21" si="18">ROUND(D21/M21,3)</f>
        <v>23.82</v>
      </c>
      <c r="W21" s="18">
        <f t="shared" ref="W21" si="19">ROUND(E21/N21,3)</f>
        <v>21.306999999999999</v>
      </c>
      <c r="X21" s="18">
        <f t="shared" ref="X21" si="20">ROUND(F21/O21,3)</f>
        <v>26.594999999999999</v>
      </c>
      <c r="Y21" s="13">
        <f t="shared" ref="Y21" si="21">ROUND(G21/P21,3)</f>
        <v>24.687999999999999</v>
      </c>
      <c r="Z21" s="18">
        <f t="shared" ref="Z21" si="22">ROUND(H21/Q21,3)</f>
        <v>5.0709999999999997</v>
      </c>
      <c r="AA21" s="14">
        <f t="shared" ref="AA21" si="23">ROUND(I21/R21,3)</f>
        <v>23.619</v>
      </c>
    </row>
    <row r="22" spans="1:27" ht="14.25" customHeight="1" x14ac:dyDescent="0.2">
      <c r="A22" s="17" t="s">
        <v>30</v>
      </c>
      <c r="B22" s="2">
        <f t="shared" ref="B22" si="24">D$2/D22</f>
        <v>7.0969654199011991</v>
      </c>
      <c r="C22" s="2">
        <f t="shared" ref="C22" si="25">D21/D22</f>
        <v>1.2708539167254767</v>
      </c>
      <c r="D22" s="6">
        <f t="shared" ref="D22" si="26">SUM(F22:H22)</f>
        <v>70.849999999999994</v>
      </c>
      <c r="E22" s="9">
        <v>292.88</v>
      </c>
      <c r="F22" s="9">
        <v>31.07</v>
      </c>
      <c r="G22" s="13">
        <v>38.159999999999997</v>
      </c>
      <c r="H22" s="9">
        <v>1.62</v>
      </c>
      <c r="I22" s="14">
        <v>27.31</v>
      </c>
      <c r="J22" s="17" t="s">
        <v>30</v>
      </c>
      <c r="K22" s="2">
        <f t="shared" ref="K22:K24" si="27">M$2/M22</f>
        <v>12.913312693498449</v>
      </c>
      <c r="L22" s="2">
        <f t="shared" ref="L22:L24" si="28">M21/M22</f>
        <v>1.1702786377708978</v>
      </c>
      <c r="M22" s="6">
        <f t="shared" ref="M22:M24" si="29">SUM(O22:Q22)</f>
        <v>3.2300000000000004</v>
      </c>
      <c r="N22" s="9">
        <v>13.67</v>
      </c>
      <c r="O22" s="9">
        <v>1.19</v>
      </c>
      <c r="P22" s="13">
        <v>1.76</v>
      </c>
      <c r="Q22" s="9">
        <v>0.28000000000000003</v>
      </c>
      <c r="R22" s="14">
        <v>1.35</v>
      </c>
      <c r="S22" s="17" t="s">
        <v>30</v>
      </c>
      <c r="T22" s="2">
        <f t="shared" ref="T22" si="30">ROUND(B22/K22,3)</f>
        <v>0.55000000000000004</v>
      </c>
      <c r="U22" s="2">
        <f t="shared" ref="U22" si="31">ROUND(C22/L22,3)</f>
        <v>1.0860000000000001</v>
      </c>
      <c r="V22" s="6">
        <f t="shared" ref="V22" si="32">ROUND(D22/M22,3)</f>
        <v>21.934999999999999</v>
      </c>
      <c r="W22" s="9">
        <f t="shared" ref="W22" si="33">ROUND(E22/N22,3)</f>
        <v>21.425000000000001</v>
      </c>
      <c r="X22" s="9">
        <f t="shared" ref="X22" si="34">ROUND(F22/O22,3)</f>
        <v>26.109000000000002</v>
      </c>
      <c r="Y22" s="13">
        <f t="shared" ref="Y22" si="35">ROUND(G22/P22,3)</f>
        <v>21.681999999999999</v>
      </c>
      <c r="Z22" s="9">
        <f t="shared" ref="Z22" si="36">ROUND(H22/Q22,3)</f>
        <v>5.7859999999999996</v>
      </c>
      <c r="AA22" s="14">
        <f t="shared" ref="AA22" si="37">ROUND(I22/R22,3)</f>
        <v>20.23</v>
      </c>
    </row>
    <row r="23" spans="1:27" ht="14.25" customHeight="1" x14ac:dyDescent="0.2">
      <c r="A23" s="17" t="s">
        <v>31</v>
      </c>
      <c r="B23" s="5">
        <f t="shared" ref="B23" si="38">D$2/D23</f>
        <v>6.9182718767198663</v>
      </c>
      <c r="C23" s="5">
        <f t="shared" ref="C23" si="39">D22/D23</f>
        <v>0.9748211337369288</v>
      </c>
      <c r="D23" s="6">
        <f t="shared" ref="D23" si="40">SUM(F23:H23)</f>
        <v>72.680000000000007</v>
      </c>
      <c r="E23" s="13">
        <v>245.49</v>
      </c>
      <c r="F23" s="9">
        <v>30.67</v>
      </c>
      <c r="G23" s="9">
        <v>40.42</v>
      </c>
      <c r="H23" s="9">
        <v>1.59</v>
      </c>
      <c r="I23" s="10">
        <v>28.89</v>
      </c>
      <c r="J23" s="17" t="s">
        <v>31</v>
      </c>
      <c r="K23" s="5">
        <f t="shared" si="27"/>
        <v>13.116352201257861</v>
      </c>
      <c r="L23" s="5">
        <f t="shared" si="28"/>
        <v>1.0157232704402519</v>
      </c>
      <c r="M23" s="6">
        <f t="shared" si="29"/>
        <v>3.1799999999999997</v>
      </c>
      <c r="N23" s="13">
        <v>11.52</v>
      </c>
      <c r="O23" s="9">
        <v>1.19</v>
      </c>
      <c r="P23" s="9">
        <v>1.71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0.52700000000000002</v>
      </c>
      <c r="U23" s="5">
        <f t="shared" ref="U23" si="42">ROUND(C23/L23,3)</f>
        <v>0.96</v>
      </c>
      <c r="V23" s="6">
        <f t="shared" ref="V23" si="43">ROUND(D23/M23,3)</f>
        <v>22.855</v>
      </c>
      <c r="W23" s="13">
        <f t="shared" ref="W23" si="44">ROUND(E23/N23,3)</f>
        <v>21.31</v>
      </c>
      <c r="X23" s="9">
        <f t="shared" ref="X23" si="45">ROUND(F23/O23,3)</f>
        <v>25.773</v>
      </c>
      <c r="Y23" s="9">
        <f t="shared" ref="Y23" si="46">ROUND(G23/P23,3)</f>
        <v>23.637</v>
      </c>
      <c r="Z23" s="9">
        <f t="shared" ref="Z23" si="47">ROUND(H23/Q23,3)</f>
        <v>5.6790000000000003</v>
      </c>
      <c r="AA23" s="10">
        <f t="shared" ref="AA23" si="48">ROUND(I23/R23,3)</f>
        <v>22.053000000000001</v>
      </c>
    </row>
    <row r="24" spans="1:27" ht="14.25" customHeight="1" x14ac:dyDescent="0.2">
      <c r="A24" s="17" t="s">
        <v>32</v>
      </c>
      <c r="B24" s="2">
        <f t="shared" ref="B24" si="49">D$2/D24</f>
        <v>7.9901477832512304</v>
      </c>
      <c r="C24" s="2">
        <f t="shared" ref="C24" si="50">D23/D24</f>
        <v>1.154934053710472</v>
      </c>
      <c r="D24" s="6">
        <f t="shared" ref="D24" si="51">SUM(F24:H24)</f>
        <v>62.93</v>
      </c>
      <c r="E24" s="9">
        <v>244.43</v>
      </c>
      <c r="F24" s="9">
        <v>31.14</v>
      </c>
      <c r="G24" s="13">
        <v>30.27</v>
      </c>
      <c r="H24" s="9">
        <v>1.52</v>
      </c>
      <c r="I24" s="14">
        <v>21.93</v>
      </c>
      <c r="J24" s="17" t="s">
        <v>32</v>
      </c>
      <c r="K24" s="2">
        <f t="shared" si="27"/>
        <v>15.057761732851981</v>
      </c>
      <c r="L24" s="2">
        <f t="shared" si="28"/>
        <v>1.1480144404332127</v>
      </c>
      <c r="M24" s="6">
        <f t="shared" si="29"/>
        <v>2.7700000000000005</v>
      </c>
      <c r="N24" s="9">
        <v>11.6</v>
      </c>
      <c r="O24" s="9">
        <v>1.1100000000000001</v>
      </c>
      <c r="P24" s="13">
        <v>1.38</v>
      </c>
      <c r="Q24" s="9">
        <v>0.28000000000000003</v>
      </c>
      <c r="R24" s="14">
        <v>1.02</v>
      </c>
      <c r="S24" s="17" t="s">
        <v>32</v>
      </c>
      <c r="T24" s="2">
        <f t="shared" ref="T24" si="52">ROUND(B24/K24,3)</f>
        <v>0.53100000000000003</v>
      </c>
      <c r="U24" s="2">
        <f t="shared" ref="U24" si="53">ROUND(C24/L24,3)</f>
        <v>1.006</v>
      </c>
      <c r="V24" s="6">
        <f t="shared" ref="V24" si="54">ROUND(D24/M24,3)</f>
        <v>22.718</v>
      </c>
      <c r="W24" s="9">
        <f t="shared" ref="W24" si="55">ROUND(E24/N24,3)</f>
        <v>21.071999999999999</v>
      </c>
      <c r="X24" s="9">
        <f t="shared" ref="X24" si="56">ROUND(F24/O24,3)</f>
        <v>28.053999999999998</v>
      </c>
      <c r="Y24" s="13">
        <f t="shared" ref="Y24" si="57">ROUND(G24/P24,3)</f>
        <v>21.934999999999999</v>
      </c>
      <c r="Z24" s="9">
        <f t="shared" ref="Z24" si="58">ROUND(H24/Q24,3)</f>
        <v>5.4290000000000003</v>
      </c>
      <c r="AA24" s="14">
        <f t="shared" ref="AA24" si="59">ROUND(I24/R24,3)</f>
        <v>21.5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2026-08-29T10:49:14Z</dcterms:modified>
</cp:coreProperties>
</file>