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277B0380-0923-4DCB-9A6D-949AFCAF5517}" xr6:coauthVersionLast="47" xr6:coauthVersionMax="47" xr10:uidLastSave="{00000000-0000-0000-0000-000000000000}"/>
  <bookViews>
    <workbookView xWindow="-120" yWindow="-120" windowWidth="24420" windowHeight="11040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29" i="2" l="1"/>
  <c r="Z29" i="2"/>
  <c r="Y29" i="2"/>
  <c r="X29" i="2"/>
  <c r="W29" i="2"/>
  <c r="M29" i="2"/>
  <c r="D29" i="2"/>
  <c r="AA28" i="2"/>
  <c r="Z28" i="2"/>
  <c r="Y28" i="2"/>
  <c r="X28" i="2"/>
  <c r="W28" i="2"/>
  <c r="D28" i="2"/>
  <c r="M28" i="2"/>
  <c r="AA27" i="2"/>
  <c r="Z27" i="2"/>
  <c r="Y27" i="2"/>
  <c r="X27" i="2"/>
  <c r="W27" i="2"/>
  <c r="M27" i="2"/>
  <c r="D27" i="2"/>
  <c r="AA26" i="2"/>
  <c r="Z26" i="2"/>
  <c r="Y26" i="2"/>
  <c r="X26" i="2"/>
  <c r="W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M18" i="2"/>
  <c r="K18" i="2" s="1"/>
  <c r="M19" i="2"/>
  <c r="K19" i="2" s="1"/>
  <c r="M20" i="2"/>
  <c r="K20" i="2" s="1"/>
  <c r="M21" i="2"/>
  <c r="K21" i="2" s="1"/>
  <c r="D21" i="2"/>
  <c r="C22" i="2" s="1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B28" i="2" s="1"/>
  <c r="D3" i="2"/>
  <c r="V3" i="2" s="1"/>
  <c r="D4" i="2"/>
  <c r="D5" i="2"/>
  <c r="V5" i="2" s="1"/>
  <c r="D6" i="2"/>
  <c r="D7" i="2"/>
  <c r="D8" i="2"/>
  <c r="D9" i="2"/>
  <c r="D10" i="2"/>
  <c r="D11" i="2"/>
  <c r="D12" i="2"/>
  <c r="D13" i="2"/>
  <c r="C13" i="2" s="1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V29" i="2" l="1"/>
  <c r="L29" i="2"/>
  <c r="B29" i="2"/>
  <c r="C29" i="2"/>
  <c r="U29" i="2" s="1"/>
  <c r="K29" i="2"/>
  <c r="L28" i="2"/>
  <c r="C28" i="2"/>
  <c r="V28" i="2"/>
  <c r="K28" i="2"/>
  <c r="T28" i="2" s="1"/>
  <c r="C27" i="2"/>
  <c r="L27" i="2"/>
  <c r="V27" i="2"/>
  <c r="K27" i="2"/>
  <c r="B27" i="2"/>
  <c r="L17" i="2"/>
  <c r="V26" i="2"/>
  <c r="C26" i="2"/>
  <c r="L25" i="2"/>
  <c r="L26" i="2"/>
  <c r="K26" i="2"/>
  <c r="B26" i="2"/>
  <c r="C25" i="2"/>
  <c r="V25" i="2"/>
  <c r="K25" i="2"/>
  <c r="B25" i="2"/>
  <c r="L23" i="2"/>
  <c r="V7" i="2"/>
  <c r="C24" i="2"/>
  <c r="V4" i="2"/>
  <c r="L24" i="2"/>
  <c r="U24" i="2" s="1"/>
  <c r="V24" i="2"/>
  <c r="K24" i="2"/>
  <c r="B24" i="2"/>
  <c r="C23" i="2"/>
  <c r="U23" i="2" s="1"/>
  <c r="V23" i="2"/>
  <c r="K23" i="2"/>
  <c r="B23" i="2"/>
  <c r="C12" i="2"/>
  <c r="C10" i="2"/>
  <c r="B22" i="2"/>
  <c r="B12" i="2"/>
  <c r="C11" i="2"/>
  <c r="L5" i="2"/>
  <c r="L8" i="2"/>
  <c r="L22" i="2"/>
  <c r="U22" i="2" s="1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U4" i="2" s="1"/>
  <c r="B6" i="2"/>
  <c r="T6" i="2" s="1"/>
  <c r="B16" i="2"/>
  <c r="U3" i="2"/>
  <c r="C6" i="2"/>
  <c r="C16" i="2"/>
  <c r="L13" i="2"/>
  <c r="K4" i="2"/>
  <c r="B7" i="2"/>
  <c r="B17" i="2"/>
  <c r="K17" i="2"/>
  <c r="V8" i="2"/>
  <c r="B8" i="2"/>
  <c r="T8" i="2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L12" i="2"/>
  <c r="K7" i="2"/>
  <c r="V6" i="2"/>
  <c r="L6" i="2"/>
  <c r="L21" i="2"/>
  <c r="V21" i="2"/>
  <c r="V20" i="2"/>
  <c r="C3" i="2"/>
  <c r="V19" i="2"/>
  <c r="B3" i="2"/>
  <c r="T3" i="2" s="1"/>
  <c r="V18" i="2"/>
  <c r="V17" i="2"/>
  <c r="V13" i="2"/>
  <c r="V10" i="2"/>
  <c r="V11" i="2"/>
  <c r="V16" i="2"/>
  <c r="V15" i="2"/>
  <c r="V14" i="2"/>
  <c r="V12" i="2"/>
  <c r="T7" i="2" l="1"/>
  <c r="U25" i="2"/>
  <c r="U28" i="2"/>
  <c r="T29" i="2"/>
  <c r="U27" i="2"/>
  <c r="U26" i="2"/>
  <c r="T27" i="2"/>
  <c r="U7" i="2"/>
  <c r="T26" i="2"/>
  <c r="U8" i="2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<sst xmlns="http://schemas.openxmlformats.org/spreadsheetml/2006/main" count="111" uniqueCount="38">
  <si>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</si>
  <si>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</si>
  <si>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</si>
  <si>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</si>
  <si>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</si>
  <si>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</si>
  <si>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</si>
  <si>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</si>
  <si>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</si>
  <si>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</si>
  <si>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</si>
  <si>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</si>
  <si>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</si>
  <si>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</si>
  <si>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</si>
  <si>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</si>
  <si>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</si>
  <si>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</si>
  <si>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</si>
  <si>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</si>
  <si>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</si>
  <si>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</si>
  <si>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</si>
  <si>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</si>
  <si>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</si>
  <si>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</si>
  <si>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</si>
  <si>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</si>
  <si>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</si>
  <si>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</si>
  <si>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</si>
  <si>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</si>
  <si>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</si>
  <si>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</si>
  <si>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</si>
  <si>
    <t>H47</t>
    <phoneticPr fontId="2" type="noConversion"/>
  </si>
  <si>
    <t>H48</t>
    <phoneticPr fontId="2" type="noConversion"/>
  </si>
  <si>
    <t>H49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</si>
</sst>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29"/>
  <sheetViews>
    <sheetView tabSelected="1" topLeftCell="A16" workbookViewId="0">
      <selection activeCell="U27" sqref="U27"/>
    </sheetView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15" t="s">
        <v>26</v>
      </c>
      <c r="B2" s="5">
        <v>1</v>
      </c>
      <c r="C2" s="5">
        <v>1</v>
      </c>
      <c r="D2" s="4">
        <f>SUM(F2:H2)</f>
        <v>502.81999999999994</v>
      </c>
      <c r="E2" s="5">
        <v>369.63</v>
      </c>
      <c r="F2" s="8">
        <v>174.9</v>
      </c>
      <c r="G2" s="8">
        <v>144.88999999999999</v>
      </c>
      <c r="H2" s="8">
        <v>183.03</v>
      </c>
      <c r="I2" s="7">
        <v>293.08999999999997</v>
      </c>
      <c r="J2" s="15" t="s">
        <v>26</v>
      </c>
      <c r="K2" s="5">
        <v>1</v>
      </c>
      <c r="L2" s="5">
        <v>1</v>
      </c>
      <c r="M2" s="4">
        <v>41.709999999999994</v>
      </c>
      <c r="N2" s="5">
        <v>93.96</v>
      </c>
      <c r="O2" s="8">
        <v>6.59</v>
      </c>
      <c r="P2" s="8">
        <v>15.56</v>
      </c>
      <c r="Q2" s="8">
        <v>19.559999999999999</v>
      </c>
      <c r="R2" s="7">
        <v>33.96</v>
      </c>
      <c r="S2" s="15" t="s">
        <v>26</v>
      </c>
      <c r="T2" s="5">
        <f t="shared" ref="T2:T20" si="0">ROUND(B2/K2,3)</f>
        <v>1</v>
      </c>
      <c r="U2" s="5">
        <f t="shared" ref="U2:U20" si="1">ROUND(C2/L2,3)</f>
        <v>1</v>
      </c>
      <c r="V2" s="4">
        <f t="shared" ref="V2:V20" si="2">ROUND(D2/M2,3)</f>
        <v>12.055</v>
      </c>
      <c r="W2" s="5">
        <f t="shared" ref="W2:W20" si="3">ROUND(E2/N2,3)</f>
        <v>3.9340000000000002</v>
      </c>
      <c r="X2" s="8">
        <f t="shared" ref="X2:X20" si="4">ROUND(F2/O2,3)</f>
        <v>26.54</v>
      </c>
      <c r="Y2" s="8">
        <f t="shared" ref="Y2:Y20" si="5">ROUND(G2/P2,3)</f>
        <v>9.3119999999999994</v>
      </c>
      <c r="Z2" s="8">
        <f t="shared" ref="Z2:Z20" si="6">ROUND(H2/Q2,3)</f>
        <v>9.3569999999999993</v>
      </c>
      <c r="AA2" s="7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15" t="s">
        <v>5</v>
      </c>
      <c r="B8" s="5">
        <f t="shared" si="9"/>
        <v>2.1582110052365007</v>
      </c>
      <c r="C8" s="5">
        <f t="shared" si="10"/>
        <v>0.99334706841789</v>
      </c>
      <c r="D8" s="4">
        <f t="shared" si="8"/>
        <v>232.98</v>
      </c>
      <c r="E8" s="5">
        <v>667.66</v>
      </c>
      <c r="F8" s="8">
        <v>98.75</v>
      </c>
      <c r="G8" s="8">
        <v>132.88</v>
      </c>
      <c r="H8" s="8">
        <v>1.35</v>
      </c>
      <c r="I8" s="7">
        <v>114.88</v>
      </c>
      <c r="J8" s="15" t="s">
        <v>5</v>
      </c>
      <c r="K8" s="5">
        <f t="shared" si="11"/>
        <v>3.5895008605851975</v>
      </c>
      <c r="L8" s="5">
        <f t="shared" si="12"/>
        <v>1.0060240963855422</v>
      </c>
      <c r="M8" s="4">
        <f t="shared" si="13"/>
        <v>11.62</v>
      </c>
      <c r="N8" s="5">
        <v>121.4</v>
      </c>
      <c r="O8" s="8">
        <v>4.75</v>
      </c>
      <c r="P8" s="8">
        <v>6.6</v>
      </c>
      <c r="Q8" s="8">
        <v>0.27</v>
      </c>
      <c r="R8" s="7">
        <v>6.02</v>
      </c>
      <c r="S8" s="15" t="s">
        <v>5</v>
      </c>
      <c r="T8" s="5">
        <f t="shared" si="0"/>
        <v>0.60099999999999998</v>
      </c>
      <c r="U8" s="5">
        <f t="shared" si="1"/>
        <v>0.98699999999999999</v>
      </c>
      <c r="V8" s="4">
        <f t="shared" si="2"/>
        <v>20.05</v>
      </c>
      <c r="W8" s="5">
        <f t="shared" si="3"/>
        <v>5.5</v>
      </c>
      <c r="X8" s="8">
        <f t="shared" si="4"/>
        <v>20.789000000000001</v>
      </c>
      <c r="Y8" s="8">
        <f t="shared" si="5"/>
        <v>20.132999999999999</v>
      </c>
      <c r="Z8" s="8">
        <f t="shared" si="6"/>
        <v>5</v>
      </c>
      <c r="AA8" s="7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17" t="s">
        <v>19</v>
      </c>
      <c r="B14" s="5">
        <f t="shared" si="9"/>
        <v>3.3443298969072162</v>
      </c>
      <c r="C14" s="5">
        <f t="shared" si="10"/>
        <v>1.0026604589291652</v>
      </c>
      <c r="D14" s="4">
        <f t="shared" si="8"/>
        <v>150.35</v>
      </c>
      <c r="E14" s="5">
        <v>293.14</v>
      </c>
      <c r="F14" s="1">
        <v>30.84</v>
      </c>
      <c r="G14" s="8">
        <v>118.09</v>
      </c>
      <c r="H14" s="8">
        <v>1.42</v>
      </c>
      <c r="I14" s="7">
        <v>93.68</v>
      </c>
      <c r="J14" s="17" t="s">
        <v>19</v>
      </c>
      <c r="K14" s="5">
        <f t="shared" si="11"/>
        <v>5.3405889884763109</v>
      </c>
      <c r="L14" s="5">
        <f t="shared" si="12"/>
        <v>1.0179257362355951</v>
      </c>
      <c r="M14" s="4">
        <f t="shared" si="13"/>
        <v>7.8100000000000005</v>
      </c>
      <c r="N14" s="5">
        <v>100.03</v>
      </c>
      <c r="O14" s="1">
        <v>1.1299999999999999</v>
      </c>
      <c r="P14" s="8">
        <v>6.41</v>
      </c>
      <c r="Q14" s="8">
        <v>0.27</v>
      </c>
      <c r="R14" s="7">
        <v>5.35</v>
      </c>
      <c r="S14" s="17" t="s">
        <v>19</v>
      </c>
      <c r="T14" s="5">
        <f t="shared" si="0"/>
        <v>0.626</v>
      </c>
      <c r="U14" s="5">
        <f t="shared" si="1"/>
        <v>0.98499999999999999</v>
      </c>
      <c r="V14" s="4">
        <f t="shared" si="2"/>
        <v>19.251000000000001</v>
      </c>
      <c r="W14" s="5">
        <f t="shared" si="3"/>
        <v>2.931</v>
      </c>
      <c r="X14" s="1">
        <f t="shared" si="4"/>
        <v>27.292000000000002</v>
      </c>
      <c r="Y14" s="8">
        <f t="shared" si="5"/>
        <v>18.422999999999998</v>
      </c>
      <c r="Z14" s="8">
        <f t="shared" si="6"/>
        <v>5.2590000000000003</v>
      </c>
      <c r="AA14" s="7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8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8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8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17" t="s">
        <v>24</v>
      </c>
      <c r="B19" s="5">
        <f t="shared" si="9"/>
        <v>4.4446212322107304</v>
      </c>
      <c r="C19" s="5">
        <f t="shared" si="10"/>
        <v>1.0311146468664367</v>
      </c>
      <c r="D19" s="4">
        <f t="shared" si="14"/>
        <v>113.13000000000001</v>
      </c>
      <c r="E19" s="9">
        <v>294.64</v>
      </c>
      <c r="F19" s="9">
        <v>30.59</v>
      </c>
      <c r="G19" s="13">
        <v>81.010000000000005</v>
      </c>
      <c r="H19" s="9">
        <v>1.53</v>
      </c>
      <c r="I19" s="10">
        <v>63.79</v>
      </c>
      <c r="J19" s="17" t="s">
        <v>24</v>
      </c>
      <c r="K19" s="5">
        <f t="shared" si="11"/>
        <v>7.6252285191956117</v>
      </c>
      <c r="L19" s="5">
        <f t="shared" si="12"/>
        <v>1.129798903107861</v>
      </c>
      <c r="M19" s="4">
        <f t="shared" si="13"/>
        <v>5.47</v>
      </c>
      <c r="N19" s="9">
        <v>14.02</v>
      </c>
      <c r="O19" s="9">
        <v>1.18</v>
      </c>
      <c r="P19" s="13">
        <v>4</v>
      </c>
      <c r="Q19" s="9">
        <v>0.28999999999999998</v>
      </c>
      <c r="R19" s="10">
        <v>3.58</v>
      </c>
      <c r="S19" s="17" t="s">
        <v>24</v>
      </c>
      <c r="T19" s="5">
        <f t="shared" si="0"/>
        <v>0.58299999999999996</v>
      </c>
      <c r="U19" s="5">
        <f t="shared" si="1"/>
        <v>0.91300000000000003</v>
      </c>
      <c r="V19" s="4">
        <f t="shared" si="2"/>
        <v>20.681999999999999</v>
      </c>
      <c r="W19" s="9">
        <f t="shared" si="3"/>
        <v>21.015999999999998</v>
      </c>
      <c r="X19" s="9">
        <f t="shared" si="4"/>
        <v>25.923999999999999</v>
      </c>
      <c r="Y19" s="13">
        <f t="shared" si="5"/>
        <v>20.253</v>
      </c>
      <c r="Z19" s="9">
        <f t="shared" si="6"/>
        <v>5.2759999999999998</v>
      </c>
      <c r="AA19" s="10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5.1151576805696832</v>
      </c>
      <c r="C20" s="2">
        <f t="shared" si="10"/>
        <v>1.1508646998982706</v>
      </c>
      <c r="D20" s="6">
        <f t="shared" si="14"/>
        <v>98.300000000000011</v>
      </c>
      <c r="E20" s="18">
        <v>293.48</v>
      </c>
      <c r="F20" s="9">
        <v>30.47</v>
      </c>
      <c r="G20" s="13">
        <v>66.400000000000006</v>
      </c>
      <c r="H20" s="9">
        <v>1.43</v>
      </c>
      <c r="I20" s="14">
        <v>47.88</v>
      </c>
      <c r="J20" s="17" t="s">
        <v>27</v>
      </c>
      <c r="K20" s="2">
        <f t="shared" si="11"/>
        <v>9.0281385281385269</v>
      </c>
      <c r="L20" s="2">
        <f t="shared" si="12"/>
        <v>1.1839826839826839</v>
      </c>
      <c r="M20" s="6">
        <f t="shared" si="13"/>
        <v>4.62</v>
      </c>
      <c r="N20" s="18">
        <v>13.8</v>
      </c>
      <c r="O20" s="9">
        <v>1.17</v>
      </c>
      <c r="P20" s="13">
        <v>3.16</v>
      </c>
      <c r="Q20" s="9">
        <v>0.28999999999999998</v>
      </c>
      <c r="R20" s="14">
        <v>3.03</v>
      </c>
      <c r="S20" s="17" t="s">
        <v>27</v>
      </c>
      <c r="T20" s="2">
        <f t="shared" si="0"/>
        <v>0.56699999999999995</v>
      </c>
      <c r="U20" s="2">
        <f t="shared" si="1"/>
        <v>0.97199999999999998</v>
      </c>
      <c r="V20" s="6">
        <f t="shared" si="2"/>
        <v>21.277000000000001</v>
      </c>
      <c r="W20" s="18">
        <f t="shared" si="3"/>
        <v>21.266999999999999</v>
      </c>
      <c r="X20" s="9">
        <f t="shared" si="4"/>
        <v>26.042999999999999</v>
      </c>
      <c r="Y20" s="13">
        <f t="shared" si="5"/>
        <v>21.013000000000002</v>
      </c>
      <c r="Z20" s="9">
        <f t="shared" si="6"/>
        <v>4.931</v>
      </c>
      <c r="AA20" s="14">
        <f t="shared" si="7"/>
        <v>15.802</v>
      </c>
    </row>
    <row r="21" spans="1:27" ht="14.25" customHeight="1" x14ac:dyDescent="0.2">
      <c r="A21" s="17" t="s">
        <v>25</v>
      </c>
      <c r="B21" s="2">
        <f t="shared" si="9"/>
        <v>5.6281620774569054</v>
      </c>
      <c r="C21" s="2">
        <f t="shared" si="10"/>
        <v>1.1002910230579808</v>
      </c>
      <c r="D21" s="6">
        <f t="shared" ref="D21" si="15">SUM(F21:H21)</f>
        <v>89.34</v>
      </c>
      <c r="E21" s="18">
        <v>294.85000000000002</v>
      </c>
      <c r="F21" s="18">
        <v>30.53</v>
      </c>
      <c r="G21" s="13">
        <v>57.4</v>
      </c>
      <c r="H21" s="18">
        <v>1.41</v>
      </c>
      <c r="I21" s="14">
        <v>44.6</v>
      </c>
      <c r="J21" s="17" t="s">
        <v>25</v>
      </c>
      <c r="K21" s="2">
        <f t="shared" si="11"/>
        <v>11.00527704485488</v>
      </c>
      <c r="L21" s="2">
        <f t="shared" si="12"/>
        <v>1.2189973614775726</v>
      </c>
      <c r="M21" s="6">
        <f t="shared" si="13"/>
        <v>3.79</v>
      </c>
      <c r="N21" s="18">
        <v>14.3</v>
      </c>
      <c r="O21" s="18">
        <v>1.1499999999999999</v>
      </c>
      <c r="P21" s="13">
        <v>2.36</v>
      </c>
      <c r="Q21" s="18">
        <v>0.28000000000000003</v>
      </c>
      <c r="R21" s="14">
        <v>1.89</v>
      </c>
      <c r="S21" s="17" t="s">
        <v>25</v>
      </c>
      <c r="T21" s="2">
        <f t="shared" ref="T21" si="16">ROUND(B21/K21,3)</f>
        <v>0.51100000000000001</v>
      </c>
      <c r="U21" s="2">
        <f t="shared" ref="U21" si="17">ROUND(C21/L21,3)</f>
        <v>0.90300000000000002</v>
      </c>
      <c r="V21" s="6">
        <f t="shared" ref="V21" si="18">ROUND(D21/M21,3)</f>
        <v>23.573</v>
      </c>
      <c r="W21" s="18">
        <f t="shared" ref="W21" si="19">ROUND(E21/N21,3)</f>
        <v>20.619</v>
      </c>
      <c r="X21" s="18">
        <f t="shared" ref="X21" si="20">ROUND(F21/O21,3)</f>
        <v>26.547999999999998</v>
      </c>
      <c r="Y21" s="13">
        <f t="shared" ref="Y21" si="21">ROUND(G21/P21,3)</f>
        <v>24.321999999999999</v>
      </c>
      <c r="Z21" s="18">
        <f t="shared" ref="Z21" si="22">ROUND(H21/Q21,3)</f>
        <v>5.0359999999999996</v>
      </c>
      <c r="AA21" s="14">
        <f t="shared" ref="AA21" si="23">ROUND(I21/R21,3)</f>
        <v>23.597999999999999</v>
      </c>
    </row>
    <row r="22" spans="1:27" ht="14.25" customHeight="1" x14ac:dyDescent="0.2">
      <c r="A22" s="17" t="s">
        <v>30</v>
      </c>
      <c r="B22" s="2">
        <f t="shared" ref="B22" si="24">D$2/D22</f>
        <v>7.137260468417316</v>
      </c>
      <c r="C22" s="2">
        <f t="shared" ref="C22" si="25">D21/D22</f>
        <v>1.2681334279630945</v>
      </c>
      <c r="D22" s="6">
        <f t="shared" ref="D22" si="26">SUM(F22:H22)</f>
        <v>70.45</v>
      </c>
      <c r="E22" s="9">
        <v>296.97000000000003</v>
      </c>
      <c r="F22" s="9">
        <v>30.4</v>
      </c>
      <c r="G22" s="13">
        <v>38.47</v>
      </c>
      <c r="H22" s="9">
        <v>1.58</v>
      </c>
      <c r="I22" s="14">
        <v>27.24</v>
      </c>
      <c r="J22" s="17" t="s">
        <v>30</v>
      </c>
      <c r="K22" s="2">
        <f t="shared" ref="K22:K24" si="27">M$2/M22</f>
        <v>12.677811550151974</v>
      </c>
      <c r="L22" s="2">
        <f t="shared" ref="L22:L24" si="28">M21/M22</f>
        <v>1.1519756838905775</v>
      </c>
      <c r="M22" s="6">
        <f t="shared" ref="M22:M24" si="29">SUM(O22:Q22)</f>
        <v>3.29</v>
      </c>
      <c r="N22" s="9">
        <v>14.05</v>
      </c>
      <c r="O22" s="9">
        <v>1.23</v>
      </c>
      <c r="P22" s="13">
        <v>1.78</v>
      </c>
      <c r="Q22" s="9">
        <v>0.28000000000000003</v>
      </c>
      <c r="R22" s="14">
        <v>1.39</v>
      </c>
      <c r="S22" s="17" t="s">
        <v>30</v>
      </c>
      <c r="T22" s="2">
        <f t="shared" ref="T22" si="30">ROUND(B22/K22,3)</f>
        <v>0.56299999999999994</v>
      </c>
      <c r="U22" s="2">
        <f t="shared" ref="U22" si="31">ROUND(C22/L22,3)</f>
        <v>1.101</v>
      </c>
      <c r="V22" s="6">
        <f t="shared" ref="V22" si="32">ROUND(D22/M22,3)</f>
        <v>21.413</v>
      </c>
      <c r="W22" s="9">
        <f t="shared" ref="W22" si="33">ROUND(E22/N22,3)</f>
        <v>21.137</v>
      </c>
      <c r="X22" s="9">
        <f t="shared" ref="X22" si="34">ROUND(F22/O22,3)</f>
        <v>24.715</v>
      </c>
      <c r="Y22" s="13">
        <f t="shared" ref="Y22" si="35">ROUND(G22/P22,3)</f>
        <v>21.611999999999998</v>
      </c>
      <c r="Z22" s="9">
        <f t="shared" ref="Z22" si="36">ROUND(H22/Q22,3)</f>
        <v>5.6429999999999998</v>
      </c>
      <c r="AA22" s="14">
        <f t="shared" ref="AA22" si="37">ROUND(I22/R22,3)</f>
        <v>19.597000000000001</v>
      </c>
    </row>
    <row r="23" spans="1:27" ht="14.25" customHeight="1" x14ac:dyDescent="0.2">
      <c r="A23" s="17" t="s">
        <v>31</v>
      </c>
      <c r="B23" s="5">
        <f t="shared" ref="B23" si="38">D$2/D23</f>
        <v>6.9392768423958042</v>
      </c>
      <c r="C23" s="5">
        <f t="shared" ref="C23" si="39">D22/D23</f>
        <v>0.97226055754899265</v>
      </c>
      <c r="D23" s="6">
        <f t="shared" ref="D23" si="40">SUM(F23:H23)</f>
        <v>72.459999999999994</v>
      </c>
      <c r="E23" s="13">
        <v>244.74</v>
      </c>
      <c r="F23" s="9">
        <v>30.53</v>
      </c>
      <c r="G23" s="9">
        <v>40.36</v>
      </c>
      <c r="H23" s="9">
        <v>1.57</v>
      </c>
      <c r="I23" s="10">
        <v>28.45</v>
      </c>
      <c r="J23" s="17" t="s">
        <v>31</v>
      </c>
      <c r="K23" s="5">
        <f t="shared" si="27"/>
        <v>13.241269841269839</v>
      </c>
      <c r="L23" s="5">
        <f t="shared" si="28"/>
        <v>1.0444444444444443</v>
      </c>
      <c r="M23" s="6">
        <f t="shared" si="29"/>
        <v>3.1500000000000004</v>
      </c>
      <c r="N23" s="13">
        <v>12.88</v>
      </c>
      <c r="O23" s="9">
        <v>1.1499999999999999</v>
      </c>
      <c r="P23" s="9">
        <v>1.72</v>
      </c>
      <c r="Q23" s="9">
        <v>0.28000000000000003</v>
      </c>
      <c r="R23" s="10">
        <v>1.31</v>
      </c>
      <c r="S23" s="17" t="s">
        <v>31</v>
      </c>
      <c r="T23" s="5">
        <f t="shared" ref="T23" si="41">ROUND(B23/K23,3)</f>
        <v>0.52400000000000002</v>
      </c>
      <c r="U23" s="5">
        <f t="shared" ref="U23" si="42">ROUND(C23/L23,3)</f>
        <v>0.93100000000000005</v>
      </c>
      <c r="V23" s="6">
        <f t="shared" ref="V23" si="43">ROUND(D23/M23,3)</f>
        <v>23.003</v>
      </c>
      <c r="W23" s="13">
        <f t="shared" ref="W23" si="44">ROUND(E23/N23,3)</f>
        <v>19.001999999999999</v>
      </c>
      <c r="X23" s="9">
        <f t="shared" ref="X23" si="45">ROUND(F23/O23,3)</f>
        <v>26.547999999999998</v>
      </c>
      <c r="Y23" s="9">
        <f t="shared" ref="Y23" si="46">ROUND(G23/P23,3)</f>
        <v>23.465</v>
      </c>
      <c r="Z23" s="9">
        <f t="shared" ref="Z23" si="47">ROUND(H23/Q23,3)</f>
        <v>5.6070000000000002</v>
      </c>
      <c r="AA23" s="10">
        <f t="shared" ref="AA23" si="48">ROUND(I23/R23,3)</f>
        <v>21.718</v>
      </c>
    </row>
    <row r="24" spans="1:27" ht="14.25" customHeight="1" x14ac:dyDescent="0.2">
      <c r="A24" s="17" t="s">
        <v>32</v>
      </c>
      <c r="B24" s="2">
        <f t="shared" ref="B24" si="49">D$2/D24</f>
        <v>8.0878237091844927</v>
      </c>
      <c r="C24" s="2">
        <f t="shared" ref="C24" si="50">D23/D24</f>
        <v>1.165513913463085</v>
      </c>
      <c r="D24" s="6">
        <f t="shared" ref="D24" si="51">SUM(F24:H24)</f>
        <v>62.17</v>
      </c>
      <c r="E24" s="9">
        <v>250.47</v>
      </c>
      <c r="F24" s="9">
        <v>30.59</v>
      </c>
      <c r="G24" s="13">
        <v>30.11</v>
      </c>
      <c r="H24" s="9">
        <v>1.47</v>
      </c>
      <c r="I24" s="14">
        <v>21.64</v>
      </c>
      <c r="J24" s="17" t="s">
        <v>32</v>
      </c>
      <c r="K24" s="2">
        <f t="shared" si="27"/>
        <v>14.738515901060069</v>
      </c>
      <c r="L24" s="2">
        <f t="shared" si="28"/>
        <v>1.1130742049469966</v>
      </c>
      <c r="M24" s="6">
        <f t="shared" si="29"/>
        <v>2.83</v>
      </c>
      <c r="N24" s="9">
        <v>11.47</v>
      </c>
      <c r="O24" s="9">
        <v>1.1499999999999999</v>
      </c>
      <c r="P24" s="13">
        <v>1.4</v>
      </c>
      <c r="Q24" s="9">
        <v>0.28000000000000003</v>
      </c>
      <c r="R24" s="14">
        <v>1.04</v>
      </c>
      <c r="S24" s="17" t="s">
        <v>32</v>
      </c>
      <c r="T24" s="2">
        <f t="shared" ref="T24" si="52">ROUND(B24/K24,3)</f>
        <v>0.54900000000000004</v>
      </c>
      <c r="U24" s="2">
        <f t="shared" ref="U24" si="53">ROUND(C24/L24,3)</f>
        <v>1.0469999999999999</v>
      </c>
      <c r="V24" s="6">
        <f t="shared" ref="V24" si="54">ROUND(D24/M24,3)</f>
        <v>21.968</v>
      </c>
      <c r="W24" s="9">
        <f t="shared" ref="W24" si="55">ROUND(E24/N24,3)</f>
        <v>21.837</v>
      </c>
      <c r="X24" s="9">
        <f t="shared" ref="X24" si="56">ROUND(F24/O24,3)</f>
        <v>26.6</v>
      </c>
      <c r="Y24" s="13">
        <f t="shared" ref="Y24" si="57">ROUND(G24/P24,3)</f>
        <v>21.507000000000001</v>
      </c>
      <c r="Z24" s="9">
        <f t="shared" ref="Z24" si="58">ROUND(H24/Q24,3)</f>
        <v>5.25</v>
      </c>
      <c r="AA24" s="14">
        <f t="shared" ref="AA24" si="59">ROUND(I24/R24,3)</f>
        <v>20.808</v>
      </c>
    </row>
    <row r="25" spans="1:27" ht="14.25" customHeight="1" x14ac:dyDescent="0.2">
      <c r="A25" s="17" t="s">
        <v>33</v>
      </c>
      <c r="B25" s="2">
        <f t="shared" ref="B25" si="60">D$2/D25</f>
        <v>8.263270336894001</v>
      </c>
      <c r="C25" s="2">
        <f t="shared" ref="C25" si="61">D24/D25</f>
        <v>1.0216926869350864</v>
      </c>
      <c r="D25" s="6">
        <f t="shared" ref="D25" si="62">SUM(F25:H25)</f>
        <v>60.849999999999994</v>
      </c>
      <c r="E25" s="9">
        <v>244.44</v>
      </c>
      <c r="F25" s="9">
        <v>31.2</v>
      </c>
      <c r="G25" s="13">
        <v>28.18</v>
      </c>
      <c r="H25" s="9">
        <v>1.47</v>
      </c>
      <c r="I25" s="14">
        <v>19.309999999999999</v>
      </c>
      <c r="J25" s="17" t="s">
        <v>33</v>
      </c>
      <c r="K25" s="2">
        <f t="shared" ref="K25:K27" si="63">M$2/M25</f>
        <v>15.85931558935361</v>
      </c>
      <c r="L25" s="2">
        <f t="shared" ref="L25:L27" si="64">M24/M25</f>
        <v>1.0760456273764258</v>
      </c>
      <c r="M25" s="6">
        <f t="shared" ref="M25:M27" si="65">SUM(O25:Q25)</f>
        <v>2.63</v>
      </c>
      <c r="N25" s="9">
        <v>11.87</v>
      </c>
      <c r="O25" s="9">
        <v>1.1100000000000001</v>
      </c>
      <c r="P25" s="13">
        <v>1.24</v>
      </c>
      <c r="Q25" s="9">
        <v>0.28000000000000003</v>
      </c>
      <c r="R25" s="14">
        <v>0.89</v>
      </c>
      <c r="S25" s="17" t="s">
        <v>33</v>
      </c>
      <c r="T25" s="2">
        <f t="shared" ref="T25" si="66">ROUND(B25/K25,3)</f>
        <v>0.52100000000000002</v>
      </c>
      <c r="U25" s="2">
        <f t="shared" ref="U25" si="67">ROUND(C25/L25,3)</f>
        <v>0.94899999999999995</v>
      </c>
      <c r="V25" s="6">
        <f t="shared" ref="V25" si="68">ROUND(D25/M25,3)</f>
        <v>23.137</v>
      </c>
      <c r="W25" s="9">
        <f t="shared" ref="W25" si="69">ROUND(E25/N25,3)</f>
        <v>20.593</v>
      </c>
      <c r="X25" s="9">
        <f t="shared" ref="X25" si="70">ROUND(F25/O25,3)</f>
        <v>28.108000000000001</v>
      </c>
      <c r="Y25" s="13">
        <f t="shared" ref="Y25" si="71">ROUND(G25/P25,3)</f>
        <v>22.725999999999999</v>
      </c>
      <c r="Z25" s="9">
        <f t="shared" ref="Z25" si="72">ROUND(H25/Q25,3)</f>
        <v>5.25</v>
      </c>
      <c r="AA25" s="14">
        <f t="shared" ref="AA25" si="73">ROUND(I25/R25,3)</f>
        <v>21.696999999999999</v>
      </c>
    </row>
    <row r="26" spans="1:27" ht="14.25" customHeight="1" x14ac:dyDescent="0.2">
      <c r="A26" s="17" t="s">
        <v>34</v>
      </c>
      <c r="B26" s="2">
        <f t="shared" ref="B26" si="74">D$2/D26</f>
        <v>9.1923217550274217</v>
      </c>
      <c r="C26" s="2">
        <f t="shared" ref="C26" si="75">D25/D26</f>
        <v>1.1124314442413163</v>
      </c>
      <c r="D26" s="6">
        <f t="shared" ref="D26" si="76">SUM(F26:H26)</f>
        <v>54.699999999999996</v>
      </c>
      <c r="E26" s="9">
        <v>249.17</v>
      </c>
      <c r="F26" s="9">
        <v>31.37</v>
      </c>
      <c r="G26" s="13">
        <v>21.93</v>
      </c>
      <c r="H26" s="9">
        <v>1.4</v>
      </c>
      <c r="I26" s="14">
        <v>18.010000000000002</v>
      </c>
      <c r="J26" s="17" t="s">
        <v>34</v>
      </c>
      <c r="K26" s="2">
        <f t="shared" si="63"/>
        <v>17.024489795918363</v>
      </c>
      <c r="L26" s="2">
        <f t="shared" si="64"/>
        <v>1.0734693877551018</v>
      </c>
      <c r="M26" s="6">
        <f t="shared" si="65"/>
        <v>2.4500000000000002</v>
      </c>
      <c r="N26" s="9">
        <v>11.51</v>
      </c>
      <c r="O26" s="9">
        <v>1.1299999999999999</v>
      </c>
      <c r="P26" s="13">
        <v>1.04</v>
      </c>
      <c r="Q26" s="9">
        <v>0.28000000000000003</v>
      </c>
      <c r="R26" s="14">
        <v>0.87</v>
      </c>
      <c r="S26" s="17" t="s">
        <v>34</v>
      </c>
      <c r="T26" s="2">
        <f t="shared" ref="T26" si="77">ROUND(B26/K26,3)</f>
        <v>0.54</v>
      </c>
      <c r="U26" s="2">
        <f t="shared" ref="U26" si="78">ROUND(C26/L26,3)</f>
        <v>1.036</v>
      </c>
      <c r="V26" s="6">
        <f t="shared" ref="V26" si="79">ROUND(D26/M26,3)</f>
        <v>22.327000000000002</v>
      </c>
      <c r="W26" s="9">
        <f t="shared" ref="W26" si="80">ROUND(E26/N26,3)</f>
        <v>21.648</v>
      </c>
      <c r="X26" s="9">
        <f t="shared" ref="X26" si="81">ROUND(F26/O26,3)</f>
        <v>27.760999999999999</v>
      </c>
      <c r="Y26" s="13">
        <f t="shared" ref="Y26" si="82">ROUND(G26/P26,3)</f>
        <v>21.087</v>
      </c>
      <c r="Z26" s="9">
        <f t="shared" ref="Z26" si="83">ROUND(H26/Q26,3)</f>
        <v>5</v>
      </c>
      <c r="AA26" s="14">
        <f t="shared" ref="AA26" si="84">ROUND(I26/R26,3)</f>
        <v>20.701000000000001</v>
      </c>
    </row>
    <row r="27" spans="1:27" ht="14.25" customHeight="1" x14ac:dyDescent="0.2">
      <c r="A27" s="17" t="s">
        <v>35</v>
      </c>
      <c r="B27" s="2">
        <f t="shared" ref="B27" si="85">D$2/D27</f>
        <v>10.453638253638253</v>
      </c>
      <c r="C27" s="2">
        <f t="shared" ref="C27" si="86">D26/D27</f>
        <v>1.1372141372141373</v>
      </c>
      <c r="D27" s="6">
        <f t="shared" ref="D27" si="87">SUM(F27:H27)</f>
        <v>48.099999999999994</v>
      </c>
      <c r="E27" s="9">
        <v>244.7</v>
      </c>
      <c r="F27" s="13">
        <v>25.5</v>
      </c>
      <c r="G27" s="9">
        <v>21.16</v>
      </c>
      <c r="H27" s="9">
        <v>1.44</v>
      </c>
      <c r="I27" s="10">
        <v>17.38</v>
      </c>
      <c r="J27" s="17" t="s">
        <v>35</v>
      </c>
      <c r="K27" s="2">
        <f t="shared" si="63"/>
        <v>17.978448275862064</v>
      </c>
      <c r="L27" s="2">
        <f t="shared" si="64"/>
        <v>1.0560344827586206</v>
      </c>
      <c r="M27" s="6">
        <f t="shared" si="65"/>
        <v>2.3200000000000003</v>
      </c>
      <c r="N27" s="9">
        <v>11.65</v>
      </c>
      <c r="O27" s="13">
        <v>0.98</v>
      </c>
      <c r="P27" s="9">
        <v>1.05</v>
      </c>
      <c r="Q27" s="9">
        <v>0.28999999999999998</v>
      </c>
      <c r="R27" s="10">
        <v>0.88</v>
      </c>
      <c r="S27" s="17" t="s">
        <v>35</v>
      </c>
      <c r="T27" s="2">
        <f t="shared" ref="T27" si="88">ROUND(B27/K27,3)</f>
        <v>0.58099999999999996</v>
      </c>
      <c r="U27" s="2">
        <f t="shared" ref="U27" si="89">ROUND(C27/L27,3)</f>
        <v>1.077</v>
      </c>
      <c r="V27" s="6">
        <f t="shared" ref="V27" si="90">ROUND(D27/M27,3)</f>
        <v>20.733000000000001</v>
      </c>
      <c r="W27" s="9">
        <f t="shared" ref="W27" si="91">ROUND(E27/N27,3)</f>
        <v>21.004000000000001</v>
      </c>
      <c r="X27" s="13">
        <f t="shared" ref="X27" si="92">ROUND(F27/O27,3)</f>
        <v>26.02</v>
      </c>
      <c r="Y27" s="9">
        <f t="shared" ref="Y27" si="93">ROUND(G27/P27,3)</f>
        <v>20.152000000000001</v>
      </c>
      <c r="Z27" s="9">
        <f t="shared" ref="Z27" si="94">ROUND(H27/Q27,3)</f>
        <v>4.9660000000000002</v>
      </c>
      <c r="AA27" s="10">
        <f t="shared" ref="AA27" si="95">ROUND(I27/R27,3)</f>
        <v>19.75</v>
      </c>
    </row>
    <row r="28" spans="1:27" ht="14.25" customHeight="1" x14ac:dyDescent="0.2">
      <c r="A28" s="17" t="s">
        <v>36</v>
      </c>
      <c r="B28" s="2">
        <f t="shared" ref="B28" si="96">D$2/D28</f>
        <v>11.070453544693967</v>
      </c>
      <c r="C28" s="2">
        <f t="shared" ref="C28" si="97">D27/D28</f>
        <v>1.0590048436811976</v>
      </c>
      <c r="D28" s="6">
        <f t="shared" ref="D28" si="98">SUM(F28:H28)</f>
        <v>45.419999999999995</v>
      </c>
      <c r="E28" s="9">
        <v>244.39</v>
      </c>
      <c r="F28" s="9">
        <v>24.83</v>
      </c>
      <c r="G28" s="13">
        <v>19.13</v>
      </c>
      <c r="H28" s="9">
        <v>1.46</v>
      </c>
      <c r="I28" s="14">
        <v>14.94</v>
      </c>
      <c r="J28" s="17" t="s">
        <v>36</v>
      </c>
      <c r="K28" s="2">
        <f t="shared" ref="K28" si="99">M$2/M28</f>
        <v>19.861904761904757</v>
      </c>
      <c r="L28" s="2">
        <f t="shared" ref="L28" si="100">M27/M28</f>
        <v>1.1047619047619048</v>
      </c>
      <c r="M28" s="6">
        <f t="shared" ref="M28" si="101">SUM(O28:Q28)</f>
        <v>2.1</v>
      </c>
      <c r="N28" s="9">
        <v>11.6</v>
      </c>
      <c r="O28" s="9">
        <v>0.88</v>
      </c>
      <c r="P28" s="13">
        <v>0.95</v>
      </c>
      <c r="Q28" s="9">
        <v>0.27</v>
      </c>
      <c r="R28" s="14">
        <v>0.76</v>
      </c>
      <c r="S28" s="17" t="s">
        <v>36</v>
      </c>
      <c r="T28" s="2">
        <f t="shared" ref="T28" si="102">ROUND(B28/K28,3)</f>
        <v>0.55700000000000005</v>
      </c>
      <c r="U28" s="2">
        <f t="shared" ref="U28" si="103">ROUND(C28/L28,3)</f>
        <v>0.95899999999999996</v>
      </c>
      <c r="V28" s="6">
        <f t="shared" ref="V28" si="104">ROUND(D28/M28,3)</f>
        <v>21.629000000000001</v>
      </c>
      <c r="W28" s="9">
        <f t="shared" ref="W28" si="105">ROUND(E28/N28,3)</f>
        <v>21.068000000000001</v>
      </c>
      <c r="X28" s="9">
        <f t="shared" ref="X28" si="106">ROUND(F28/O28,3)</f>
        <v>28.216000000000001</v>
      </c>
      <c r="Y28" s="13">
        <f t="shared" ref="Y28" si="107">ROUND(G28/P28,3)</f>
        <v>20.137</v>
      </c>
      <c r="Z28" s="9">
        <f t="shared" ref="Z28" si="108">ROUND(H28/Q28,3)</f>
        <v>5.407</v>
      </c>
      <c r="AA28" s="14">
        <f t="shared" ref="AA28" si="109">ROUND(I28/R28,3)</f>
        <v>19.658000000000001</v>
      </c>
    </row>
    <row r="29" spans="1:27" ht="14.25" customHeight="1" x14ac:dyDescent="0.2">
      <c r="A29" s="17" t="s">
        <v>37</v>
      </c>
      <c r="B29" s="2">
        <f t="shared" ref="B29" si="110">D$2/D29</f>
        <v>12.932613168724279</v>
      </c>
      <c r="C29" s="2">
        <f t="shared" ref="C29" si="111">D28/D29</f>
        <v>1.1682098765432098</v>
      </c>
      <c r="D29" s="6">
        <f t="shared" ref="D29" si="112">SUM(F29:H29)</f>
        <v>38.879999999999995</v>
      </c>
      <c r="E29" s="9">
        <v>244.31</v>
      </c>
      <c r="F29" s="9">
        <v>25.12</v>
      </c>
      <c r="G29" s="13">
        <v>12.29</v>
      </c>
      <c r="H29" s="9">
        <v>1.47</v>
      </c>
      <c r="I29" s="19">
        <v>14.97</v>
      </c>
      <c r="J29" s="17" t="s">
        <v>37</v>
      </c>
      <c r="K29" s="2">
        <f t="shared" ref="K29" si="113">M$2/M29</f>
        <v>23.04419889502762</v>
      </c>
      <c r="L29" s="2">
        <f t="shared" ref="L29" si="114">M28/M29</f>
        <v>1.160220994475138</v>
      </c>
      <c r="M29" s="6">
        <f t="shared" ref="M29" si="115">SUM(O29:Q29)</f>
        <v>1.81</v>
      </c>
      <c r="N29" s="9">
        <v>11.71</v>
      </c>
      <c r="O29" s="9">
        <v>0.88</v>
      </c>
      <c r="P29" s="13">
        <v>0.65</v>
      </c>
      <c r="Q29" s="9">
        <v>0.28000000000000003</v>
      </c>
      <c r="R29" s="19">
        <v>0.78</v>
      </c>
      <c r="S29" s="17" t="s">
        <v>37</v>
      </c>
      <c r="T29" s="2">
        <f t="shared" ref="T29" si="116">ROUND(B29/K29,3)</f>
        <v>0.56100000000000005</v>
      </c>
      <c r="U29" s="2">
        <f t="shared" ref="U29" si="117">ROUND(C29/L29,3)</f>
        <v>1.0069999999999999</v>
      </c>
      <c r="V29" s="6">
        <f t="shared" ref="V29" si="118">ROUND(D29/M29,3)</f>
        <v>21.481000000000002</v>
      </c>
      <c r="W29" s="9">
        <f t="shared" ref="W29" si="119">ROUND(E29/N29,3)</f>
        <v>20.863</v>
      </c>
      <c r="X29" s="9">
        <f t="shared" ref="X29" si="120">ROUND(F29/O29,3)</f>
        <v>28.545000000000002</v>
      </c>
      <c r="Y29" s="13">
        <f t="shared" ref="Y29" si="121">ROUND(G29/P29,3)</f>
        <v>18.908000000000001</v>
      </c>
      <c r="Z29" s="9">
        <f t="shared" ref="Z29" si="122">ROUND(H29/Q29,3)</f>
        <v>5.25</v>
      </c>
      <c r="AA29" s="19">
        <f t="shared" ref="AA29" si="123">ROUND(I29/R29,3)</f>
        <v>19.192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2026-09-01T04:22:38Z</dcterms:modified>
</cp:coreProperties>
</file>