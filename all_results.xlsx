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3595F6D-2F55-4B7F-9839-B7EEE936EA68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6" i="2" l="1"/>
  <c r="Z46" i="2"/>
  <c r="Y46" i="2"/>
  <c r="X46" i="2"/>
  <c r="W46" i="2"/>
  <c r="V46" i="2"/>
  <c r="U46" i="2"/>
  <c r="T46" i="2"/>
  <c r="M46" i="2"/>
  <c r="L46" i="2" s="1"/>
  <c r="K46" i="2"/>
  <c r="D46" i="2"/>
  <c r="C46" i="2" s="1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B46" i="2" l="1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T42" i="2" s="1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5" i="2" l="1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<sst xmlns="http://schemas.openxmlformats.org/spreadsheetml/2006/main" count="162" uniqueCount="55">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</sst>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6"/>
  <sheetViews>
    <sheetView tabSelected="1" topLeftCell="A31" workbookViewId="0">
      <selection activeCell="AA46" sqref="AA46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21.909368191721128</v>
      </c>
      <c r="C43" s="5">
        <f t="shared" ref="C43" si="255">D42/D43</f>
        <v>1.0827886710239649</v>
      </c>
      <c r="D43" s="4">
        <f t="shared" ref="D43" si="256">SUM(F43:H43)</f>
        <v>22.950000000000003</v>
      </c>
      <c r="E43" s="9">
        <v>1.32</v>
      </c>
      <c r="F43" s="13">
        <v>10.8</v>
      </c>
      <c r="G43" s="9">
        <v>11.07</v>
      </c>
      <c r="H43" s="9">
        <v>1.08</v>
      </c>
      <c r="I43" s="10">
        <v>12.62</v>
      </c>
      <c r="J43" s="12" t="s">
        <v>51</v>
      </c>
      <c r="K43" s="5">
        <f t="shared" ref="K43" si="257">M$2/M43</f>
        <v>43.447916666666664</v>
      </c>
      <c r="L43" s="5">
        <f t="shared" ref="L43" si="258">M42/M43</f>
        <v>1.03125</v>
      </c>
      <c r="M43" s="4">
        <f t="shared" ref="M43" si="259">SUM(O43:Q43)</f>
        <v>0.96</v>
      </c>
      <c r="N43" s="9">
        <v>0.14000000000000001</v>
      </c>
      <c r="O43" s="13">
        <v>0.57999999999999996</v>
      </c>
      <c r="P43" s="9">
        <v>0.36</v>
      </c>
      <c r="Q43" s="9">
        <v>0.02</v>
      </c>
      <c r="R43" s="10">
        <v>0.57999999999999996</v>
      </c>
      <c r="S43" s="12" t="s">
        <v>51</v>
      </c>
      <c r="T43" s="5">
        <f t="shared" ref="T43" si="260">ROUND(B43/K43,3)</f>
        <v>0.504</v>
      </c>
      <c r="U43" s="5">
        <f t="shared" ref="U43" si="261">ROUND(C43/L43,3)</f>
        <v>1.05</v>
      </c>
      <c r="V43" s="4">
        <f t="shared" ref="V43" si="262">ROUND(D43/M43,3)</f>
        <v>23.905999999999999</v>
      </c>
      <c r="W43" s="18">
        <f t="shared" ref="W43" si="263">ROUND(E43/N43,3)</f>
        <v>9.4290000000000003</v>
      </c>
      <c r="X43" s="13">
        <f t="shared" ref="X43" si="264">ROUND(F43/O43,3)</f>
        <v>18.620999999999999</v>
      </c>
      <c r="Y43" s="9">
        <f t="shared" ref="Y43" si="265">ROUND(G43/P43,3)</f>
        <v>30.75</v>
      </c>
      <c r="Z43" s="9">
        <f t="shared" ref="Z43" si="266">ROUND(H43/Q43,3)</f>
        <v>54</v>
      </c>
      <c r="AA43" s="10">
        <f t="shared" ref="AA43" si="267">ROUND(I43/R43,3)</f>
        <v>21.759</v>
      </c>
    </row>
    <row r="44" spans="1:28" ht="14.25" customHeight="1" x14ac:dyDescent="0.2">
      <c r="A44" s="12" t="s">
        <v>52</v>
      </c>
      <c r="B44" s="2">
        <f t="shared" ref="B44" si="268">D$2/D44</f>
        <v>22.337627721012879</v>
      </c>
      <c r="C44" s="2">
        <f t="shared" ref="C44" si="269">D43/D44</f>
        <v>1.0195468680586406</v>
      </c>
      <c r="D44" s="6">
        <f t="shared" ref="D44" si="270">SUM(F44:H44)</f>
        <v>22.51</v>
      </c>
      <c r="E44" s="9">
        <v>1.03</v>
      </c>
      <c r="F44" s="9">
        <v>10.78</v>
      </c>
      <c r="G44" s="9">
        <v>11.07</v>
      </c>
      <c r="H44" s="13">
        <v>0.66</v>
      </c>
      <c r="I44" s="10">
        <v>12.8</v>
      </c>
      <c r="J44" s="12" t="s">
        <v>52</v>
      </c>
      <c r="K44" s="2">
        <f t="shared" ref="K44:K46" si="271">M$2/M44</f>
        <v>42.131313131313128</v>
      </c>
      <c r="L44" s="2">
        <f t="shared" ref="L44:L46" si="272">M43/M44</f>
        <v>0.96969696969696972</v>
      </c>
      <c r="M44" s="6">
        <f t="shared" ref="M44:M46" si="273">SUM(O44:Q44)</f>
        <v>0.99</v>
      </c>
      <c r="N44" s="9">
        <v>0.11</v>
      </c>
      <c r="O44" s="9">
        <v>0.6</v>
      </c>
      <c r="P44" s="9">
        <v>0.36</v>
      </c>
      <c r="Q44" s="13">
        <v>0.03</v>
      </c>
      <c r="R44" s="10">
        <v>0.57999999999999996</v>
      </c>
      <c r="S44" s="12" t="s">
        <v>52</v>
      </c>
      <c r="T44" s="2">
        <f t="shared" ref="T44" si="274">ROUND(B44/K44,3)</f>
        <v>0.53</v>
      </c>
      <c r="U44" s="2">
        <f t="shared" ref="U44" si="275">ROUND(C44/L44,3)</f>
        <v>1.0509999999999999</v>
      </c>
      <c r="V44" s="6">
        <f t="shared" ref="V44" si="276">ROUND(D44/M44,3)</f>
        <v>22.736999999999998</v>
      </c>
      <c r="W44" s="9">
        <f t="shared" ref="W44" si="277">ROUND(E44/N44,3)</f>
        <v>9.3640000000000008</v>
      </c>
      <c r="X44" s="9">
        <f t="shared" ref="X44" si="278">ROUND(F44/O44,3)</f>
        <v>17.966999999999999</v>
      </c>
      <c r="Y44" s="9">
        <f t="shared" ref="Y44" si="279">ROUND(G44/P44,3)</f>
        <v>30.75</v>
      </c>
      <c r="Z44" s="13">
        <f t="shared" ref="Z44" si="280">ROUND(H44/Q44,3)</f>
        <v>22</v>
      </c>
      <c r="AA44" s="10">
        <f t="shared" ref="AA44" si="281">ROUND(I44/R44,3)</f>
        <v>22.068999999999999</v>
      </c>
    </row>
    <row r="45" spans="1:28" ht="14.25" customHeight="1" x14ac:dyDescent="0.2">
      <c r="A45" s="12" t="s">
        <v>53</v>
      </c>
      <c r="B45" s="2">
        <f t="shared" ref="B45" si="282">D$2/D45</f>
        <v>24.5517578125</v>
      </c>
      <c r="C45" s="2">
        <f t="shared" ref="C45" si="283">D44/D45</f>
        <v>1.0991210937500002</v>
      </c>
      <c r="D45" s="6">
        <f t="shared" ref="D45" si="284">SUM(F45:H45)</f>
        <v>20.479999999999997</v>
      </c>
      <c r="E45" s="9">
        <v>1.06</v>
      </c>
      <c r="F45" s="13">
        <v>8.74</v>
      </c>
      <c r="G45" s="9">
        <v>11.09</v>
      </c>
      <c r="H45" s="9">
        <v>0.65</v>
      </c>
      <c r="I45" s="10">
        <v>12.56</v>
      </c>
      <c r="J45" s="12" t="s">
        <v>53</v>
      </c>
      <c r="K45" s="2">
        <f t="shared" si="271"/>
        <v>45.336956521739118</v>
      </c>
      <c r="L45" s="2">
        <f t="shared" si="272"/>
        <v>1.076086956521739</v>
      </c>
      <c r="M45" s="6">
        <f t="shared" si="273"/>
        <v>0.92</v>
      </c>
      <c r="N45" s="9">
        <v>0.11</v>
      </c>
      <c r="O45" s="13">
        <v>0.53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0.54200000000000004</v>
      </c>
      <c r="U45" s="2">
        <f t="shared" ref="U45" si="286">ROUND(C45/L45,3)</f>
        <v>1.0209999999999999</v>
      </c>
      <c r="V45" s="6">
        <f t="shared" ref="V45" si="287">ROUND(D45/M45,3)</f>
        <v>22.260999999999999</v>
      </c>
      <c r="W45" s="9">
        <f t="shared" ref="W45" si="288">ROUND(E45/N45,3)</f>
        <v>9.6359999999999992</v>
      </c>
      <c r="X45" s="13">
        <f t="shared" ref="X45" si="289">ROUND(F45/O45,3)</f>
        <v>16.491</v>
      </c>
      <c r="Y45" s="9">
        <f t="shared" ref="Y45" si="290">ROUND(G45/P45,3)</f>
        <v>30.806000000000001</v>
      </c>
      <c r="Z45" s="9">
        <f t="shared" ref="Z45" si="291">ROUND(H45/Q45,3)</f>
        <v>21.667000000000002</v>
      </c>
      <c r="AA45" s="10">
        <f t="shared" ref="AA45" si="292">ROUND(I45/R45,3)</f>
        <v>21.655000000000001</v>
      </c>
    </row>
    <row r="46" spans="1:28" ht="14.25" customHeight="1" x14ac:dyDescent="0.2">
      <c r="A46" s="12" t="s">
        <v>54</v>
      </c>
      <c r="B46" s="5">
        <f t="shared" ref="B46" si="293">D$2/D46</f>
        <v>24.255668113844667</v>
      </c>
      <c r="C46" s="5">
        <f t="shared" ref="C46" si="294">D45/D46</f>
        <v>0.98794018330921352</v>
      </c>
      <c r="D46" s="4">
        <f t="shared" ref="D46" si="295">SUM(F46:H46)</f>
        <v>20.73</v>
      </c>
      <c r="E46" s="9">
        <v>1.01</v>
      </c>
      <c r="F46" s="9">
        <v>8.86</v>
      </c>
      <c r="G46" s="9">
        <v>11.18</v>
      </c>
      <c r="H46" s="9">
        <v>0.69</v>
      </c>
      <c r="I46" s="14">
        <v>9.92</v>
      </c>
      <c r="J46" s="12" t="s">
        <v>54</v>
      </c>
      <c r="K46" s="5">
        <f t="shared" si="271"/>
        <v>45.835164835164825</v>
      </c>
      <c r="L46" s="5">
        <f t="shared" si="272"/>
        <v>1.0109890109890109</v>
      </c>
      <c r="M46" s="4">
        <f t="shared" si="273"/>
        <v>0.91</v>
      </c>
      <c r="N46" s="9">
        <v>0.11</v>
      </c>
      <c r="O46" s="9">
        <v>0.52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0.52900000000000003</v>
      </c>
      <c r="U46" s="5">
        <f t="shared" ref="U46" si="297">ROUND(C46/L46,3)</f>
        <v>0.97699999999999998</v>
      </c>
      <c r="V46" s="4">
        <f t="shared" ref="V46" si="298">ROUND(D46/M46,3)</f>
        <v>22.78</v>
      </c>
      <c r="W46" s="9">
        <f t="shared" ref="W46" si="299">ROUND(E46/N46,3)</f>
        <v>9.1820000000000004</v>
      </c>
      <c r="X46" s="9">
        <f t="shared" ref="X46" si="300">ROUND(F46/O46,3)</f>
        <v>17.038</v>
      </c>
      <c r="Y46" s="9">
        <f t="shared" ref="Y46" si="301">ROUND(G46/P46,3)</f>
        <v>31.056000000000001</v>
      </c>
      <c r="Z46" s="9">
        <f t="shared" ref="Z46" si="302">ROUND(H46/Q46,3)</f>
        <v>23</v>
      </c>
      <c r="AA46" s="14">
        <f t="shared" ref="AA46" si="303">ROUND(I46/R46,3)</f>
        <v>29.175999999999998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2026-09-07T14:21:33Z</dcterms:modified>
</cp:coreProperties>
</file>