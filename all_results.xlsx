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D1A408EA-158E-48BB-8AD4-AA6C7F929FCE}" xr6:coauthVersionLast="47" xr6:coauthVersionMax="47" xr10:uidLastSave="{00000000-0000-0000-0000-000000000000}"/>
  <bookViews>
    <workbookView xWindow="-120" yWindow="-120" windowWidth="24420" windowHeight="1104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44" i="2" l="1"/>
  <c r="Z44" i="2"/>
  <c r="Y44" i="2"/>
  <c r="X44" i="2"/>
  <c r="W44" i="2"/>
  <c r="V44" i="2"/>
  <c r="U44" i="2"/>
  <c r="T44" i="2"/>
  <c r="D44" i="2"/>
  <c r="C44" i="2" s="1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B44" i="2" l="1"/>
  <c r="M44" i="2"/>
  <c r="L44" i="2" s="1"/>
  <c r="L43" i="2"/>
  <c r="C43" i="2"/>
  <c r="U43" i="2" s="1"/>
  <c r="V43" i="2"/>
  <c r="K43" i="2"/>
  <c r="B43" i="2"/>
  <c r="T43" i="2" s="1"/>
  <c r="L42" i="2"/>
  <c r="C42" i="2"/>
  <c r="V42" i="2"/>
  <c r="K42" i="2"/>
  <c r="B42" i="2"/>
  <c r="T42" i="2" s="1"/>
  <c r="L41" i="2"/>
  <c r="C41" i="2"/>
  <c r="U41" i="2" s="1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K44" i="2" l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<sst xmlns="http://schemas.openxmlformats.org/spreadsheetml/2006/main" count="156" uniqueCount="53">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</sst>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44"/>
  <sheetViews>
    <sheetView tabSelected="1" topLeftCell="C34" workbookViewId="0">
      <selection activeCell="AA44" sqref="AA44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20" t="s">
        <v>46</v>
      </c>
      <c r="B38" s="5">
        <f t="shared" si="193"/>
        <v>20.217933252915159</v>
      </c>
      <c r="C38" s="5">
        <f t="shared" si="194"/>
        <v>0.98150381986328916</v>
      </c>
      <c r="D38" s="4">
        <f t="shared" si="195"/>
        <v>24.869999999999997</v>
      </c>
      <c r="E38" s="13">
        <v>144.19999999999999</v>
      </c>
      <c r="F38" s="18">
        <v>12.67</v>
      </c>
      <c r="G38" s="18">
        <v>11.12</v>
      </c>
      <c r="H38" s="18">
        <v>1.08</v>
      </c>
      <c r="I38" s="19">
        <v>13</v>
      </c>
      <c r="J38" s="20" t="s">
        <v>46</v>
      </c>
      <c r="K38" s="5">
        <f t="shared" si="138"/>
        <v>40.105769230769226</v>
      </c>
      <c r="L38" s="5">
        <f t="shared" si="139"/>
        <v>1.0673076923076923</v>
      </c>
      <c r="M38" s="4">
        <f t="shared" si="140"/>
        <v>1.04</v>
      </c>
      <c r="N38" s="13">
        <v>7.02</v>
      </c>
      <c r="O38" s="18">
        <v>0.6</v>
      </c>
      <c r="P38" s="18">
        <v>0.42</v>
      </c>
      <c r="Q38" s="18">
        <v>0.02</v>
      </c>
      <c r="R38" s="19">
        <v>0.61</v>
      </c>
      <c r="S38" s="20" t="s">
        <v>46</v>
      </c>
      <c r="T38" s="5">
        <f t="shared" ref="T38" si="196">ROUND(B38/K38,3)</f>
        <v>0.504</v>
      </c>
      <c r="U38" s="5">
        <f t="shared" ref="U38" si="197">ROUND(C38/L38,3)</f>
        <v>0.92</v>
      </c>
      <c r="V38" s="4">
        <f t="shared" ref="V38" si="198">ROUND(D38/M38,3)</f>
        <v>23.913</v>
      </c>
      <c r="W38" s="13">
        <f t="shared" ref="W38" si="199">ROUND(E38/N38,3)</f>
        <v>20.541</v>
      </c>
      <c r="X38" s="18">
        <f t="shared" ref="X38" si="200">ROUND(F38/O38,3)</f>
        <v>21.117000000000001</v>
      </c>
      <c r="Y38" s="18">
        <f t="shared" ref="Y38" si="201">ROUND(G38/P38,3)</f>
        <v>26.475999999999999</v>
      </c>
      <c r="Z38" s="18">
        <f t="shared" ref="Z38" si="202">ROUND(H38/Q38,3)</f>
        <v>54</v>
      </c>
      <c r="AA38" s="19">
        <f t="shared" ref="AA38" si="203">ROUND(I38/R38,3)</f>
        <v>21.311</v>
      </c>
    </row>
    <row r="39" spans="1:28" ht="14.25" customHeight="1" x14ac:dyDescent="0.2">
      <c r="A39" s="20" t="s">
        <v>47</v>
      </c>
      <c r="B39" s="5">
        <f t="shared" ref="B39" si="204">D$2/D39</f>
        <v>20.777685950413222</v>
      </c>
      <c r="C39" s="5">
        <f t="shared" ref="C39" si="205">D38/D39</f>
        <v>1.027685950413223</v>
      </c>
      <c r="D39" s="4">
        <f t="shared" ref="D39" si="206">SUM(F39:H39)</f>
        <v>24.2</v>
      </c>
      <c r="E39" s="13">
        <v>1.55</v>
      </c>
      <c r="F39" s="9">
        <v>12.11</v>
      </c>
      <c r="G39" s="9">
        <v>11.02</v>
      </c>
      <c r="H39" s="9">
        <v>1.07</v>
      </c>
      <c r="I39" s="10">
        <v>12.65</v>
      </c>
      <c r="J39" s="20" t="s">
        <v>47</v>
      </c>
      <c r="K39" s="5">
        <f t="shared" si="138"/>
        <v>40.105769230769226</v>
      </c>
      <c r="L39" s="5">
        <f t="shared" si="139"/>
        <v>1</v>
      </c>
      <c r="M39" s="4">
        <f t="shared" si="140"/>
        <v>1.04</v>
      </c>
      <c r="N39" s="13">
        <v>0.37</v>
      </c>
      <c r="O39" s="9">
        <v>0.6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0.51800000000000002</v>
      </c>
      <c r="U39" s="5">
        <f t="shared" ref="U39" si="208">ROUND(C39/L39,3)</f>
        <v>1.028</v>
      </c>
      <c r="V39" s="4">
        <f t="shared" ref="V39" si="209">ROUND(D39/M39,3)</f>
        <v>23.268999999999998</v>
      </c>
      <c r="W39" s="13">
        <f t="shared" ref="W39" si="210">ROUND(E39/N39,3)</f>
        <v>4.1890000000000001</v>
      </c>
      <c r="X39" s="9">
        <f t="shared" ref="X39" si="211">ROUND(F39/O39,3)</f>
        <v>20.183</v>
      </c>
      <c r="Y39" s="9">
        <f t="shared" ref="Y39" si="212">ROUND(G39/P39,3)</f>
        <v>26.238</v>
      </c>
      <c r="Z39" s="9">
        <f t="shared" ref="Z39" si="213">ROUND(H39/Q39,3)</f>
        <v>53.5</v>
      </c>
      <c r="AA39" s="10">
        <f t="shared" ref="AA39" si="214">ROUND(I39/R39,3)</f>
        <v>20.738</v>
      </c>
    </row>
    <row r="40" spans="1:28" s="18" customFormat="1" ht="14.25" customHeight="1" x14ac:dyDescent="0.2">
      <c r="A40" s="20" t="s">
        <v>48</v>
      </c>
      <c r="B40" s="5">
        <f t="shared" ref="B40:B41" si="215">D$2/D40</f>
        <v>20.64121510673235</v>
      </c>
      <c r="C40" s="5">
        <f t="shared" ref="C40:C41" si="216">D39/D40</f>
        <v>0.99343185550082114</v>
      </c>
      <c r="D40" s="4">
        <f t="shared" ref="D40:D41" si="217">SUM(F40:H40)</f>
        <v>24.359999999999996</v>
      </c>
      <c r="E40" s="13">
        <v>1.36</v>
      </c>
      <c r="F40" s="18">
        <v>12.2</v>
      </c>
      <c r="G40" s="18">
        <v>11.1</v>
      </c>
      <c r="H40" s="18">
        <v>1.06</v>
      </c>
      <c r="I40" s="19">
        <v>12.74</v>
      </c>
      <c r="J40" s="20" t="s">
        <v>48</v>
      </c>
      <c r="K40" s="5">
        <f t="shared" ref="K40" si="218">M$2/M40</f>
        <v>39.723809523809514</v>
      </c>
      <c r="L40" s="5">
        <f t="shared" ref="L40" si="219">M39/M40</f>
        <v>0.99047619047619051</v>
      </c>
      <c r="M40" s="4">
        <f t="shared" ref="M40" si="220">SUM(O40:Q40)</f>
        <v>1.05</v>
      </c>
      <c r="N40" s="13">
        <v>0.2</v>
      </c>
      <c r="O40" s="18">
        <v>0.61</v>
      </c>
      <c r="P40" s="18">
        <v>0.42</v>
      </c>
      <c r="Q40" s="18">
        <v>0.02</v>
      </c>
      <c r="R40" s="19">
        <v>0.62</v>
      </c>
      <c r="S40" s="20" t="s">
        <v>48</v>
      </c>
      <c r="T40" s="5">
        <f t="shared" ref="T40" si="221">ROUND(B40/K40,3)</f>
        <v>0.52</v>
      </c>
      <c r="U40" s="5">
        <f t="shared" ref="U40" si="222">ROUND(C40/L40,3)</f>
        <v>1.0029999999999999</v>
      </c>
      <c r="V40" s="4">
        <f t="shared" ref="V40" si="223">ROUND(D40/M40,3)</f>
        <v>23.2</v>
      </c>
      <c r="W40" s="13">
        <f t="shared" ref="W40" si="224">ROUND(E40/N40,3)</f>
        <v>6.8</v>
      </c>
      <c r="X40" s="18">
        <f t="shared" ref="X40" si="225">ROUND(F40/O40,3)</f>
        <v>20</v>
      </c>
      <c r="Y40" s="18">
        <f t="shared" ref="Y40" si="226">ROUND(G40/P40,3)</f>
        <v>26.428999999999998</v>
      </c>
      <c r="Z40" s="18">
        <f t="shared" ref="Z40" si="227">ROUND(H40/Q40,3)</f>
        <v>53</v>
      </c>
      <c r="AA40" s="19">
        <f t="shared" ref="AA40" si="228">ROUND(I40/R40,3)</f>
        <v>20.547999999999998</v>
      </c>
      <c r="AB40" s="20"/>
    </row>
    <row r="41" spans="1:28" ht="14.25" customHeight="1" x14ac:dyDescent="0.2">
      <c r="A41" s="20" t="s">
        <v>49</v>
      </c>
      <c r="B41" s="5">
        <f t="shared" si="215"/>
        <v>20.489812550937245</v>
      </c>
      <c r="C41" s="5">
        <f t="shared" si="216"/>
        <v>0.99266503667481654</v>
      </c>
      <c r="D41" s="4">
        <f t="shared" si="217"/>
        <v>24.54</v>
      </c>
      <c r="E41" s="13">
        <v>1.27</v>
      </c>
      <c r="F41" s="9">
        <v>12.24</v>
      </c>
      <c r="G41" s="9">
        <v>11.19</v>
      </c>
      <c r="H41" s="9">
        <v>1.1100000000000001</v>
      </c>
      <c r="I41" s="10">
        <v>12.92</v>
      </c>
      <c r="J41" s="20" t="s">
        <v>49</v>
      </c>
      <c r="K41" s="5">
        <f t="shared" ref="K41" si="229">M$2/M41</f>
        <v>42.131313131313128</v>
      </c>
      <c r="L41" s="5">
        <f t="shared" ref="L41" si="230">M40/M41</f>
        <v>1.0606060606060606</v>
      </c>
      <c r="M41" s="4">
        <f t="shared" ref="M41" si="231">SUM(O41:Q41)</f>
        <v>0.99</v>
      </c>
      <c r="N41" s="13">
        <v>0.14000000000000001</v>
      </c>
      <c r="O41" s="9">
        <v>0.61</v>
      </c>
      <c r="P41" s="9">
        <v>0.36</v>
      </c>
      <c r="Q41" s="9">
        <v>0.02</v>
      </c>
      <c r="R41" s="10">
        <v>0.56999999999999995</v>
      </c>
      <c r="S41" s="20" t="s">
        <v>49</v>
      </c>
      <c r="T41" s="5">
        <f t="shared" ref="T41" si="232">ROUND(B41/K41,3)</f>
        <v>0.48599999999999999</v>
      </c>
      <c r="U41" s="5">
        <f t="shared" ref="U41" si="233">ROUND(C41/L41,3)</f>
        <v>0.93600000000000005</v>
      </c>
      <c r="V41" s="4">
        <f t="shared" ref="V41" si="234">ROUND(D41/M41,3)</f>
        <v>24.788</v>
      </c>
      <c r="W41" s="13">
        <f t="shared" ref="W41" si="235">ROUND(E41/N41,3)</f>
        <v>9.0709999999999997</v>
      </c>
      <c r="X41" s="9">
        <f t="shared" ref="X41" si="236">ROUND(F41/O41,3)</f>
        <v>20.065999999999999</v>
      </c>
      <c r="Y41" s="9">
        <f t="shared" ref="Y41" si="237">ROUND(G41/P41,3)</f>
        <v>31.082999999999998</v>
      </c>
      <c r="Z41" s="9">
        <f t="shared" ref="Z41" si="238">ROUND(H41/Q41,3)</f>
        <v>55.5</v>
      </c>
      <c r="AA41" s="10">
        <f t="shared" ref="AA41" si="239">ROUND(I41/R41,3)</f>
        <v>22.667000000000002</v>
      </c>
    </row>
    <row r="42" spans="1:28" ht="14.25" customHeight="1" x14ac:dyDescent="0.2">
      <c r="A42" s="12" t="s">
        <v>50</v>
      </c>
      <c r="B42" s="5">
        <f t="shared" ref="B42" si="240">D$2/D42</f>
        <v>20.23420523138833</v>
      </c>
      <c r="C42" s="5">
        <f t="shared" ref="C42" si="241">D41/D42</f>
        <v>0.98752515090543269</v>
      </c>
      <c r="D42" s="4">
        <f t="shared" ref="D42" si="242">SUM(F42:H42)</f>
        <v>24.849999999999998</v>
      </c>
      <c r="E42" s="9">
        <v>1.28</v>
      </c>
      <c r="F42" s="13">
        <v>12.59</v>
      </c>
      <c r="G42" s="9">
        <v>11.17</v>
      </c>
      <c r="H42" s="9">
        <v>1.0900000000000001</v>
      </c>
      <c r="I42" s="10">
        <v>12.91</v>
      </c>
      <c r="J42" s="12" t="s">
        <v>50</v>
      </c>
      <c r="K42" s="5">
        <f t="shared" ref="K42" si="243">M$2/M42</f>
        <v>42.131313131313128</v>
      </c>
      <c r="L42" s="5">
        <f t="shared" ref="L42" si="244">M41/M42</f>
        <v>1</v>
      </c>
      <c r="M42" s="4">
        <f t="shared" ref="M42" si="245">SUM(O42:Q42)</f>
        <v>0.99</v>
      </c>
      <c r="N42" s="9">
        <v>0.13</v>
      </c>
      <c r="O42" s="13">
        <v>0.61</v>
      </c>
      <c r="P42" s="9">
        <v>0.36</v>
      </c>
      <c r="Q42" s="9">
        <v>0.02</v>
      </c>
      <c r="R42" s="10">
        <v>0.56999999999999995</v>
      </c>
      <c r="S42" s="12" t="s">
        <v>50</v>
      </c>
      <c r="T42" s="5">
        <f t="shared" ref="T42" si="246">ROUND(B42/K42,3)</f>
        <v>0.48</v>
      </c>
      <c r="U42" s="5">
        <f t="shared" ref="U42" si="247">ROUND(C42/L42,3)</f>
        <v>0.98799999999999999</v>
      </c>
      <c r="V42" s="4">
        <f t="shared" ref="V42" si="248">ROUND(D42/M42,3)</f>
        <v>25.100999999999999</v>
      </c>
      <c r="W42" s="18">
        <f t="shared" ref="W42" si="249">ROUND(E42/N42,3)</f>
        <v>9.8460000000000001</v>
      </c>
      <c r="X42" s="13">
        <f t="shared" ref="X42" si="250">ROUND(F42/O42,3)</f>
        <v>20.638999999999999</v>
      </c>
      <c r="Y42" s="9">
        <f t="shared" ref="Y42" si="251">ROUND(G42/P42,3)</f>
        <v>31.027999999999999</v>
      </c>
      <c r="Z42" s="9">
        <f t="shared" ref="Z42" si="252">ROUND(H42/Q42,3)</f>
        <v>54.5</v>
      </c>
      <c r="AA42" s="10">
        <f t="shared" ref="AA42" si="253">ROUND(I42/R42,3)</f>
        <v>22.649000000000001</v>
      </c>
    </row>
    <row r="43" spans="1:28" ht="14.25" customHeight="1" x14ac:dyDescent="0.2">
      <c r="A43" s="12" t="s">
        <v>51</v>
      </c>
      <c r="B43" s="5">
        <f t="shared" ref="B43" si="254">D$2/D43</f>
        <v>21.890291684806268</v>
      </c>
      <c r="C43" s="5">
        <f t="shared" ref="C43" si="255">D42/D43</f>
        <v>1.0818458859381801</v>
      </c>
      <c r="D43" s="4">
        <f t="shared" ref="D43" si="256">SUM(F43:H43)</f>
        <v>22.97</v>
      </c>
      <c r="E43" s="9">
        <v>1.27</v>
      </c>
      <c r="F43" s="13">
        <v>10.83</v>
      </c>
      <c r="G43" s="9">
        <v>11.06</v>
      </c>
      <c r="H43" s="9">
        <v>1.08</v>
      </c>
      <c r="I43" s="10">
        <v>12.62</v>
      </c>
      <c r="J43" s="12" t="s">
        <v>51</v>
      </c>
      <c r="K43" s="5">
        <f t="shared" ref="K43" si="257">M$2/M43</f>
        <v>42.999999999999993</v>
      </c>
      <c r="L43" s="5">
        <f t="shared" ref="L43" si="258">M42/M43</f>
        <v>1.0206185567010309</v>
      </c>
      <c r="M43" s="4">
        <f t="shared" ref="M43" si="259">SUM(O43:Q43)</f>
        <v>0.97</v>
      </c>
      <c r="N43" s="9">
        <v>0.15</v>
      </c>
      <c r="O43" s="13">
        <v>0.59</v>
      </c>
      <c r="P43" s="9">
        <v>0.36</v>
      </c>
      <c r="Q43" s="9">
        <v>0.02</v>
      </c>
      <c r="R43" s="10">
        <v>0.56999999999999995</v>
      </c>
      <c r="S43" s="12" t="s">
        <v>51</v>
      </c>
      <c r="T43" s="5">
        <f t="shared" ref="T43" si="260">ROUND(B43/K43,3)</f>
        <v>0.50900000000000001</v>
      </c>
      <c r="U43" s="5">
        <f t="shared" ref="U43" si="261">ROUND(C43/L43,3)</f>
        <v>1.06</v>
      </c>
      <c r="V43" s="4">
        <f t="shared" ref="V43" si="262">ROUND(D43/M43,3)</f>
        <v>23.68</v>
      </c>
      <c r="W43" s="18">
        <f t="shared" ref="W43" si="263">ROUND(E43/N43,3)</f>
        <v>8.4670000000000005</v>
      </c>
      <c r="X43" s="13">
        <f t="shared" ref="X43" si="264">ROUND(F43/O43,3)</f>
        <v>18.356000000000002</v>
      </c>
      <c r="Y43" s="9">
        <f t="shared" ref="Y43" si="265">ROUND(G43/P43,3)</f>
        <v>30.722000000000001</v>
      </c>
      <c r="Z43" s="9">
        <f t="shared" ref="Z43" si="266">ROUND(H43/Q43,3)</f>
        <v>54</v>
      </c>
      <c r="AA43" s="10">
        <f t="shared" ref="AA43" si="267">ROUND(I43/R43,3)</f>
        <v>22.14</v>
      </c>
    </row>
    <row r="44" spans="1:28" ht="14.25" customHeight="1" x14ac:dyDescent="0.2">
      <c r="A44" s="12" t="s">
        <v>52</v>
      </c>
      <c r="B44" s="2">
        <f t="shared" ref="B44" si="268">D$2/D44</f>
        <v>22.337627721012879</v>
      </c>
      <c r="C44" s="2">
        <f t="shared" ref="C44" si="269">D43/D44</f>
        <v>1.020435362061306</v>
      </c>
      <c r="D44" s="6">
        <f t="shared" ref="D44" si="270">SUM(F44:H44)</f>
        <v>22.51</v>
      </c>
      <c r="E44" s="9">
        <v>1.05</v>
      </c>
      <c r="F44" s="9">
        <v>10.8</v>
      </c>
      <c r="G44" s="9">
        <v>11.05</v>
      </c>
      <c r="H44" s="13">
        <v>0.66</v>
      </c>
      <c r="I44" s="10">
        <v>12.62</v>
      </c>
      <c r="J44" s="12" t="s">
        <v>52</v>
      </c>
      <c r="K44" s="2">
        <f t="shared" ref="K44" si="271">M$2/M44</f>
        <v>42.131313131313128</v>
      </c>
      <c r="L44" s="2">
        <f t="shared" ref="L44" si="272">M43/M44</f>
        <v>0.97979797979797978</v>
      </c>
      <c r="M44" s="6">
        <f t="shared" ref="M44" si="273">SUM(O44:Q44)</f>
        <v>0.99</v>
      </c>
      <c r="N44" s="9">
        <v>0.11</v>
      </c>
      <c r="O44" s="9">
        <v>0.6</v>
      </c>
      <c r="P44" s="9">
        <v>0.36</v>
      </c>
      <c r="Q44" s="13">
        <v>0.03</v>
      </c>
      <c r="R44" s="10">
        <v>0.57999999999999996</v>
      </c>
      <c r="S44" s="12" t="s">
        <v>52</v>
      </c>
      <c r="T44" s="2">
        <f t="shared" ref="T44" si="274">ROUND(B44/K44,3)</f>
        <v>0.53</v>
      </c>
      <c r="U44" s="2">
        <f t="shared" ref="U44" si="275">ROUND(C44/L44,3)</f>
        <v>1.0409999999999999</v>
      </c>
      <c r="V44" s="6">
        <f t="shared" ref="V44" si="276">ROUND(D44/M44,3)</f>
        <v>22.736999999999998</v>
      </c>
      <c r="W44" s="9">
        <f t="shared" ref="W44" si="277">ROUND(E44/N44,3)</f>
        <v>9.5449999999999999</v>
      </c>
      <c r="X44" s="9">
        <f t="shared" ref="X44" si="278">ROUND(F44/O44,3)</f>
        <v>18</v>
      </c>
      <c r="Y44" s="9">
        <f t="shared" ref="Y44" si="279">ROUND(G44/P44,3)</f>
        <v>30.693999999999999</v>
      </c>
      <c r="Z44" s="13">
        <f t="shared" ref="Z44" si="280">ROUND(H44/Q44,3)</f>
        <v>22</v>
      </c>
      <c r="AA44" s="10">
        <f t="shared" ref="AA44" si="281">ROUND(I44/R44,3)</f>
        <v>21.759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2026-09-07T01:30:08Z</dcterms:modified>
</cp:coreProperties>
</file>