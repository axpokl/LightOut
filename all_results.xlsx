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1C28AFD8-101B-4335-AE33-EFFC17A0F8FD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31" i="2" l="1"/>
  <c r="Z31" i="2"/>
  <c r="Y31" i="2"/>
  <c r="X31" i="2"/>
  <c r="W31" i="2"/>
  <c r="V31" i="2"/>
  <c r="U31" i="2"/>
  <c r="T31" i="2"/>
  <c r="M31" i="2"/>
  <c r="L31" i="2" s="1"/>
  <c r="D31" i="2"/>
  <c r="C31" i="2" s="1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C22" i="2" s="1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30" i="2" s="1"/>
  <c r="D3" i="2"/>
  <c r="V3" i="2" s="1"/>
  <c r="D4" i="2"/>
  <c r="D5" i="2"/>
  <c r="V5" i="2" s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31" i="2" l="1"/>
  <c r="B31" i="2"/>
  <c r="C30" i="2"/>
  <c r="L30" i="2"/>
  <c r="U30" i="2" s="1"/>
  <c r="V30" i="2"/>
  <c r="K30" i="2"/>
  <c r="T30" i="2" s="1"/>
  <c r="C13" i="2"/>
  <c r="B28" i="2"/>
  <c r="V29" i="2"/>
  <c r="L29" i="2"/>
  <c r="B29" i="2"/>
  <c r="C29" i="2"/>
  <c r="K29" i="2"/>
  <c r="L28" i="2"/>
  <c r="C28" i="2"/>
  <c r="V28" i="2"/>
  <c r="K28" i="2"/>
  <c r="T28" i="2" s="1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U24" i="2" s="1"/>
  <c r="V24" i="2"/>
  <c r="K24" i="2"/>
  <c r="B24" i="2"/>
  <c r="C23" i="2"/>
  <c r="U23" i="2" s="1"/>
  <c r="V23" i="2"/>
  <c r="K23" i="2"/>
  <c r="B23" i="2"/>
  <c r="C12" i="2"/>
  <c r="C10" i="2"/>
  <c r="B22" i="2"/>
  <c r="B12" i="2"/>
  <c r="C11" i="2"/>
  <c r="L5" i="2"/>
  <c r="L8" i="2"/>
  <c r="L22" i="2"/>
  <c r="U22" i="2" s="1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U4" i="2" s="1"/>
  <c r="B6" i="2"/>
  <c r="T6" i="2" s="1"/>
  <c r="B16" i="2"/>
  <c r="U3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V19" i="2"/>
  <c r="B3" i="2"/>
  <c r="T3" i="2" s="1"/>
  <c r="V18" i="2"/>
  <c r="V17" i="2"/>
  <c r="V13" i="2"/>
  <c r="V10" i="2"/>
  <c r="V11" i="2"/>
  <c r="V16" i="2"/>
  <c r="V15" i="2"/>
  <c r="V14" i="2"/>
  <c r="V12" i="2"/>
  <c r="U29" i="2" l="1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<sst xmlns="http://schemas.openxmlformats.org/spreadsheetml/2006/main" count="117" uniqueCount="40">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</sst>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31"/>
  <sheetViews>
    <sheetView tabSelected="1" workbookViewId="0">
      <selection activeCell="AA31" sqref="AA31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7.137260468417316</v>
      </c>
      <c r="C22" s="2">
        <f t="shared" ref="C22" si="25">D21/D22</f>
        <v>1.2681334279630945</v>
      </c>
      <c r="D22" s="6">
        <f t="shared" ref="D22" si="26">SUM(F22:H22)</f>
        <v>70.45</v>
      </c>
      <c r="E22" s="9">
        <v>296.97000000000003</v>
      </c>
      <c r="F22" s="9">
        <v>30.4</v>
      </c>
      <c r="G22" s="13">
        <v>38.47</v>
      </c>
      <c r="H22" s="9">
        <v>1.58</v>
      </c>
      <c r="I22" s="14">
        <v>27.24</v>
      </c>
      <c r="J22" s="17" t="s">
        <v>30</v>
      </c>
      <c r="K22" s="2">
        <f t="shared" ref="K22:K24" si="27">M$2/M22</f>
        <v>12.677811550151974</v>
      </c>
      <c r="L22" s="2">
        <f t="shared" ref="L22:L24" si="28">M21/M22</f>
        <v>1.1519756838905775</v>
      </c>
      <c r="M22" s="6">
        <f t="shared" ref="M22:M24" si="29">SUM(O22:Q22)</f>
        <v>3.29</v>
      </c>
      <c r="N22" s="9">
        <v>14.05</v>
      </c>
      <c r="O22" s="9">
        <v>1.23</v>
      </c>
      <c r="P22" s="13">
        <v>1.78</v>
      </c>
      <c r="Q22" s="9">
        <v>0.28000000000000003</v>
      </c>
      <c r="R22" s="14">
        <v>1.39</v>
      </c>
      <c r="S22" s="17" t="s">
        <v>30</v>
      </c>
      <c r="T22" s="2">
        <f t="shared" ref="T22" si="30">ROUND(B22/K22,3)</f>
        <v>0.56299999999999994</v>
      </c>
      <c r="U22" s="2">
        <f t="shared" ref="U22" si="31">ROUND(C22/L22,3)</f>
        <v>1.101</v>
      </c>
      <c r="V22" s="6">
        <f t="shared" ref="V22" si="32">ROUND(D22/M22,3)</f>
        <v>21.413</v>
      </c>
      <c r="W22" s="9">
        <f t="shared" ref="W22" si="33">ROUND(E22/N22,3)</f>
        <v>21.137</v>
      </c>
      <c r="X22" s="9">
        <f t="shared" ref="X22" si="34">ROUND(F22/O22,3)</f>
        <v>24.715</v>
      </c>
      <c r="Y22" s="13">
        <f t="shared" ref="Y22" si="35">ROUND(G22/P22,3)</f>
        <v>21.611999999999998</v>
      </c>
      <c r="Z22" s="9">
        <f t="shared" ref="Z22" si="36">ROUND(H22/Q22,3)</f>
        <v>5.6429999999999998</v>
      </c>
      <c r="AA22" s="14">
        <f t="shared" ref="AA22" si="37">ROUND(I22/R22,3)</f>
        <v>19.597000000000001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6.9392768423958042</v>
      </c>
      <c r="C23" s="5">
        <f t="shared" ref="C23" si="39">D22/D23</f>
        <v>0.97226055754899265</v>
      </c>
      <c r="D23" s="6">
        <f t="shared" ref="D23" si="40">SUM(F23:H23)</f>
        <v>72.459999999999994</v>
      </c>
      <c r="E23" s="13">
        <v>244.74</v>
      </c>
      <c r="F23" s="9">
        <v>30.53</v>
      </c>
      <c r="G23" s="9">
        <v>40.36</v>
      </c>
      <c r="H23" s="9">
        <v>1.57</v>
      </c>
      <c r="I23" s="10">
        <v>28.45</v>
      </c>
      <c r="J23" s="17" t="s">
        <v>31</v>
      </c>
      <c r="K23" s="5">
        <f t="shared" si="27"/>
        <v>13.241269841269839</v>
      </c>
      <c r="L23" s="5">
        <f t="shared" si="28"/>
        <v>1.0444444444444443</v>
      </c>
      <c r="M23" s="6">
        <f t="shared" si="29"/>
        <v>3.1500000000000004</v>
      </c>
      <c r="N23" s="13">
        <v>12.88</v>
      </c>
      <c r="O23" s="9">
        <v>1.1499999999999999</v>
      </c>
      <c r="P23" s="9">
        <v>1.72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0.93100000000000005</v>
      </c>
      <c r="V23" s="6">
        <f t="shared" ref="V23" si="43">ROUND(D23/M23,3)</f>
        <v>23.003</v>
      </c>
      <c r="W23" s="13">
        <f t="shared" ref="W23" si="44">ROUND(E23/N23,3)</f>
        <v>19.001999999999999</v>
      </c>
      <c r="X23" s="9">
        <f t="shared" ref="X23" si="45">ROUND(F23/O23,3)</f>
        <v>26.547999999999998</v>
      </c>
      <c r="Y23" s="9">
        <f t="shared" ref="Y23" si="46">ROUND(G23/P23,3)</f>
        <v>23.465</v>
      </c>
      <c r="Z23" s="9">
        <f t="shared" ref="Z23" si="47">ROUND(H23/Q23,3)</f>
        <v>5.6070000000000002</v>
      </c>
      <c r="AA23" s="10">
        <f t="shared" ref="AA23" si="48">ROUND(I23/R23,3)</f>
        <v>21.718</v>
      </c>
    </row>
    <row r="24" spans="1:27" ht="14.25" customHeight="1" x14ac:dyDescent="0.2">
      <c r="A24" s="17" t="s">
        <v>32</v>
      </c>
      <c r="B24" s="2">
        <f t="shared" ref="B24" si="49">D$2/D24</f>
        <v>8.0878237091844927</v>
      </c>
      <c r="C24" s="2">
        <f t="shared" ref="C24" si="50">D23/D24</f>
        <v>1.165513913463085</v>
      </c>
      <c r="D24" s="6">
        <f t="shared" ref="D24" si="51">SUM(F24:H24)</f>
        <v>62.17</v>
      </c>
      <c r="E24" s="9">
        <v>250.47</v>
      </c>
      <c r="F24" s="9">
        <v>30.59</v>
      </c>
      <c r="G24" s="13">
        <v>30.11</v>
      </c>
      <c r="H24" s="9">
        <v>1.47</v>
      </c>
      <c r="I24" s="14">
        <v>21.64</v>
      </c>
      <c r="J24" s="17" t="s">
        <v>32</v>
      </c>
      <c r="K24" s="2">
        <f t="shared" si="27"/>
        <v>14.738515901060069</v>
      </c>
      <c r="L24" s="2">
        <f t="shared" si="28"/>
        <v>1.1130742049469966</v>
      </c>
      <c r="M24" s="6">
        <f t="shared" si="29"/>
        <v>2.83</v>
      </c>
      <c r="N24" s="9">
        <v>11.47</v>
      </c>
      <c r="O24" s="9">
        <v>1.1499999999999999</v>
      </c>
      <c r="P24" s="13">
        <v>1.4</v>
      </c>
      <c r="Q24" s="9">
        <v>0.28000000000000003</v>
      </c>
      <c r="R24" s="14">
        <v>1.04</v>
      </c>
      <c r="S24" s="17" t="s">
        <v>32</v>
      </c>
      <c r="T24" s="2">
        <f t="shared" ref="T24" si="52">ROUND(B24/K24,3)</f>
        <v>0.54900000000000004</v>
      </c>
      <c r="U24" s="2">
        <f t="shared" ref="U24" si="53">ROUND(C24/L24,3)</f>
        <v>1.0469999999999999</v>
      </c>
      <c r="V24" s="6">
        <f t="shared" ref="V24" si="54">ROUND(D24/M24,3)</f>
        <v>21.968</v>
      </c>
      <c r="W24" s="9">
        <f t="shared" ref="W24" si="55">ROUND(E24/N24,3)</f>
        <v>21.837</v>
      </c>
      <c r="X24" s="9">
        <f t="shared" ref="X24" si="56">ROUND(F24/O24,3)</f>
        <v>26.6</v>
      </c>
      <c r="Y24" s="13">
        <f t="shared" ref="Y24" si="57">ROUND(G24/P24,3)</f>
        <v>21.507000000000001</v>
      </c>
      <c r="Z24" s="9">
        <f t="shared" ref="Z24" si="58">ROUND(H24/Q24,3)</f>
        <v>5.25</v>
      </c>
      <c r="AA24" s="14">
        <f t="shared" ref="AA24" si="59">ROUND(I24/R24,3)</f>
        <v>20.808</v>
      </c>
    </row>
    <row r="25" spans="1:27" ht="14.25" customHeight="1" x14ac:dyDescent="0.2">
      <c r="A25" s="17" t="s">
        <v>33</v>
      </c>
      <c r="B25" s="2">
        <f t="shared" ref="B25" si="60">D$2/D25</f>
        <v>8.263270336894001</v>
      </c>
      <c r="C25" s="2">
        <f t="shared" ref="C25" si="61">D24/D25</f>
        <v>1.0216926869350864</v>
      </c>
      <c r="D25" s="6">
        <f t="shared" ref="D25" si="62">SUM(F25:H25)</f>
        <v>60.849999999999994</v>
      </c>
      <c r="E25" s="9">
        <v>244.44</v>
      </c>
      <c r="F25" s="9">
        <v>31.2</v>
      </c>
      <c r="G25" s="13">
        <v>28.18</v>
      </c>
      <c r="H25" s="9">
        <v>1.47</v>
      </c>
      <c r="I25" s="14">
        <v>19.309999999999999</v>
      </c>
      <c r="J25" s="17" t="s">
        <v>33</v>
      </c>
      <c r="K25" s="2">
        <f t="shared" ref="K25:K27" si="63">M$2/M25</f>
        <v>15.85931558935361</v>
      </c>
      <c r="L25" s="2">
        <f t="shared" ref="L25:L27" si="64">M24/M25</f>
        <v>1.0760456273764258</v>
      </c>
      <c r="M25" s="6">
        <f t="shared" ref="M25:M27" si="65">SUM(O25:Q25)</f>
        <v>2.63</v>
      </c>
      <c r="N25" s="9">
        <v>11.87</v>
      </c>
      <c r="O25" s="9">
        <v>1.1100000000000001</v>
      </c>
      <c r="P25" s="13">
        <v>1.24</v>
      </c>
      <c r="Q25" s="9">
        <v>0.28000000000000003</v>
      </c>
      <c r="R25" s="14">
        <v>0.89</v>
      </c>
      <c r="S25" s="17" t="s">
        <v>33</v>
      </c>
      <c r="T25" s="2">
        <f t="shared" ref="T25" si="66">ROUND(B25/K25,3)</f>
        <v>0.52100000000000002</v>
      </c>
      <c r="U25" s="2">
        <f t="shared" ref="U25" si="67">ROUND(C25/L25,3)</f>
        <v>0.94899999999999995</v>
      </c>
      <c r="V25" s="6">
        <f t="shared" ref="V25" si="68">ROUND(D25/M25,3)</f>
        <v>23.137</v>
      </c>
      <c r="W25" s="9">
        <f t="shared" ref="W25" si="69">ROUND(E25/N25,3)</f>
        <v>20.593</v>
      </c>
      <c r="X25" s="9">
        <f t="shared" ref="X25" si="70">ROUND(F25/O25,3)</f>
        <v>28.108000000000001</v>
      </c>
      <c r="Y25" s="13">
        <f t="shared" ref="Y25" si="71">ROUND(G25/P25,3)</f>
        <v>22.725999999999999</v>
      </c>
      <c r="Z25" s="9">
        <f t="shared" ref="Z25" si="72">ROUND(H25/Q25,3)</f>
        <v>5.25</v>
      </c>
      <c r="AA25" s="14">
        <f t="shared" ref="AA25" si="73">ROUND(I25/R25,3)</f>
        <v>21.696999999999999</v>
      </c>
    </row>
    <row r="26" spans="1:27" ht="14.25" customHeight="1" x14ac:dyDescent="0.2">
      <c r="A26" s="17" t="s">
        <v>34</v>
      </c>
      <c r="B26" s="2">
        <f t="shared" ref="B26" si="74">D$2/D26</f>
        <v>9.1923217550274217</v>
      </c>
      <c r="C26" s="2">
        <f t="shared" ref="C26" si="75">D25/D26</f>
        <v>1.1124314442413163</v>
      </c>
      <c r="D26" s="6">
        <f t="shared" ref="D26" si="76">SUM(F26:H26)</f>
        <v>54.699999999999996</v>
      </c>
      <c r="E26" s="9">
        <v>249.17</v>
      </c>
      <c r="F26" s="9">
        <v>31.37</v>
      </c>
      <c r="G26" s="13">
        <v>21.93</v>
      </c>
      <c r="H26" s="9">
        <v>1.4</v>
      </c>
      <c r="I26" s="14">
        <v>18.010000000000002</v>
      </c>
      <c r="J26" s="17" t="s">
        <v>34</v>
      </c>
      <c r="K26" s="2">
        <f t="shared" si="63"/>
        <v>17.024489795918363</v>
      </c>
      <c r="L26" s="2">
        <f t="shared" si="64"/>
        <v>1.0734693877551018</v>
      </c>
      <c r="M26" s="6">
        <f t="shared" si="65"/>
        <v>2.4500000000000002</v>
      </c>
      <c r="N26" s="9">
        <v>11.51</v>
      </c>
      <c r="O26" s="9">
        <v>1.1299999999999999</v>
      </c>
      <c r="P26" s="13">
        <v>1.04</v>
      </c>
      <c r="Q26" s="9">
        <v>0.28000000000000003</v>
      </c>
      <c r="R26" s="14">
        <v>0.87</v>
      </c>
      <c r="S26" s="17" t="s">
        <v>34</v>
      </c>
      <c r="T26" s="2">
        <f t="shared" ref="T26" si="77">ROUND(B26/K26,3)</f>
        <v>0.54</v>
      </c>
      <c r="U26" s="2">
        <f t="shared" ref="U26" si="78">ROUND(C26/L26,3)</f>
        <v>1.036</v>
      </c>
      <c r="V26" s="6">
        <f t="shared" ref="V26" si="79">ROUND(D26/M26,3)</f>
        <v>22.327000000000002</v>
      </c>
      <c r="W26" s="9">
        <f t="shared" ref="W26" si="80">ROUND(E26/N26,3)</f>
        <v>21.648</v>
      </c>
      <c r="X26" s="9">
        <f t="shared" ref="X26" si="81">ROUND(F26/O26,3)</f>
        <v>27.760999999999999</v>
      </c>
      <c r="Y26" s="13">
        <f t="shared" ref="Y26" si="82">ROUND(G26/P26,3)</f>
        <v>21.087</v>
      </c>
      <c r="Z26" s="9">
        <f t="shared" ref="Z26" si="83">ROUND(H26/Q26,3)</f>
        <v>5</v>
      </c>
      <c r="AA26" s="14">
        <f t="shared" ref="AA26" si="84">ROUND(I26/R26,3)</f>
        <v>20.701000000000001</v>
      </c>
    </row>
    <row r="27" spans="1:27" ht="14.25" customHeight="1" x14ac:dyDescent="0.2">
      <c r="A27" s="17" t="s">
        <v>35</v>
      </c>
      <c r="B27" s="2">
        <f t="shared" ref="B27" si="85">D$2/D27</f>
        <v>10.453638253638253</v>
      </c>
      <c r="C27" s="2">
        <f t="shared" ref="C27" si="86">D26/D27</f>
        <v>1.1372141372141373</v>
      </c>
      <c r="D27" s="6">
        <f t="shared" ref="D27" si="87">SUM(F27:H27)</f>
        <v>48.099999999999994</v>
      </c>
      <c r="E27" s="9">
        <v>244.7</v>
      </c>
      <c r="F27" s="13">
        <v>25.5</v>
      </c>
      <c r="G27" s="9">
        <v>21.16</v>
      </c>
      <c r="H27" s="9">
        <v>1.44</v>
      </c>
      <c r="I27" s="10">
        <v>17.38</v>
      </c>
      <c r="J27" s="17" t="s">
        <v>35</v>
      </c>
      <c r="K27" s="2">
        <f t="shared" si="63"/>
        <v>17.978448275862064</v>
      </c>
      <c r="L27" s="2">
        <f t="shared" si="64"/>
        <v>1.0560344827586206</v>
      </c>
      <c r="M27" s="6">
        <f t="shared" si="65"/>
        <v>2.3200000000000003</v>
      </c>
      <c r="N27" s="9">
        <v>11.65</v>
      </c>
      <c r="O27" s="13">
        <v>0.98</v>
      </c>
      <c r="P27" s="9">
        <v>1.05</v>
      </c>
      <c r="Q27" s="9">
        <v>0.28999999999999998</v>
      </c>
      <c r="R27" s="10">
        <v>0.88</v>
      </c>
      <c r="S27" s="17" t="s">
        <v>35</v>
      </c>
      <c r="T27" s="2">
        <f t="shared" ref="T27" si="88">ROUND(B27/K27,3)</f>
        <v>0.58099999999999996</v>
      </c>
      <c r="U27" s="2">
        <f t="shared" ref="U27" si="89">ROUND(C27/L27,3)</f>
        <v>1.077</v>
      </c>
      <c r="V27" s="6">
        <f t="shared" ref="V27" si="90">ROUND(D27/M27,3)</f>
        <v>20.733000000000001</v>
      </c>
      <c r="W27" s="9">
        <f t="shared" ref="W27" si="91">ROUND(E27/N27,3)</f>
        <v>21.004000000000001</v>
      </c>
      <c r="X27" s="13">
        <f t="shared" ref="X27" si="92">ROUND(F27/O27,3)</f>
        <v>26.02</v>
      </c>
      <c r="Y27" s="9">
        <f t="shared" ref="Y27" si="93">ROUND(G27/P27,3)</f>
        <v>20.152000000000001</v>
      </c>
      <c r="Z27" s="9">
        <f t="shared" ref="Z27" si="94">ROUND(H27/Q27,3)</f>
        <v>4.9660000000000002</v>
      </c>
      <c r="AA27" s="10">
        <f t="shared" ref="AA27" si="95">ROUND(I27/R27,3)</f>
        <v>19.75</v>
      </c>
    </row>
    <row r="28" spans="1:27" ht="14.25" customHeight="1" x14ac:dyDescent="0.2">
      <c r="A28" s="17" t="s">
        <v>36</v>
      </c>
      <c r="B28" s="2">
        <f t="shared" ref="B28" si="96">D$2/D28</f>
        <v>11.085097001763668</v>
      </c>
      <c r="C28" s="2">
        <f t="shared" ref="C28" si="97">D27/D28</f>
        <v>1.0604056437389771</v>
      </c>
      <c r="D28" s="6">
        <f t="shared" ref="D28" si="98">SUM(F28:H28)</f>
        <v>45.36</v>
      </c>
      <c r="E28" s="9">
        <v>244.24</v>
      </c>
      <c r="F28" s="9">
        <v>24.96</v>
      </c>
      <c r="G28" s="13">
        <v>19.010000000000002</v>
      </c>
      <c r="H28" s="9">
        <v>1.39</v>
      </c>
      <c r="I28" s="14">
        <v>14.95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1.0841121495327104</v>
      </c>
      <c r="M28" s="6">
        <f t="shared" ref="M28" si="101">SUM(O28:Q28)</f>
        <v>2.14</v>
      </c>
      <c r="N28" s="9">
        <v>11.59</v>
      </c>
      <c r="O28" s="9">
        <v>0.92</v>
      </c>
      <c r="P28" s="13">
        <v>0.95</v>
      </c>
      <c r="Q28" s="9">
        <v>0.27</v>
      </c>
      <c r="R28" s="14">
        <v>0.77</v>
      </c>
      <c r="S28" s="17" t="s">
        <v>36</v>
      </c>
      <c r="T28" s="2">
        <f t="shared" ref="T28" si="102">ROUND(B28/K28,3)</f>
        <v>0.56899999999999995</v>
      </c>
      <c r="U28" s="2">
        <f t="shared" ref="U28" si="103">ROUND(C28/L28,3)</f>
        <v>0.97799999999999998</v>
      </c>
      <c r="V28" s="6">
        <f t="shared" ref="V28" si="104">ROUND(D28/M28,3)</f>
        <v>21.196000000000002</v>
      </c>
      <c r="W28" s="9">
        <f t="shared" ref="W28" si="105">ROUND(E28/N28,3)</f>
        <v>21.073</v>
      </c>
      <c r="X28" s="9">
        <f t="shared" ref="X28" si="106">ROUND(F28/O28,3)</f>
        <v>27.13</v>
      </c>
      <c r="Y28" s="13">
        <f t="shared" ref="Y28" si="107">ROUND(G28/P28,3)</f>
        <v>20.010999999999999</v>
      </c>
      <c r="Z28" s="9">
        <f t="shared" ref="Z28" si="108">ROUND(H28/Q28,3)</f>
        <v>5.1479999999999997</v>
      </c>
      <c r="AA28" s="14">
        <f t="shared" ref="AA28" si="109">ROUND(I28/R28,3)</f>
        <v>19.416</v>
      </c>
    </row>
    <row r="29" spans="1:27" ht="14.25" customHeight="1" x14ac:dyDescent="0.2">
      <c r="A29" s="17" t="s">
        <v>37</v>
      </c>
      <c r="B29" s="2">
        <f t="shared" ref="B29" si="110">D$2/D29</f>
        <v>13.023051023051021</v>
      </c>
      <c r="C29" s="2">
        <f t="shared" ref="C29" si="111">D28/D29</f>
        <v>1.1748251748251748</v>
      </c>
      <c r="D29" s="6">
        <f t="shared" ref="D29" si="112">SUM(F29:H29)</f>
        <v>38.61</v>
      </c>
      <c r="E29" s="9">
        <v>248.57</v>
      </c>
      <c r="F29" s="9">
        <v>25.06</v>
      </c>
      <c r="G29" s="13">
        <v>12.11</v>
      </c>
      <c r="H29" s="9">
        <v>1.44</v>
      </c>
      <c r="I29" s="19">
        <v>14.92</v>
      </c>
      <c r="J29" s="17" t="s">
        <v>37</v>
      </c>
      <c r="K29" s="2">
        <f t="shared" ref="K29:K30" si="113">M$2/M29</f>
        <v>21.952631578947365</v>
      </c>
      <c r="L29" s="2">
        <f t="shared" ref="L29:L30" si="114">M28/M29</f>
        <v>1.1263157894736842</v>
      </c>
      <c r="M29" s="6">
        <f t="shared" ref="M29:M30" si="115">SUM(O29:Q29)</f>
        <v>1.9000000000000001</v>
      </c>
      <c r="N29" s="9">
        <v>11.49</v>
      </c>
      <c r="O29" s="9">
        <v>0.97</v>
      </c>
      <c r="P29" s="13">
        <v>0.65</v>
      </c>
      <c r="Q29" s="9">
        <v>0.28000000000000003</v>
      </c>
      <c r="R29" s="19">
        <v>0.77</v>
      </c>
      <c r="S29" s="17" t="s">
        <v>37</v>
      </c>
      <c r="T29" s="2">
        <f t="shared" ref="T29" si="116">ROUND(B29/K29,3)</f>
        <v>0.59299999999999997</v>
      </c>
      <c r="U29" s="2">
        <f t="shared" ref="U29" si="117">ROUND(C29/L29,3)</f>
        <v>1.0429999999999999</v>
      </c>
      <c r="V29" s="6">
        <f t="shared" ref="V29" si="118">ROUND(D29/M29,3)</f>
        <v>20.321000000000002</v>
      </c>
      <c r="W29" s="9">
        <f t="shared" ref="W29" si="119">ROUND(E29/N29,3)</f>
        <v>21.634</v>
      </c>
      <c r="X29" s="9">
        <f t="shared" ref="X29" si="120">ROUND(F29/O29,3)</f>
        <v>25.835000000000001</v>
      </c>
      <c r="Y29" s="13">
        <f t="shared" ref="Y29" si="121">ROUND(G29/P29,3)</f>
        <v>18.631</v>
      </c>
      <c r="Z29" s="9">
        <f t="shared" ref="Z29" si="122">ROUND(H29/Q29,3)</f>
        <v>5.1429999999999998</v>
      </c>
      <c r="AA29" s="19">
        <f t="shared" ref="AA29" si="123">ROUND(I29/R29,3)</f>
        <v>19.376999999999999</v>
      </c>
    </row>
    <row r="30" spans="1:27" ht="14.25" customHeight="1" x14ac:dyDescent="0.2">
      <c r="A30" s="17" t="s">
        <v>38</v>
      </c>
      <c r="B30" s="5">
        <f t="shared" ref="B30" si="124">D$2/D30</f>
        <v>13.019678922837906</v>
      </c>
      <c r="C30" s="5">
        <f t="shared" ref="C30" si="125">D29/D30</f>
        <v>0.99974106680476438</v>
      </c>
      <c r="D30" s="4">
        <f t="shared" ref="D30" si="126">SUM(F30:H30)</f>
        <v>38.619999999999997</v>
      </c>
      <c r="E30" s="13">
        <v>206.11</v>
      </c>
      <c r="F30" s="9">
        <v>24.64</v>
      </c>
      <c r="G30" s="9">
        <v>12.36</v>
      </c>
      <c r="H30" s="9">
        <v>1.62</v>
      </c>
      <c r="I30" s="10">
        <v>15.35</v>
      </c>
      <c r="J30" s="17" t="s">
        <v>38</v>
      </c>
      <c r="K30" s="5">
        <f t="shared" si="113"/>
        <v>22.545945945945945</v>
      </c>
      <c r="L30" s="5">
        <f t="shared" si="114"/>
        <v>1.0270270270270272</v>
      </c>
      <c r="M30" s="4">
        <f t="shared" si="115"/>
        <v>1.8499999999999999</v>
      </c>
      <c r="N30" s="13">
        <v>9.57</v>
      </c>
      <c r="O30" s="9">
        <v>0.94</v>
      </c>
      <c r="P30" s="9">
        <v>0.65</v>
      </c>
      <c r="Q30" s="9">
        <v>0.26</v>
      </c>
      <c r="R30" s="10">
        <v>0.78</v>
      </c>
      <c r="S30" s="17" t="s">
        <v>38</v>
      </c>
      <c r="T30" s="5">
        <f t="shared" ref="T30" si="127">ROUND(B30/K30,3)</f>
        <v>0.57699999999999996</v>
      </c>
      <c r="U30" s="5">
        <f t="shared" ref="U30" si="128">ROUND(C30/L30,3)</f>
        <v>0.97299999999999998</v>
      </c>
      <c r="V30" s="4">
        <f t="shared" ref="V30" si="129">ROUND(D30/M30,3)</f>
        <v>20.876000000000001</v>
      </c>
      <c r="W30" s="13">
        <f t="shared" ref="W30" si="130">ROUND(E30/N30,3)</f>
        <v>21.536999999999999</v>
      </c>
      <c r="X30" s="9">
        <f t="shared" ref="X30" si="131">ROUND(F30/O30,3)</f>
        <v>26.213000000000001</v>
      </c>
      <c r="Y30" s="9">
        <f t="shared" ref="Y30" si="132">ROUND(G30/P30,3)</f>
        <v>19.015000000000001</v>
      </c>
      <c r="Z30" s="9">
        <f t="shared" ref="Z30" si="133">ROUND(H30/Q30,3)</f>
        <v>6.2309999999999999</v>
      </c>
      <c r="AA30" s="10">
        <f t="shared" ref="AA30" si="134">ROUND(I30/R30,3)</f>
        <v>19.678999999999998</v>
      </c>
    </row>
    <row r="31" spans="1:27" ht="14.25" customHeight="1" x14ac:dyDescent="0.2">
      <c r="A31" s="17" t="s">
        <v>39</v>
      </c>
      <c r="B31" s="2">
        <f t="shared" ref="B31" si="135">D$2/D31</f>
        <v>13.1387509798798</v>
      </c>
      <c r="C31" s="2">
        <f t="shared" ref="C31" si="136">D30/D31</f>
        <v>1.0091455448131696</v>
      </c>
      <c r="D31" s="6">
        <f t="shared" ref="D31" si="137">SUM(F31:H31)</f>
        <v>38.269999999999996</v>
      </c>
      <c r="E31" s="9">
        <v>202.28</v>
      </c>
      <c r="F31" s="9">
        <v>24.82</v>
      </c>
      <c r="G31" s="9">
        <v>12.29</v>
      </c>
      <c r="H31" s="13">
        <v>1.1599999999999999</v>
      </c>
      <c r="I31" s="10">
        <v>15.53</v>
      </c>
      <c r="J31" s="17" t="s">
        <v>39</v>
      </c>
      <c r="K31" s="2">
        <f t="shared" ref="K31" si="138">M$2/M31</f>
        <v>26.566878980891715</v>
      </c>
      <c r="L31" s="2">
        <f t="shared" ref="L31" si="139">M30/M31</f>
        <v>1.1783439490445859</v>
      </c>
      <c r="M31" s="6">
        <f t="shared" ref="M31" si="140">SUM(O31:Q31)</f>
        <v>1.57</v>
      </c>
      <c r="N31" s="9">
        <v>9.5500000000000007</v>
      </c>
      <c r="O31" s="9">
        <v>0.9</v>
      </c>
      <c r="P31" s="9">
        <v>0.64</v>
      </c>
      <c r="Q31" s="13">
        <v>0.03</v>
      </c>
      <c r="R31" s="10">
        <v>0.77</v>
      </c>
      <c r="S31" s="17" t="s">
        <v>39</v>
      </c>
      <c r="T31" s="2">
        <f t="shared" ref="T31" si="141">ROUND(B31/K31,3)</f>
        <v>0.495</v>
      </c>
      <c r="U31" s="2">
        <f t="shared" ref="U31" si="142">ROUND(C31/L31,3)</f>
        <v>0.85599999999999998</v>
      </c>
      <c r="V31" s="6">
        <f t="shared" ref="V31" si="143">ROUND(D31/M31,3)</f>
        <v>24.376000000000001</v>
      </c>
      <c r="W31" s="9">
        <f t="shared" ref="W31" si="144">ROUND(E31/N31,3)</f>
        <v>21.181000000000001</v>
      </c>
      <c r="X31" s="9">
        <f t="shared" ref="X31" si="145">ROUND(F31/O31,3)</f>
        <v>27.577999999999999</v>
      </c>
      <c r="Y31" s="9">
        <f t="shared" ref="Y31" si="146">ROUND(G31/P31,3)</f>
        <v>19.202999999999999</v>
      </c>
      <c r="Z31" s="13">
        <f t="shared" ref="Z31" si="147">ROUND(H31/Q31,3)</f>
        <v>38.667000000000002</v>
      </c>
      <c r="AA31" s="10">
        <f t="shared" ref="AA31" si="148">ROUND(I31/R31,3)</f>
        <v>20.169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2026-09-01T15:01:53Z</dcterms:modified>
</cp:coreProperties>
</file>