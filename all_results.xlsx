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EE03DFCB-CB3E-416B-90DB-1E3D4FD4A888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3" i="2" l="1"/>
  <c r="D22" i="2"/>
  <c r="C23" i="2" s="1"/>
  <c r="U23" i="2" s="1"/>
  <c r="D21" i="2"/>
  <c r="AA23" i="2"/>
  <c r="Z23" i="2"/>
  <c r="Y23" i="2"/>
  <c r="X23" i="2"/>
  <c r="W23" i="2"/>
  <c r="V23" i="2"/>
  <c r="AA22" i="2"/>
  <c r="Z22" i="2"/>
  <c r="Y22" i="2"/>
  <c r="X22" i="2"/>
  <c r="W22" i="2"/>
  <c r="AA21" i="2"/>
  <c r="Z21" i="2"/>
  <c r="Y21" i="2"/>
  <c r="X21" i="2"/>
  <c r="W21" i="2"/>
  <c r="V21" i="2"/>
  <c r="AA20" i="2"/>
  <c r="Z20" i="2"/>
  <c r="Y20" i="2"/>
  <c r="X20" i="2"/>
  <c r="W20" i="2"/>
  <c r="D20" i="2"/>
  <c r="AA19" i="2"/>
  <c r="Z19" i="2"/>
  <c r="Y19" i="2"/>
  <c r="X19" i="2"/>
  <c r="W19" i="2"/>
  <c r="D19" i="2"/>
  <c r="C20" i="2" s="1"/>
  <c r="D2" i="2"/>
  <c r="B20" i="2" s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T2" i="2"/>
  <c r="U2" i="2"/>
  <c r="W15" i="2"/>
  <c r="X15" i="2"/>
  <c r="Y15" i="2"/>
  <c r="Z15" i="2"/>
  <c r="AA15" i="2"/>
  <c r="W3" i="2"/>
  <c r="W4" i="2"/>
  <c r="W5" i="2"/>
  <c r="W6" i="2"/>
  <c r="W7" i="2"/>
  <c r="W8" i="2"/>
  <c r="W9" i="2"/>
  <c r="W10" i="2"/>
  <c r="W11" i="2"/>
  <c r="W12" i="2"/>
  <c r="W13" i="2"/>
  <c r="W14" i="2"/>
  <c r="W2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Z9" i="2"/>
  <c r="Y9" i="2"/>
  <c r="X9" i="2"/>
  <c r="AA9" i="2"/>
  <c r="Z8" i="2"/>
  <c r="Y8" i="2"/>
  <c r="X8" i="2"/>
  <c r="AA8" i="2"/>
  <c r="Z7" i="2"/>
  <c r="Y7" i="2"/>
  <c r="X7" i="2"/>
  <c r="AA7" i="2"/>
  <c r="Z6" i="2"/>
  <c r="Y6" i="2"/>
  <c r="X6" i="2"/>
  <c r="AA6" i="2"/>
  <c r="Z5" i="2"/>
  <c r="Y5" i="2"/>
  <c r="X5" i="2"/>
  <c r="AA5" i="2"/>
  <c r="Z4" i="2"/>
  <c r="Y4" i="2"/>
  <c r="X4" i="2"/>
  <c r="AA4" i="2"/>
  <c r="Z3" i="2"/>
  <c r="Y3" i="2"/>
  <c r="X3" i="2"/>
  <c r="AA3" i="2"/>
  <c r="Z2" i="2"/>
  <c r="Y2" i="2"/>
  <c r="X2" i="2"/>
  <c r="AA2" i="2"/>
  <c r="B21" i="2" l="1"/>
  <c r="T21" i="2" s="1"/>
  <c r="C21" i="2"/>
  <c r="U21" i="2" s="1"/>
  <c r="B22" i="2"/>
  <c r="T22" i="2" s="1"/>
  <c r="B23" i="2"/>
  <c r="T23" i="2" s="1"/>
  <c r="C22" i="2"/>
  <c r="U22" i="2" s="1"/>
  <c r="V22" i="2"/>
  <c r="T20" i="2"/>
  <c r="V20" i="2"/>
  <c r="B7" i="2"/>
  <c r="B12" i="2"/>
  <c r="U20" i="2"/>
  <c r="B11" i="2"/>
  <c r="B10" i="2"/>
  <c r="B14" i="2"/>
  <c r="C13" i="2"/>
  <c r="B4" i="2"/>
  <c r="C6" i="2"/>
  <c r="B5" i="2"/>
  <c r="B19" i="2"/>
  <c r="C3" i="2"/>
  <c r="V19" i="2"/>
  <c r="B18" i="2"/>
  <c r="B16" i="2"/>
  <c r="B17" i="2"/>
  <c r="C19" i="2"/>
  <c r="B3" i="2"/>
  <c r="B9" i="2"/>
  <c r="C16" i="2"/>
  <c r="C9" i="2"/>
  <c r="V18" i="2"/>
  <c r="B15" i="2"/>
  <c r="C7" i="2"/>
  <c r="B13" i="2"/>
  <c r="C15" i="2"/>
  <c r="B8" i="2"/>
  <c r="B6" i="2"/>
  <c r="C5" i="2"/>
  <c r="C11" i="2"/>
  <c r="C4" i="2"/>
  <c r="C17" i="2"/>
  <c r="C10" i="2"/>
  <c r="C8" i="2"/>
  <c r="C14" i="2"/>
  <c r="C12" i="2"/>
  <c r="C18" i="2"/>
  <c r="V17" i="2"/>
  <c r="V2" i="2"/>
  <c r="V13" i="2"/>
  <c r="V10" i="2"/>
  <c r="V11" i="2"/>
  <c r="V9" i="2"/>
  <c r="V8" i="2"/>
  <c r="V3" i="2"/>
  <c r="V7" i="2"/>
  <c r="V6" i="2"/>
  <c r="V4" i="2"/>
  <c r="V16" i="2"/>
  <c r="V5" i="2"/>
  <c r="V15" i="2"/>
  <c r="V14" i="2"/>
  <c r="V12" i="2"/>
  <c r="T17" i="2" l="1"/>
  <c r="T18" i="2"/>
  <c r="T19" i="2"/>
  <c r="U19" i="2"/>
  <c r="U17" i="2"/>
  <c r="T6" i="2"/>
  <c r="U18" i="2"/>
  <c r="T7" i="2"/>
  <c r="U5" i="2"/>
  <c r="U15" i="2"/>
  <c r="U14" i="2"/>
  <c r="T10" i="2"/>
  <c r="T9" i="2"/>
  <c r="U3" i="2"/>
  <c r="U8" i="2"/>
  <c r="U7" i="2"/>
  <c r="T8" i="2"/>
  <c r="U4" i="2"/>
  <c r="U6" i="2"/>
  <c r="U10" i="2"/>
  <c r="T11" i="2"/>
  <c r="T4" i="2"/>
  <c r="U13" i="2"/>
  <c r="T16" i="2"/>
  <c r="U16" i="2"/>
  <c r="U9" i="2"/>
  <c r="U11" i="2"/>
  <c r="T5" i="2"/>
  <c r="T3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<sst xmlns="http://schemas.openxmlformats.org/spreadsheetml/2006/main" count="93" uniqueCount="43">
  <si>
    <t>H22</t>
  </si>
  <si>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</si>
  <si>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</si>
  <si>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</si>
  <si>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</si>
  <si>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</si>
  <si>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</si>
  <si>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</si>
  <si>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</si>
  <si>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</si>
  <si>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</si>
  <si>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</si>
  <si>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</si>
  <si>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</si>
  <si>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</si>
  <si>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</si>
  <si>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</si>
  <si>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第一</t>
  </si>
  <si>
    <t>上一</t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</si>
  <si>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</si>
  <si>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</si>
  <si>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</si>
  <si>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</si>
  <si>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</si>
  <si>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</si>
  <si>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H36</t>
  </si>
  <si>
    <t>H37</t>
    <phoneticPr fontId="2" type="noConversion"/>
  </si>
  <si>
    <t>H38</t>
    <phoneticPr fontId="2" type="noConversion"/>
  </si>
  <si>
    <t>H39</t>
    <phoneticPr fontId="2" type="noConversion"/>
  </si>
  <si>
    <t>H40</t>
  </si>
  <si>
    <t>H38</t>
  </si>
  <si>
    <t>H39</t>
  </si>
  <si>
    <t>H41</t>
  </si>
  <si>
    <t>H42</t>
  </si>
  <si>
    <t>H43</t>
  </si>
  <si>
    <t>H37</t>
  </si>
  <si>
    <t>B</t>
  </si>
  <si>
    <t>mak</t>
  </si>
  <si>
    <t>gen</t>
  </si>
  <si>
    <t>总计</t>
  </si>
  <si>
    <t>H22</t>
    <phoneticPr fontId="2" type="noConversion"/>
  </si>
  <si>
    <t>H40</t>
    <phoneticPr fontId="2" type="noConversion"/>
  </si>
  <si>
    <t>H36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</si>
</sst>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1" fillId="0" borderId="1" xfId="0" applyNumberFormat="1" applyFont="1" applyBorder="1" applyAlignment="1">
      <alignment horizontal="left" vertical="center" wrapText="1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24"/>
  <sheetViews>
    <sheetView tabSelected="1" workbookViewId="0"/>
  </sheetViews>
  <sheetFormatPr defaultColWidth="7.625" defaultRowHeight="14.25" customHeight="1" x14ac:dyDescent="0.2"/>
  <cols>
    <col min="1" max="1" width="7.625" style="13"/>
    <col min="2" max="3" width="7.625" style="9"/>
    <col min="4" max="4" width="7.625" style="9" customWidth="1"/>
    <col min="5" max="8" width="7.625" style="9"/>
    <col min="9" max="9" width="7.625" style="10"/>
    <col min="10" max="10" width="7.625" style="13"/>
    <col min="11" max="17" width="7.625" style="9"/>
    <col min="18" max="18" width="7.625" style="10"/>
    <col min="19" max="19" width="7.625" style="13"/>
    <col min="20" max="26" width="7.625" style="9"/>
    <col min="27" max="27" width="7.625" style="10"/>
    <col min="28" max="28" width="7.625" style="13"/>
    <col min="29" max="16384" width="7.625" style="9"/>
  </cols>
  <sheetData>
    <row r="1" spans="1:27" ht="14.25" customHeight="1" x14ac:dyDescent="0.2">
      <c r="A1" s="12" t="s">
        <v>16</v>
      </c>
      <c r="B1" s="2" t="s">
        <v>15</v>
      </c>
      <c r="C1" s="2" t="s">
        <v>14</v>
      </c>
      <c r="D1" s="1" t="s">
        <v>19</v>
      </c>
      <c r="E1" s="1" t="s">
        <v>23</v>
      </c>
      <c r="F1" s="1" t="s">
        <v>11</v>
      </c>
      <c r="G1" s="1" t="s">
        <v>12</v>
      </c>
      <c r="H1" s="1" t="s">
        <v>13</v>
      </c>
      <c r="I1" s="3" t="s">
        <v>20</v>
      </c>
      <c r="J1" s="11" t="s">
        <v>36</v>
      </c>
      <c r="K1" s="2" t="s">
        <v>17</v>
      </c>
      <c r="L1" s="2" t="s">
        <v>18</v>
      </c>
      <c r="M1" s="1" t="s">
        <v>39</v>
      </c>
      <c r="N1" s="1" t="s">
        <v>37</v>
      </c>
      <c r="O1" s="1" t="s">
        <v>11</v>
      </c>
      <c r="P1" s="1" t="s">
        <v>12</v>
      </c>
      <c r="Q1" s="1" t="s">
        <v>13</v>
      </c>
      <c r="R1" s="3" t="s">
        <v>38</v>
      </c>
      <c r="S1" s="12" t="s">
        <v>16</v>
      </c>
      <c r="T1" s="2" t="s">
        <v>15</v>
      </c>
      <c r="U1" s="2" t="s">
        <v>14</v>
      </c>
      <c r="V1" s="1" t="s">
        <v>19</v>
      </c>
      <c r="W1" s="1" t="s">
        <v>23</v>
      </c>
      <c r="X1" s="1" t="s">
        <v>11</v>
      </c>
      <c r="Y1" s="1" t="s">
        <v>12</v>
      </c>
      <c r="Z1" s="1" t="s">
        <v>13</v>
      </c>
      <c r="AA1" s="3" t="s">
        <v>20</v>
      </c>
    </row>
    <row r="2" spans="1:27" ht="14.25" customHeight="1" x14ac:dyDescent="0.2">
      <c r="A2" s="16" t="s">
        <v>40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6" t="s">
        <v>0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6" t="s">
        <v>40</v>
      </c>
      <c r="T2" s="5">
        <f>ROUND(B2/K2,3)</f>
        <v>1</v>
      </c>
      <c r="U2" s="5">
        <f>ROUND(C2/L2,3)</f>
        <v>1</v>
      </c>
      <c r="V2" s="4">
        <f>ROUND(D2/M2,3)</f>
        <v>12.055</v>
      </c>
      <c r="W2" s="5">
        <f>ROUND(E2/N2,3)</f>
        <v>3.9340000000000002</v>
      </c>
      <c r="X2" s="8">
        <f>ROUND(F2/O2,3)</f>
        <v>26.54</v>
      </c>
      <c r="Y2" s="8">
        <f>ROUND(G2/P2,3)</f>
        <v>9.3119999999999994</v>
      </c>
      <c r="Z2" s="8">
        <f>ROUND(H2/Q2,3)</f>
        <v>9.3569999999999993</v>
      </c>
      <c r="AA2" s="7">
        <f>ROUND(I2/R2,3)</f>
        <v>8.6300000000000008</v>
      </c>
    </row>
    <row r="3" spans="1:27" ht="14.25" customHeight="1" x14ac:dyDescent="0.2">
      <c r="A3" s="16" t="s">
        <v>1</v>
      </c>
      <c r="B3" s="2">
        <f>D$2/D3</f>
        <v>1.5134695843241126</v>
      </c>
      <c r="C3" s="2">
        <f>D2/D3</f>
        <v>1.5134695843241126</v>
      </c>
      <c r="D3" s="6">
        <f t="shared" ref="D3:D14" si="0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6" t="s">
        <v>1</v>
      </c>
      <c r="K3" s="2">
        <v>1.4359982525120139</v>
      </c>
      <c r="L3" s="2"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6" t="s">
        <v>1</v>
      </c>
      <c r="T3" s="2">
        <f>ROUND(B3/K3,3)</f>
        <v>1.054</v>
      </c>
      <c r="U3" s="2">
        <f>ROUND(C3/L3,3)</f>
        <v>0.83099999999999996</v>
      </c>
      <c r="V3" s="6">
        <f>ROUND(D3/M3,3)</f>
        <v>14.513999999999999</v>
      </c>
      <c r="W3" s="5">
        <f>ROUND(E3/N3,3)</f>
        <v>4.048</v>
      </c>
      <c r="X3" s="8">
        <f>ROUND(F3/O3,3)</f>
        <v>26.024000000000001</v>
      </c>
      <c r="Y3" s="8">
        <f>ROUND(G3/P3,3)</f>
        <v>9.9009999999999998</v>
      </c>
      <c r="Z3" s="1">
        <f>ROUND(H3/Q3,3)</f>
        <v>4.8689999999999998</v>
      </c>
      <c r="AA3" s="7">
        <f>ROUND(I3/R3,3)</f>
        <v>8.7550000000000008</v>
      </c>
    </row>
    <row r="4" spans="1:27" ht="14.25" customHeight="1" x14ac:dyDescent="0.2">
      <c r="A4" s="16" t="s">
        <v>2</v>
      </c>
      <c r="B4" s="2">
        <f t="shared" ref="B4:B12" si="1">D$2/D4</f>
        <v>2.0672614397894993</v>
      </c>
      <c r="C4" s="2">
        <f t="shared" ref="C4:C12" si="2">D3/D4</f>
        <v>1.3659088105907988</v>
      </c>
      <c r="D4" s="6">
        <f t="shared" si="0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6" t="s">
        <v>2</v>
      </c>
      <c r="K4" s="2">
        <v>1.5644930985245118</v>
      </c>
      <c r="L4" s="2">
        <v>1.0894811994288434</v>
      </c>
      <c r="M4" s="6"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6" t="s">
        <v>2</v>
      </c>
      <c r="T4" s="2">
        <f>ROUND(B4/K4,3)</f>
        <v>1.321</v>
      </c>
      <c r="U4" s="2">
        <f>ROUND(C4/L4,3)</f>
        <v>1.254</v>
      </c>
      <c r="V4" s="6">
        <f>ROUND(D4/M4,3)</f>
        <v>11.577</v>
      </c>
      <c r="W4" s="5">
        <f>ROUND(E4/N4,3)</f>
        <v>4.0250000000000004</v>
      </c>
      <c r="X4" s="1">
        <f>ROUND(F4/O4,3)</f>
        <v>19.100999999999999</v>
      </c>
      <c r="Y4" s="8">
        <f>ROUND(G4/P4,3)</f>
        <v>9.5429999999999993</v>
      </c>
      <c r="Z4" s="8">
        <f>ROUND(H4/Q4,3)</f>
        <v>4.7830000000000004</v>
      </c>
      <c r="AA4" s="7">
        <f>ROUND(I4/R4,3)</f>
        <v>8.7110000000000003</v>
      </c>
    </row>
    <row r="5" spans="1:27" ht="14.25" customHeight="1" x14ac:dyDescent="0.2">
      <c r="A5" s="16" t="s">
        <v>3</v>
      </c>
      <c r="B5" s="2">
        <f t="shared" si="1"/>
        <v>2.2113642360805694</v>
      </c>
      <c r="C5" s="2">
        <f t="shared" si="2"/>
        <v>1.0697070982496262</v>
      </c>
      <c r="D5" s="6">
        <f t="shared" si="0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6" t="s">
        <v>3</v>
      </c>
      <c r="K5" s="2">
        <v>2.7075782537067541</v>
      </c>
      <c r="L5" s="2">
        <v>1.7306425041186162</v>
      </c>
      <c r="M5" s="6"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6" t="s">
        <v>3</v>
      </c>
      <c r="T5" s="2">
        <f>ROUND(B5/K5,3)</f>
        <v>0.81699999999999995</v>
      </c>
      <c r="U5" s="2">
        <f>ROUND(C5/L5,3)</f>
        <v>0.61799999999999999</v>
      </c>
      <c r="V5" s="6">
        <f>ROUND(D5/M5,3)</f>
        <v>18.73</v>
      </c>
      <c r="W5" s="5">
        <f>ROUND(E5/N5,3)</f>
        <v>4.1609999999999996</v>
      </c>
      <c r="X5" s="8">
        <f>ROUND(F5/O5,3)</f>
        <v>19.146999999999998</v>
      </c>
      <c r="Y5" s="1">
        <f>ROUND(G5/P5,3)</f>
        <v>19.707999999999998</v>
      </c>
      <c r="Z5" s="8">
        <f>ROUND(H5/Q5,3)</f>
        <v>4.6719999999999997</v>
      </c>
      <c r="AA5" s="7">
        <f>ROUND(I5/R5,3)</f>
        <v>8.7149999999999999</v>
      </c>
    </row>
    <row r="6" spans="1:27" ht="14.25" customHeight="1" x14ac:dyDescent="0.2">
      <c r="A6" s="16" t="s">
        <v>4</v>
      </c>
      <c r="B6" s="5">
        <f t="shared" si="1"/>
        <v>2.2125319017864999</v>
      </c>
      <c r="C6" s="5">
        <f t="shared" si="2"/>
        <v>1.0005280295696561</v>
      </c>
      <c r="D6" s="4">
        <f t="shared" si="0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6" t="s">
        <v>4</v>
      </c>
      <c r="K6" s="5">
        <v>2.714285714285714</v>
      </c>
      <c r="L6" s="5">
        <v>1.0024772914946325</v>
      </c>
      <c r="M6" s="4"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6" t="s">
        <v>4</v>
      </c>
      <c r="T6" s="5">
        <f>ROUND(B6/K6,3)</f>
        <v>0.81499999999999995</v>
      </c>
      <c r="U6" s="5">
        <f>ROUND(C6/L6,3)</f>
        <v>0.998</v>
      </c>
      <c r="V6" s="4">
        <f>ROUND(D6/M6,3)</f>
        <v>18.765999999999998</v>
      </c>
      <c r="W6" s="5">
        <f>ROUND(E6/N6,3)</f>
        <v>4.1349999999999998</v>
      </c>
      <c r="X6" s="8">
        <f>ROUND(F6/O6,3)</f>
        <v>19.414999999999999</v>
      </c>
      <c r="Y6" s="8">
        <f>ROUND(G6/P6,3)</f>
        <v>19.652000000000001</v>
      </c>
      <c r="Z6" s="8">
        <f>ROUND(H6/Q6,3)</f>
        <v>4.4290000000000003</v>
      </c>
      <c r="AA6" s="3">
        <f>ROUND(I6/R6,3)</f>
        <v>18.384</v>
      </c>
    </row>
    <row r="7" spans="1:27" ht="14.25" customHeight="1" x14ac:dyDescent="0.2">
      <c r="A7" s="16" t="s">
        <v>5</v>
      </c>
      <c r="B7" s="5">
        <f t="shared" si="1"/>
        <v>2.1726656008296241</v>
      </c>
      <c r="C7" s="5">
        <f t="shared" si="2"/>
        <v>0.98198159270621777</v>
      </c>
      <c r="D7" s="4">
        <f t="shared" si="0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6" t="s">
        <v>5</v>
      </c>
      <c r="K7" s="5">
        <v>2.81180496150556</v>
      </c>
      <c r="L7" s="5">
        <v>1.0359281437125749</v>
      </c>
      <c r="M7" s="4"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6" t="s">
        <v>5</v>
      </c>
      <c r="T7" s="5">
        <f>ROUND(B7/K7,3)</f>
        <v>0.77300000000000002</v>
      </c>
      <c r="U7" s="5">
        <f>ROUND(C7/L7,3)</f>
        <v>0.94799999999999995</v>
      </c>
      <c r="V7" s="4">
        <f>ROUND(D7/M7,3)</f>
        <v>19.797000000000001</v>
      </c>
      <c r="W7" s="5">
        <f>ROUND(E7/N7,3)</f>
        <v>5.1959999999999997</v>
      </c>
      <c r="X7" s="8">
        <f>ROUND(F7/O7,3)</f>
        <v>20.858000000000001</v>
      </c>
      <c r="Y7" s="8">
        <f>ROUND(G7/P7,3)</f>
        <v>19.635000000000002</v>
      </c>
      <c r="Z7" s="1">
        <f>ROUND(H7/Q7,3)</f>
        <v>5.3330000000000002</v>
      </c>
      <c r="AA7" s="7">
        <f>ROUND(I7/R7,3)</f>
        <v>18.675999999999998</v>
      </c>
    </row>
    <row r="8" spans="1:27" ht="14.25" customHeight="1" x14ac:dyDescent="0.2">
      <c r="A8" s="16" t="s">
        <v>6</v>
      </c>
      <c r="B8" s="5">
        <f t="shared" si="1"/>
        <v>2.1582110052365007</v>
      </c>
      <c r="C8" s="5">
        <f t="shared" si="2"/>
        <v>0.99334706841789</v>
      </c>
      <c r="D8" s="4">
        <f t="shared" si="0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6" t="s">
        <v>6</v>
      </c>
      <c r="K8" s="5">
        <v>2.8287435456110153</v>
      </c>
      <c r="L8" s="5">
        <v>1.0060240963855422</v>
      </c>
      <c r="M8" s="4"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6" t="s">
        <v>6</v>
      </c>
      <c r="T8" s="5">
        <f>ROUND(B8/K8,3)</f>
        <v>0.76300000000000001</v>
      </c>
      <c r="U8" s="5">
        <f>ROUND(C8/L8,3)</f>
        <v>0.98699999999999999</v>
      </c>
      <c r="V8" s="4">
        <f>ROUND(D8/M8,3)</f>
        <v>20.05</v>
      </c>
      <c r="W8" s="5">
        <f>ROUND(E8/N8,3)</f>
        <v>5.5</v>
      </c>
      <c r="X8" s="8">
        <f>ROUND(F8/O8,3)</f>
        <v>20.789000000000001</v>
      </c>
      <c r="Y8" s="8">
        <f>ROUND(G8/P8,3)</f>
        <v>20.132999999999999</v>
      </c>
      <c r="Z8" s="8">
        <f>ROUND(H8/Q8,3)</f>
        <v>5</v>
      </c>
      <c r="AA8" s="7">
        <f>ROUND(I8/R8,3)</f>
        <v>19.082999999999998</v>
      </c>
    </row>
    <row r="9" spans="1:27" ht="14.25" customHeight="1" x14ac:dyDescent="0.2">
      <c r="A9" s="16" t="s">
        <v>7</v>
      </c>
      <c r="B9" s="5">
        <f t="shared" si="1"/>
        <v>2.1661138155343984</v>
      </c>
      <c r="C9" s="5">
        <f t="shared" si="2"/>
        <v>1.0036617412656701</v>
      </c>
      <c r="D9" s="4">
        <f t="shared" si="0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6" t="s">
        <v>7</v>
      </c>
      <c r="K9" s="5">
        <v>2.81180496150556</v>
      </c>
      <c r="L9" s="5">
        <v>0.99401197604790414</v>
      </c>
      <c r="M9" s="4"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6" t="s">
        <v>7</v>
      </c>
      <c r="T9" s="5">
        <f>ROUND(B9/K9,3)</f>
        <v>0.77</v>
      </c>
      <c r="U9" s="5">
        <f>ROUND(C9/L9,3)</f>
        <v>1.01</v>
      </c>
      <c r="V9" s="4">
        <f>ROUND(D9/M9,3)</f>
        <v>19.856999999999999</v>
      </c>
      <c r="W9" s="5">
        <f>ROUND(E9/N9,3)</f>
        <v>5.4349999999999996</v>
      </c>
      <c r="X9" s="8">
        <f>ROUND(F9/O9,3)</f>
        <v>21.099</v>
      </c>
      <c r="Y9" s="8">
        <f>ROUND(G9/P9,3)</f>
        <v>19.597999999999999</v>
      </c>
      <c r="Z9" s="8">
        <f>ROUND(H9/Q9,3)</f>
        <v>4.9640000000000004</v>
      </c>
      <c r="AA9" s="7">
        <f>ROUND(I9/R9,3)</f>
        <v>18.600000000000001</v>
      </c>
    </row>
    <row r="10" spans="1:27" ht="14.25" customHeight="1" x14ac:dyDescent="0.2">
      <c r="A10" s="16" t="s">
        <v>8</v>
      </c>
      <c r="B10" s="5">
        <f t="shared" si="1"/>
        <v>2.1769926830324287</v>
      </c>
      <c r="C10" s="5">
        <f t="shared" si="2"/>
        <v>1.0050222972680436</v>
      </c>
      <c r="D10" s="4">
        <f t="shared" si="0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6" t="s">
        <v>8</v>
      </c>
      <c r="K10" s="5">
        <v>2.8458874458874459</v>
      </c>
      <c r="L10" s="5">
        <v>1.0121212121212122</v>
      </c>
      <c r="M10" s="4"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6" t="s">
        <v>8</v>
      </c>
      <c r="T10" s="5">
        <f>ROUND(B10/K10,3)</f>
        <v>0.76500000000000001</v>
      </c>
      <c r="U10" s="5">
        <f>ROUND(C10/L10,3)</f>
        <v>0.99299999999999999</v>
      </c>
      <c r="V10" s="4">
        <f>ROUND(D10/M10,3)</f>
        <v>19.997</v>
      </c>
      <c r="W10" s="2">
        <f>ROUND(E10/N10,3)</f>
        <v>3.331</v>
      </c>
      <c r="X10" s="8">
        <f>ROUND(F10/O10,3)</f>
        <v>20.896000000000001</v>
      </c>
      <c r="Y10" s="8">
        <f>ROUND(G10/P10,3)</f>
        <v>19.998000000000001</v>
      </c>
      <c r="Z10" s="8">
        <f>ROUND(H10/Q10,3)</f>
        <v>4.8929999999999998</v>
      </c>
      <c r="AA10" s="7">
        <f>ROUND(I10/R10,3)</f>
        <v>18.832000000000001</v>
      </c>
    </row>
    <row r="11" spans="1:27" ht="14.25" customHeight="1" x14ac:dyDescent="0.2">
      <c r="A11" s="16" t="s">
        <v>9</v>
      </c>
      <c r="B11" s="2">
        <f t="shared" si="1"/>
        <v>2.6913236632232507</v>
      </c>
      <c r="C11" s="2">
        <f t="shared" si="2"/>
        <v>1.23625756034898</v>
      </c>
      <c r="D11" s="6">
        <f t="shared" si="0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6" t="s">
        <v>9</v>
      </c>
      <c r="K11" s="2">
        <v>3.1394460362941738</v>
      </c>
      <c r="L11" s="2">
        <v>1.1031518624641834</v>
      </c>
      <c r="M11" s="6"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6" t="s">
        <v>9</v>
      </c>
      <c r="T11" s="2">
        <f>ROUND(B11/K11,3)</f>
        <v>0.85699999999999998</v>
      </c>
      <c r="U11" s="2">
        <f>ROUND(C11/L11,3)</f>
        <v>1.121</v>
      </c>
      <c r="V11" s="6">
        <f>ROUND(D11/M11,3)</f>
        <v>17.844000000000001</v>
      </c>
      <c r="W11" s="5">
        <f>ROUND(E11/N11,3)</f>
        <v>2.9060000000000001</v>
      </c>
      <c r="X11" s="1">
        <f>ROUND(F11/O11,3)</f>
        <v>29.065999999999999</v>
      </c>
      <c r="Y11" s="8">
        <f>ROUND(G11/P11,3)</f>
        <v>15.778</v>
      </c>
      <c r="Z11" s="8">
        <f>ROUND(H11/Q11,3)</f>
        <v>5.8520000000000003</v>
      </c>
      <c r="AA11" s="7">
        <f>ROUND(I11/R11,3)</f>
        <v>14.332000000000001</v>
      </c>
    </row>
    <row r="12" spans="1:27" ht="14.25" customHeight="1" x14ac:dyDescent="0.2">
      <c r="A12" s="16" t="s">
        <v>10</v>
      </c>
      <c r="B12" s="2">
        <f t="shared" si="1"/>
        <v>2.9142227889185115</v>
      </c>
      <c r="C12" s="2">
        <f t="shared" si="2"/>
        <v>1.0828213747536803</v>
      </c>
      <c r="D12" s="6">
        <f t="shared" si="0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6" t="s">
        <v>10</v>
      </c>
      <c r="K12" s="2">
        <v>3.853458382180539</v>
      </c>
      <c r="L12" s="2">
        <v>1.227432590855803</v>
      </c>
      <c r="M12" s="6"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6" t="s">
        <v>10</v>
      </c>
      <c r="T12" s="2">
        <f>ROUND(B12/K12,3)</f>
        <v>0.75600000000000001</v>
      </c>
      <c r="U12" s="2">
        <f>ROUND(C12/L12,3)</f>
        <v>0.88200000000000001</v>
      </c>
      <c r="V12" s="6">
        <f>ROUND(D12/M12,3)</f>
        <v>20.227</v>
      </c>
      <c r="W12" s="5">
        <f>ROUND(E12/N12,3)</f>
        <v>2.89</v>
      </c>
      <c r="X12" s="8">
        <f>ROUND(F12/O12,3)</f>
        <v>29.167999999999999</v>
      </c>
      <c r="Y12" s="1">
        <f>ROUND(G12/P12,3)</f>
        <v>18.408999999999999</v>
      </c>
      <c r="Z12" s="8">
        <f>ROUND(H12/Q12,3)</f>
        <v>5.0359999999999996</v>
      </c>
      <c r="AA12" s="3">
        <f>ROUND(I12/R12,3)</f>
        <v>17.266999999999999</v>
      </c>
    </row>
    <row r="13" spans="1:27" ht="14.25" customHeight="1" x14ac:dyDescent="0.2">
      <c r="A13" s="17" t="s">
        <v>21</v>
      </c>
      <c r="B13" s="2">
        <f t="shared" ref="B13:B14" si="3">D$2/D13</f>
        <v>3.3354560530679929</v>
      </c>
      <c r="C13" s="2">
        <f t="shared" ref="C13:C14" si="4">D12/D13</f>
        <v>1.1445439469320067</v>
      </c>
      <c r="D13" s="6">
        <f t="shared" si="0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7" t="s">
        <v>21</v>
      </c>
      <c r="K13" s="2">
        <v>4.1345911949685537</v>
      </c>
      <c r="L13" s="2">
        <v>1.0729559748427673</v>
      </c>
      <c r="M13" s="6"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7" t="s">
        <v>21</v>
      </c>
      <c r="T13" s="2">
        <f>ROUND(B13/K13,3)</f>
        <v>0.80700000000000005</v>
      </c>
      <c r="U13" s="2">
        <f>ROUND(C13/L13,3)</f>
        <v>1.0669999999999999</v>
      </c>
      <c r="V13" s="6">
        <f>ROUND(D13/M13,3)</f>
        <v>18.962</v>
      </c>
      <c r="W13" s="5">
        <f>ROUND(E13/N13,3)</f>
        <v>2.8740000000000001</v>
      </c>
      <c r="X13" s="1">
        <f>ROUND(F13/O13,3)</f>
        <v>26.5</v>
      </c>
      <c r="Y13" s="8">
        <f>ROUND(G13/P13,3)</f>
        <v>18.175999999999998</v>
      </c>
      <c r="Z13" s="8">
        <f>ROUND(H13/Q13,3)</f>
        <v>5.556</v>
      </c>
      <c r="AA13" s="7">
        <f>ROUND(I13/R13,3)</f>
        <v>17.234000000000002</v>
      </c>
    </row>
    <row r="14" spans="1:27" ht="14.25" customHeight="1" x14ac:dyDescent="0.2">
      <c r="A14" s="18" t="s">
        <v>22</v>
      </c>
      <c r="B14" s="5">
        <f t="shared" si="3"/>
        <v>3.3443298969072162</v>
      </c>
      <c r="C14" s="5">
        <f t="shared" si="4"/>
        <v>1.0026604589291652</v>
      </c>
      <c r="D14" s="4">
        <f t="shared" si="0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8" t="s">
        <v>22</v>
      </c>
      <c r="K14" s="5">
        <v>4.2087067861715743</v>
      </c>
      <c r="L14" s="5">
        <v>1.0179257362355951</v>
      </c>
      <c r="M14" s="4"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8" t="s">
        <v>22</v>
      </c>
      <c r="T14" s="5">
        <f>ROUND(B14/K14,3)</f>
        <v>0.79500000000000004</v>
      </c>
      <c r="U14" s="5">
        <f>ROUND(C14/L14,3)</f>
        <v>0.98499999999999999</v>
      </c>
      <c r="V14" s="4">
        <f>ROUND(D14/M14,3)</f>
        <v>19.251000000000001</v>
      </c>
      <c r="W14" s="5">
        <f>ROUND(E14/N14,3)</f>
        <v>2.931</v>
      </c>
      <c r="X14" s="1">
        <f>ROUND(F14/O14,3)</f>
        <v>27.292000000000002</v>
      </c>
      <c r="Y14" s="8">
        <f>ROUND(G14/P14,3)</f>
        <v>18.422999999999998</v>
      </c>
      <c r="Z14" s="8">
        <f>ROUND(H14/Q14,3)</f>
        <v>5.2590000000000003</v>
      </c>
      <c r="AA14" s="7">
        <f>ROUND(I14/R14,3)</f>
        <v>17.510000000000002</v>
      </c>
    </row>
    <row r="15" spans="1:27" ht="14.25" customHeight="1" x14ac:dyDescent="0.2">
      <c r="A15" s="18" t="s">
        <v>24</v>
      </c>
      <c r="B15" s="2">
        <f t="shared" ref="B15" si="5">D$2/D15</f>
        <v>4.2789549825546755</v>
      </c>
      <c r="C15" s="2">
        <f t="shared" ref="C15" si="6">D14/D15</f>
        <v>1.2794655773976682</v>
      </c>
      <c r="D15" s="6">
        <f t="shared" ref="D15:D20" si="7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8" t="s">
        <v>24</v>
      </c>
      <c r="K15" s="2">
        <v>4.533793103448275</v>
      </c>
      <c r="L15" s="2">
        <v>1.0772413793103448</v>
      </c>
      <c r="M15" s="6"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8" t="s">
        <v>24</v>
      </c>
      <c r="T15" s="2">
        <f>ROUND(B15/K15,3)</f>
        <v>0.94399999999999995</v>
      </c>
      <c r="U15" s="2">
        <f>ROUND(C15/L15,3)</f>
        <v>1.1879999999999999</v>
      </c>
      <c r="V15" s="6">
        <f>ROUND(D15/M15,3)</f>
        <v>16.207999999999998</v>
      </c>
      <c r="W15" s="5">
        <f>ROUND(E15/N15,3)</f>
        <v>2.9950000000000001</v>
      </c>
      <c r="X15" s="8">
        <f>ROUND(F15/O15,3)</f>
        <v>26.939</v>
      </c>
      <c r="Y15" s="1">
        <f>ROUND(G15/P15,3)</f>
        <v>14.622</v>
      </c>
      <c r="Z15" s="8">
        <f>ROUND(H15/Q15,3)</f>
        <v>5.1070000000000002</v>
      </c>
      <c r="AA15" s="3">
        <f>ROUND(I15/R15,3)</f>
        <v>12.804</v>
      </c>
    </row>
    <row r="16" spans="1:27" ht="14.25" customHeight="1" x14ac:dyDescent="0.2">
      <c r="A16" s="18" t="s">
        <v>42</v>
      </c>
      <c r="B16" s="5">
        <f t="shared" ref="B16" si="8">D$2/D16</f>
        <v>4.3257054370268406</v>
      </c>
      <c r="C16" s="5">
        <f t="shared" ref="C16" si="9">D15/D16</f>
        <v>1.0109256710254646</v>
      </c>
      <c r="D16" s="4">
        <f t="shared" si="7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8" t="s">
        <v>25</v>
      </c>
      <c r="K16" s="5">
        <v>4.5589459084604709</v>
      </c>
      <c r="L16" s="5">
        <v>1.0055478502080446</v>
      </c>
      <c r="M16" s="4"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8" t="s">
        <v>42</v>
      </c>
      <c r="T16" s="5">
        <f>ROUND(B16/K16,3)</f>
        <v>0.94899999999999995</v>
      </c>
      <c r="U16" s="5">
        <f>ROUND(C16/L16,3)</f>
        <v>1.0049999999999999</v>
      </c>
      <c r="V16" s="4">
        <f>ROUND(D16/M16,3)</f>
        <v>16.122</v>
      </c>
      <c r="W16" s="1">
        <f>ROUND(E16/N16,3)</f>
        <v>21.021999999999998</v>
      </c>
      <c r="X16" s="8">
        <f>ROUND(F16/O16,3)</f>
        <v>27.265000000000001</v>
      </c>
      <c r="Y16" s="8">
        <f>ROUND(G16/P16,3)</f>
        <v>14.452</v>
      </c>
      <c r="Z16" s="8">
        <f>ROUND(H16/Q16,3)</f>
        <v>5.75</v>
      </c>
      <c r="AA16" s="7">
        <f>ROUND(I16/R16,3)</f>
        <v>12.721</v>
      </c>
    </row>
    <row r="17" spans="1:27" ht="14.25" customHeight="1" x14ac:dyDescent="0.2">
      <c r="A17" s="18" t="s">
        <v>26</v>
      </c>
      <c r="B17" s="5">
        <f t="shared" ref="B17" si="10">D$2/D17</f>
        <v>4.3421416234887733</v>
      </c>
      <c r="C17" s="5">
        <f t="shared" ref="C17" si="11">D16/D17</f>
        <v>1.0037996545768566</v>
      </c>
      <c r="D17" s="4">
        <f t="shared" si="7"/>
        <v>115.8</v>
      </c>
      <c r="E17" s="19">
        <v>293.16000000000003</v>
      </c>
      <c r="F17" s="19">
        <v>30.57</v>
      </c>
      <c r="G17" s="14">
        <v>83.77</v>
      </c>
      <c r="H17" s="19">
        <v>1.46</v>
      </c>
      <c r="I17" s="19">
        <v>64.06</v>
      </c>
      <c r="J17" s="18" t="s">
        <v>35</v>
      </c>
      <c r="K17" s="5">
        <v>4.957767722473605</v>
      </c>
      <c r="L17" s="5">
        <v>1.0874811463046758</v>
      </c>
      <c r="M17" s="4">
        <v>6.629999999999999</v>
      </c>
      <c r="N17" s="19">
        <v>13.86</v>
      </c>
      <c r="O17" s="19">
        <v>1.1499999999999999</v>
      </c>
      <c r="P17" s="14">
        <v>5.21</v>
      </c>
      <c r="Q17" s="19">
        <v>0.27</v>
      </c>
      <c r="R17" s="19">
        <v>4.26</v>
      </c>
      <c r="S17" s="18" t="s">
        <v>26</v>
      </c>
      <c r="T17" s="5">
        <f>ROUND(B17/K17,3)</f>
        <v>0.876</v>
      </c>
      <c r="U17" s="5">
        <f>ROUND(C17/L17,3)</f>
        <v>0.92300000000000004</v>
      </c>
      <c r="V17" s="4">
        <f>ROUND(D17/M17,3)</f>
        <v>17.466000000000001</v>
      </c>
      <c r="W17" s="19">
        <f>ROUND(E17/N17,3)</f>
        <v>21.152000000000001</v>
      </c>
      <c r="X17" s="19">
        <f>ROUND(F17/O17,3)</f>
        <v>26.582999999999998</v>
      </c>
      <c r="Y17" s="14">
        <f>ROUND(G17/P17,3)</f>
        <v>16.079000000000001</v>
      </c>
      <c r="Z17" s="19">
        <f>ROUND(H17/Q17,3)</f>
        <v>5.407</v>
      </c>
      <c r="AA17" s="19">
        <f>ROUND(I17/R17,3)</f>
        <v>15.038</v>
      </c>
    </row>
    <row r="18" spans="1:27" ht="14.25" customHeight="1" x14ac:dyDescent="0.2">
      <c r="A18" s="18" t="s">
        <v>27</v>
      </c>
      <c r="B18" s="5">
        <f t="shared" ref="B18" si="12">D$2/D18</f>
        <v>4.3432668221473598</v>
      </c>
      <c r="C18" s="5">
        <f t="shared" ref="C18" si="13">D17/D18</f>
        <v>1.0002591344908005</v>
      </c>
      <c r="D18" s="4">
        <f t="shared" si="7"/>
        <v>115.77000000000001</v>
      </c>
      <c r="E18" s="19">
        <v>298.27</v>
      </c>
      <c r="F18" s="19">
        <v>30.43</v>
      </c>
      <c r="G18" s="14">
        <v>83.93</v>
      </c>
      <c r="H18" s="19">
        <v>1.41</v>
      </c>
      <c r="I18" s="15">
        <v>63.83</v>
      </c>
      <c r="J18" s="18" t="s">
        <v>30</v>
      </c>
      <c r="K18" s="5">
        <v>5.3621533442088092</v>
      </c>
      <c r="L18" s="5">
        <v>1.0815660685154975</v>
      </c>
      <c r="M18" s="4">
        <v>6.129999999999999</v>
      </c>
      <c r="N18" s="19">
        <v>13.93</v>
      </c>
      <c r="O18" s="19">
        <v>1.18</v>
      </c>
      <c r="P18" s="14">
        <v>4.68</v>
      </c>
      <c r="Q18" s="19">
        <v>0.27</v>
      </c>
      <c r="R18" s="15">
        <v>3.98</v>
      </c>
      <c r="S18" s="18" t="s">
        <v>27</v>
      </c>
      <c r="T18" s="5">
        <f>ROUND(B18/K18,3)</f>
        <v>0.81</v>
      </c>
      <c r="U18" s="5">
        <f>ROUND(C18/L18,3)</f>
        <v>0.92500000000000004</v>
      </c>
      <c r="V18" s="4">
        <f>ROUND(D18/M18,3)</f>
        <v>18.885999999999999</v>
      </c>
      <c r="W18" s="19">
        <f>ROUND(E18/N18,3)</f>
        <v>21.411999999999999</v>
      </c>
      <c r="X18" s="19">
        <f>ROUND(F18/O18,3)</f>
        <v>25.788</v>
      </c>
      <c r="Y18" s="14">
        <f>ROUND(G18/P18,3)</f>
        <v>17.934000000000001</v>
      </c>
      <c r="Z18" s="19">
        <f>ROUND(H18/Q18,3)</f>
        <v>5.2220000000000004</v>
      </c>
      <c r="AA18" s="15">
        <f>ROUND(I18/R18,3)</f>
        <v>16.038</v>
      </c>
    </row>
    <row r="19" spans="1:27" ht="14.25" customHeight="1" x14ac:dyDescent="0.2">
      <c r="A19" s="18" t="s">
        <v>28</v>
      </c>
      <c r="B19" s="5">
        <f t="shared" ref="B19" si="14">D$2/D19</f>
        <v>4.4906671429847274</v>
      </c>
      <c r="C19" s="5">
        <f t="shared" ref="C19" si="15">D18/D19</f>
        <v>1.0339376618737164</v>
      </c>
      <c r="D19" s="4">
        <f t="shared" si="7"/>
        <v>111.97</v>
      </c>
      <c r="E19" s="9">
        <v>292.86</v>
      </c>
      <c r="F19" s="9">
        <v>30.8</v>
      </c>
      <c r="G19" s="14">
        <v>79.72</v>
      </c>
      <c r="H19" s="9">
        <v>1.45</v>
      </c>
      <c r="I19" s="10">
        <v>62.95</v>
      </c>
      <c r="J19" s="18" t="s">
        <v>31</v>
      </c>
      <c r="K19" s="5">
        <v>6.0870370370370361</v>
      </c>
      <c r="L19" s="5">
        <v>1.1351851851851849</v>
      </c>
      <c r="M19" s="4">
        <v>5.4</v>
      </c>
      <c r="N19" s="9">
        <v>13.88</v>
      </c>
      <c r="O19" s="9">
        <v>1.1599999999999999</v>
      </c>
      <c r="P19" s="14">
        <v>3.97</v>
      </c>
      <c r="Q19" s="9">
        <v>0.27</v>
      </c>
      <c r="R19" s="10">
        <v>3.55</v>
      </c>
      <c r="S19" s="18" t="s">
        <v>28</v>
      </c>
      <c r="T19" s="5">
        <f>ROUND(B19/K19,3)</f>
        <v>0.73799999999999999</v>
      </c>
      <c r="U19" s="5">
        <f>ROUND(C19/L19,3)</f>
        <v>0.91100000000000003</v>
      </c>
      <c r="V19" s="4">
        <f>ROUND(D19/M19,3)</f>
        <v>20.734999999999999</v>
      </c>
      <c r="W19" s="9">
        <f>ROUND(E19/N19,3)</f>
        <v>21.099</v>
      </c>
      <c r="X19" s="9">
        <f>ROUND(F19/O19,3)</f>
        <v>26.552</v>
      </c>
      <c r="Y19" s="14">
        <f>ROUND(G19/P19,3)</f>
        <v>20.081</v>
      </c>
      <c r="Z19" s="9">
        <f>ROUND(H19/Q19,3)</f>
        <v>5.37</v>
      </c>
      <c r="AA19" s="10">
        <f>ROUND(I19/R19,3)</f>
        <v>17.731999999999999</v>
      </c>
    </row>
    <row r="20" spans="1:27" ht="14.25" customHeight="1" x14ac:dyDescent="0.2">
      <c r="A20" s="18" t="s">
        <v>41</v>
      </c>
      <c r="B20" s="5">
        <f t="shared" ref="B20" si="16">D$2/D20</f>
        <v>4.9858205255329686</v>
      </c>
      <c r="C20" s="5">
        <f t="shared" ref="C20" si="17">D19/D20</f>
        <v>1.1102627664848785</v>
      </c>
      <c r="D20" s="4">
        <f t="shared" si="7"/>
        <v>100.85000000000001</v>
      </c>
      <c r="E20" s="9">
        <v>297.58999999999997</v>
      </c>
      <c r="F20" s="9">
        <v>30.73</v>
      </c>
      <c r="G20" s="14">
        <v>68.73</v>
      </c>
      <c r="H20" s="9">
        <v>1.39</v>
      </c>
      <c r="I20" s="15">
        <v>54.16</v>
      </c>
      <c r="J20" s="18" t="s">
        <v>29</v>
      </c>
      <c r="K20" s="5">
        <v>6.0870370370370361</v>
      </c>
      <c r="L20" s="5">
        <v>1</v>
      </c>
      <c r="M20" s="4">
        <v>5.4</v>
      </c>
      <c r="N20" s="9">
        <v>13.8</v>
      </c>
      <c r="O20" s="9">
        <v>1.1299999999999999</v>
      </c>
      <c r="P20" s="14">
        <v>3.99</v>
      </c>
      <c r="Q20" s="9">
        <v>0.28000000000000003</v>
      </c>
      <c r="R20" s="15">
        <v>3.54</v>
      </c>
      <c r="S20" s="18" t="s">
        <v>41</v>
      </c>
      <c r="T20" s="5">
        <f>ROUND(B20/K20,3)</f>
        <v>0.81899999999999995</v>
      </c>
      <c r="U20" s="5">
        <f>ROUND(C20/L20,3)</f>
        <v>1.1100000000000001</v>
      </c>
      <c r="V20" s="4">
        <f>ROUND(D20/M20,3)</f>
        <v>18.675999999999998</v>
      </c>
      <c r="W20" s="9">
        <f>ROUND(E20/N20,3)</f>
        <v>21.564</v>
      </c>
      <c r="X20" s="9">
        <f>ROUND(F20/O20,3)</f>
        <v>27.195</v>
      </c>
      <c r="Y20" s="14">
        <f>ROUND(G20/P20,3)</f>
        <v>17.225999999999999</v>
      </c>
      <c r="Z20" s="9">
        <f>ROUND(H20/Q20,3)</f>
        <v>4.9640000000000004</v>
      </c>
      <c r="AA20" s="15">
        <f>ROUND(I20/R20,3)</f>
        <v>15.298999999999999</v>
      </c>
    </row>
    <row r="21" spans="1:27" ht="14.25" customHeight="1" x14ac:dyDescent="0.2">
      <c r="A21" s="18" t="s">
        <v>32</v>
      </c>
      <c r="B21" s="5">
        <f t="shared" ref="B21:B23" si="18">D$2/D21</f>
        <v>7.0206646188215585</v>
      </c>
      <c r="C21" s="5">
        <f t="shared" ref="C21:C23" si="19">D20/D21</f>
        <v>1.4081262217257753</v>
      </c>
      <c r="D21" s="4">
        <f t="shared" ref="D21:D23" si="20">SUM(F21:H21)</f>
        <v>71.61999999999999</v>
      </c>
      <c r="E21" s="14">
        <v>308.72000000000003</v>
      </c>
      <c r="F21" s="14">
        <v>27.33</v>
      </c>
      <c r="G21" s="14">
        <v>43.3</v>
      </c>
      <c r="H21" s="14">
        <v>0.99</v>
      </c>
      <c r="I21" s="15">
        <v>35.18</v>
      </c>
      <c r="J21" s="18" t="s">
        <v>32</v>
      </c>
      <c r="K21" s="5">
        <v>7.5389908256880727</v>
      </c>
      <c r="L21" s="5">
        <v>1.238532110091743</v>
      </c>
      <c r="M21" s="4">
        <v>4.3600000000000003</v>
      </c>
      <c r="N21" s="14">
        <v>11.45</v>
      </c>
      <c r="O21" s="14">
        <v>0.85</v>
      </c>
      <c r="P21" s="14">
        <v>3.28</v>
      </c>
      <c r="Q21" s="14">
        <v>0.23</v>
      </c>
      <c r="R21" s="15">
        <v>3.08</v>
      </c>
      <c r="S21" s="18" t="s">
        <v>32</v>
      </c>
      <c r="T21" s="5">
        <f t="shared" ref="T21:T23" si="21">ROUND(B21/K21,3)</f>
        <v>0.93100000000000005</v>
      </c>
      <c r="U21" s="5">
        <f t="shared" ref="U21:U23" si="22">ROUND(C21/L21,3)</f>
        <v>1.137</v>
      </c>
      <c r="V21" s="4">
        <f t="shared" ref="V21:V23" si="23">ROUND(D21/M21,3)</f>
        <v>16.427</v>
      </c>
      <c r="W21" s="9">
        <f t="shared" ref="W21:W23" si="24">ROUND(E21/N21,3)</f>
        <v>26.962</v>
      </c>
      <c r="X21" s="9">
        <f t="shared" ref="X21:X23" si="25">ROUND(F21/O21,3)</f>
        <v>32.152999999999999</v>
      </c>
      <c r="Y21" s="14">
        <f t="shared" ref="Y21:Y23" si="26">ROUND(G21/P21,3)</f>
        <v>13.201000000000001</v>
      </c>
      <c r="Z21" s="9">
        <f t="shared" ref="Z21:Z23" si="27">ROUND(H21/Q21,3)</f>
        <v>4.3040000000000003</v>
      </c>
      <c r="AA21" s="15">
        <f t="shared" ref="AA21:AA23" si="28">ROUND(I21/R21,3)</f>
        <v>11.422000000000001</v>
      </c>
    </row>
    <row r="22" spans="1:27" ht="14.25" customHeight="1" x14ac:dyDescent="0.2">
      <c r="A22" s="18" t="s">
        <v>33</v>
      </c>
      <c r="B22" s="5">
        <f t="shared" si="18"/>
        <v>9.6566160937199896</v>
      </c>
      <c r="C22" s="5">
        <f t="shared" si="19"/>
        <v>1.3754561167658916</v>
      </c>
      <c r="D22" s="4">
        <f t="shared" si="20"/>
        <v>52.070000000000007</v>
      </c>
      <c r="E22" s="14">
        <v>310.76</v>
      </c>
      <c r="F22" s="14">
        <v>27.44</v>
      </c>
      <c r="G22" s="14">
        <v>23.6</v>
      </c>
      <c r="H22" s="9">
        <v>1.03</v>
      </c>
      <c r="I22" s="15">
        <v>21.37</v>
      </c>
      <c r="J22" s="18" t="s">
        <v>33</v>
      </c>
      <c r="K22" s="5">
        <v>9.3380681818181817</v>
      </c>
      <c r="L22" s="5">
        <v>1.2386363636363638</v>
      </c>
      <c r="M22" s="4">
        <v>3.52</v>
      </c>
      <c r="N22" s="9">
        <v>11.2</v>
      </c>
      <c r="O22" s="9">
        <v>0.84</v>
      </c>
      <c r="P22" s="14">
        <v>2.4500000000000002</v>
      </c>
      <c r="Q22" s="9">
        <v>0.23</v>
      </c>
      <c r="R22" s="14">
        <v>2.16</v>
      </c>
      <c r="S22" s="18" t="s">
        <v>33</v>
      </c>
      <c r="T22" s="5">
        <f t="shared" si="21"/>
        <v>1.034</v>
      </c>
      <c r="U22" s="5">
        <f t="shared" si="22"/>
        <v>1.1100000000000001</v>
      </c>
      <c r="V22" s="4">
        <f t="shared" si="23"/>
        <v>14.792999999999999</v>
      </c>
      <c r="W22" s="9">
        <f t="shared" si="24"/>
        <v>27.745999999999999</v>
      </c>
      <c r="X22" s="9">
        <f t="shared" si="25"/>
        <v>32.667000000000002</v>
      </c>
      <c r="Y22" s="14">
        <f t="shared" si="26"/>
        <v>9.6329999999999991</v>
      </c>
      <c r="Z22" s="9">
        <f t="shared" si="27"/>
        <v>4.4779999999999998</v>
      </c>
      <c r="AA22" s="15">
        <f t="shared" si="28"/>
        <v>9.8940000000000001</v>
      </c>
    </row>
    <row r="23" spans="1:27" ht="14.25" customHeight="1" x14ac:dyDescent="0.2">
      <c r="A23" s="18" t="s">
        <v>34</v>
      </c>
      <c r="B23" s="5">
        <f t="shared" si="18"/>
        <v>9.5829998094149023</v>
      </c>
      <c r="C23" s="5">
        <f t="shared" si="19"/>
        <v>0.99237659615018103</v>
      </c>
      <c r="D23" s="4">
        <f t="shared" si="20"/>
        <v>52.470000000000006</v>
      </c>
      <c r="E23" s="19">
        <v>313.47000000000003</v>
      </c>
      <c r="F23" s="19">
        <v>27.85</v>
      </c>
      <c r="G23" s="19">
        <v>23.63</v>
      </c>
      <c r="H23" s="14">
        <v>0.99</v>
      </c>
      <c r="I23" s="20">
        <v>21.36</v>
      </c>
      <c r="J23" s="18" t="s">
        <v>34</v>
      </c>
      <c r="K23" s="5">
        <v>1.4448351648351647</v>
      </c>
      <c r="L23" s="5">
        <v>0.15472527472527473</v>
      </c>
      <c r="M23" s="4">
        <v>22.75</v>
      </c>
      <c r="N23" s="9">
        <v>11.41</v>
      </c>
      <c r="O23" s="9">
        <v>0.84</v>
      </c>
      <c r="P23" s="9">
        <v>21.69</v>
      </c>
      <c r="Q23" s="14">
        <v>0.22</v>
      </c>
      <c r="R23" s="9">
        <v>21.18</v>
      </c>
      <c r="S23" s="18" t="s">
        <v>34</v>
      </c>
      <c r="T23" s="5">
        <f t="shared" si="21"/>
        <v>6.633</v>
      </c>
      <c r="U23" s="5">
        <f t="shared" si="22"/>
        <v>6.4139999999999997</v>
      </c>
      <c r="V23" s="4">
        <f t="shared" si="23"/>
        <v>2.306</v>
      </c>
      <c r="W23" s="9">
        <f t="shared" si="24"/>
        <v>27.472999999999999</v>
      </c>
      <c r="X23" s="9">
        <f t="shared" si="25"/>
        <v>33.155000000000001</v>
      </c>
      <c r="Y23" s="14">
        <f t="shared" si="26"/>
        <v>1.089</v>
      </c>
      <c r="Z23" s="9">
        <f t="shared" si="27"/>
        <v>4.5</v>
      </c>
      <c r="AA23" s="15">
        <f t="shared" si="28"/>
        <v>1.008</v>
      </c>
    </row>
    <row r="24" spans="1:27" ht="14.25" customHeight="1" x14ac:dyDescent="0.2">
      <c r="A24" s="16"/>
      <c r="B24" s="5"/>
      <c r="C24" s="5"/>
      <c r="D24" s="4"/>
      <c r="G24" s="14"/>
      <c r="I24" s="15"/>
      <c r="J24" s="16"/>
      <c r="K24" s="5"/>
      <c r="L24" s="5"/>
      <c r="M24" s="4"/>
      <c r="P24" s="14"/>
      <c r="R24" s="15"/>
      <c r="S24" s="16"/>
      <c r="T24" s="5"/>
      <c r="U24" s="5"/>
      <c r="V24" s="4"/>
      <c r="W24" s="19"/>
      <c r="X24" s="19"/>
      <c r="Y24" s="14"/>
      <c r="Z24" s="19"/>
      <c r="AA24" s="15"/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2026-08-28T14:06:30Z</dcterms:modified>
</cp:coreProperties>
</file>