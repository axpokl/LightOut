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461B4999-E0C8-4451-8630-81ECE0536D58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5" i="2" l="1"/>
  <c r="Z45" i="2"/>
  <c r="Y45" i="2"/>
  <c r="X45" i="2"/>
  <c r="W45" i="2"/>
  <c r="M45" i="2"/>
  <c r="L45" i="2" s="1"/>
  <c r="U45" i="2" s="1"/>
  <c r="D45" i="2"/>
  <c r="C45" i="2" s="1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V45" i="2" l="1"/>
  <c r="K45" i="2"/>
  <c r="T45" i="2" s="1"/>
  <c r="B45" i="2"/>
  <c r="C44" i="2"/>
  <c r="B44" i="2"/>
  <c r="M44" i="2"/>
  <c r="L43" i="2"/>
  <c r="C43" i="2"/>
  <c r="U43" i="2" s="1"/>
  <c r="V43" i="2"/>
  <c r="K43" i="2"/>
  <c r="B43" i="2"/>
  <c r="T43" i="2" s="1"/>
  <c r="L42" i="2"/>
  <c r="C42" i="2"/>
  <c r="V42" i="2"/>
  <c r="K42" i="2"/>
  <c r="B42" i="2"/>
  <c r="T42" i="2" s="1"/>
  <c r="L41" i="2"/>
  <c r="C41" i="2"/>
  <c r="U41" i="2" s="1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L44" i="2" l="1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<sst xmlns="http://schemas.openxmlformats.org/spreadsheetml/2006/main" count="159" uniqueCount="54">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</sst>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45"/>
  <sheetViews>
    <sheetView tabSelected="1" topLeftCell="A31" workbookViewId="0">
      <selection activeCell="D44" sqref="D44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18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21.617368873602747</v>
      </c>
      <c r="C43" s="5">
        <f t="shared" ref="C43" si="255">D42/D43</f>
        <v>1.0683576956147891</v>
      </c>
      <c r="D43" s="4">
        <f t="shared" ref="D43" si="256">SUM(F43:H43)</f>
        <v>23.26</v>
      </c>
      <c r="E43" s="9">
        <v>1.85</v>
      </c>
      <c r="F43" s="13">
        <v>10.97</v>
      </c>
      <c r="G43" s="9">
        <v>11.15</v>
      </c>
      <c r="H43" s="9">
        <v>1.1399999999999999</v>
      </c>
      <c r="I43" s="10">
        <v>12.81</v>
      </c>
      <c r="J43" s="12" t="s">
        <v>51</v>
      </c>
      <c r="K43" s="5">
        <f t="shared" ref="K43" si="257">M$2/M43</f>
        <v>42.561224489795912</v>
      </c>
      <c r="L43" s="5">
        <f t="shared" ref="L43" si="258">M42/M43</f>
        <v>1.010204081632653</v>
      </c>
      <c r="M43" s="4">
        <f t="shared" ref="M43" si="259">SUM(O43:Q43)</f>
        <v>0.98</v>
      </c>
      <c r="N43" s="9">
        <v>0.22</v>
      </c>
      <c r="O43" s="13">
        <v>0.6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0.50800000000000001</v>
      </c>
      <c r="U43" s="5">
        <f t="shared" ref="U43" si="261">ROUND(C43/L43,3)</f>
        <v>1.0580000000000001</v>
      </c>
      <c r="V43" s="4">
        <f t="shared" ref="V43" si="262">ROUND(D43/M43,3)</f>
        <v>23.734999999999999</v>
      </c>
      <c r="W43" s="18">
        <f t="shared" ref="W43" si="263">ROUND(E43/N43,3)</f>
        <v>8.4090000000000007</v>
      </c>
      <c r="X43" s="13">
        <f t="shared" ref="X43" si="264">ROUND(F43/O43,3)</f>
        <v>18.283000000000001</v>
      </c>
      <c r="Y43" s="9">
        <f t="shared" ref="Y43" si="265">ROUND(G43/P43,3)</f>
        <v>30.972000000000001</v>
      </c>
      <c r="Z43" s="9">
        <f t="shared" ref="Z43" si="266">ROUND(H43/Q43,3)</f>
        <v>57</v>
      </c>
      <c r="AA43" s="10">
        <f t="shared" ref="AA43" si="267">ROUND(I43/R43,3)</f>
        <v>21.712</v>
      </c>
    </row>
    <row r="44" spans="1:28" ht="14.25" customHeight="1" x14ac:dyDescent="0.2">
      <c r="A44" s="12" t="s">
        <v>52</v>
      </c>
      <c r="B44" s="2">
        <f t="shared" ref="B44" si="268">D$2/D44</f>
        <v>21.986007870572802</v>
      </c>
      <c r="C44" s="2">
        <f t="shared" ref="C44" si="269">D43/D44</f>
        <v>1.0170529077393968</v>
      </c>
      <c r="D44" s="6">
        <f t="shared" ref="D44" si="270">SUM(F44:H44)</f>
        <v>22.869999999999997</v>
      </c>
      <c r="E44" s="9">
        <v>1.05</v>
      </c>
      <c r="F44" s="9">
        <v>11.04</v>
      </c>
      <c r="G44" s="9">
        <v>11.18</v>
      </c>
      <c r="H44" s="13">
        <v>0.65</v>
      </c>
      <c r="I44" s="10">
        <v>12.77</v>
      </c>
      <c r="J44" s="12" t="s">
        <v>52</v>
      </c>
      <c r="K44" s="2">
        <f t="shared" ref="K44:K45" si="271">M$2/M44</f>
        <v>41.709999999999994</v>
      </c>
      <c r="L44" s="2">
        <f t="shared" ref="L44:L45" si="272">M43/M44</f>
        <v>0.98</v>
      </c>
      <c r="M44" s="6">
        <f t="shared" ref="M44:M45" si="273">SUM(O44:Q44)</f>
        <v>1</v>
      </c>
      <c r="N44" s="9">
        <v>0.23</v>
      </c>
      <c r="O44" s="9">
        <v>0.6</v>
      </c>
      <c r="P44" s="9">
        <v>0.36</v>
      </c>
      <c r="Q44" s="13">
        <v>0.04</v>
      </c>
      <c r="R44" s="10">
        <v>0.59</v>
      </c>
      <c r="S44" s="12" t="s">
        <v>52</v>
      </c>
      <c r="T44" s="2">
        <f t="shared" ref="T44" si="274">ROUND(B44/K44,3)</f>
        <v>0.52700000000000002</v>
      </c>
      <c r="U44" s="2">
        <f t="shared" ref="U44" si="275">ROUND(C44/L44,3)</f>
        <v>1.038</v>
      </c>
      <c r="V44" s="6">
        <f t="shared" ref="V44" si="276">ROUND(D44/M44,3)</f>
        <v>22.87</v>
      </c>
      <c r="W44" s="9">
        <f t="shared" ref="W44" si="277">ROUND(E44/N44,3)</f>
        <v>4.5650000000000004</v>
      </c>
      <c r="X44" s="9">
        <f t="shared" ref="X44" si="278">ROUND(F44/O44,3)</f>
        <v>18.399999999999999</v>
      </c>
      <c r="Y44" s="9">
        <f t="shared" ref="Y44" si="279">ROUND(G44/P44,3)</f>
        <v>31.056000000000001</v>
      </c>
      <c r="Z44" s="13">
        <f t="shared" ref="Z44" si="280">ROUND(H44/Q44,3)</f>
        <v>16.25</v>
      </c>
      <c r="AA44" s="10">
        <f t="shared" ref="AA44" si="281">ROUND(I44/R44,3)</f>
        <v>21.643999999999998</v>
      </c>
    </row>
    <row r="45" spans="1:28" ht="14.25" customHeight="1" x14ac:dyDescent="0.2">
      <c r="A45" s="12" t="s">
        <v>53</v>
      </c>
      <c r="B45" s="2">
        <f t="shared" ref="B45" si="282">D$2/D45</f>
        <v>23.662117647058821</v>
      </c>
      <c r="C45" s="2">
        <f t="shared" ref="C45" si="283">D44/D45</f>
        <v>1.076235294117647</v>
      </c>
      <c r="D45" s="6">
        <f t="shared" ref="D45" si="284">SUM(F45:H45)</f>
        <v>21.25</v>
      </c>
      <c r="E45" s="9">
        <v>1.1000000000000001</v>
      </c>
      <c r="F45" s="13">
        <v>9.35</v>
      </c>
      <c r="G45" s="9">
        <v>11.26</v>
      </c>
      <c r="H45" s="9">
        <v>0.64</v>
      </c>
      <c r="I45" s="10">
        <v>13.55</v>
      </c>
      <c r="J45" s="12" t="s">
        <v>53</v>
      </c>
      <c r="K45" s="2">
        <f t="shared" si="271"/>
        <v>46.344444444444434</v>
      </c>
      <c r="L45" s="2">
        <f t="shared" si="272"/>
        <v>1.1111111111111112</v>
      </c>
      <c r="M45" s="6">
        <f t="shared" si="273"/>
        <v>0.9</v>
      </c>
      <c r="N45" s="9">
        <v>0.15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0.51100000000000001</v>
      </c>
      <c r="U45" s="2">
        <f t="shared" ref="U45" si="286">ROUND(C45/L45,3)</f>
        <v>0.96899999999999997</v>
      </c>
      <c r="V45" s="6">
        <f t="shared" ref="V45" si="287">ROUND(D45/M45,3)</f>
        <v>23.611000000000001</v>
      </c>
      <c r="W45" s="9">
        <f t="shared" ref="W45" si="288">ROUND(E45/N45,3)</f>
        <v>7.3330000000000002</v>
      </c>
      <c r="X45" s="13">
        <f t="shared" ref="X45" si="289">ROUND(F45/O45,3)</f>
        <v>18.332999999999998</v>
      </c>
      <c r="Y45" s="9">
        <f t="shared" ref="Y45" si="290">ROUND(G45/P45,3)</f>
        <v>31.277999999999999</v>
      </c>
      <c r="Z45" s="9">
        <f t="shared" ref="Z45" si="291">ROUND(H45/Q45,3)</f>
        <v>21.332999999999998</v>
      </c>
      <c r="AA45" s="10">
        <f t="shared" ref="AA45" si="292">ROUND(I45/R45,3)</f>
        <v>23.361999999999998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2026-09-07T08:20:32Z</dcterms:modified>
</cp:coreProperties>
</file>