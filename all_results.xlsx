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41BB4089-8124-4587-BA4E-6201C4A7FAB3}" xr6:coauthVersionLast="47" xr6:coauthVersionMax="47" xr10:uidLastSave="{00000000-0000-0000-0000-000000000000}"/>
  <bookViews>
    <workbookView xWindow="3075" yWindow="3075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2" i="2" l="1"/>
  <c r="Z22" i="2"/>
  <c r="Y22" i="2"/>
  <c r="X22" i="2"/>
  <c r="W22" i="2"/>
  <c r="M22" i="2"/>
  <c r="D22" i="2"/>
  <c r="C22" i="2"/>
  <c r="B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L5" i="2" s="1"/>
  <c r="V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L8" i="2" s="1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L17" i="2" s="1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12" i="2" s="1"/>
  <c r="D3" i="2"/>
  <c r="V3" i="2" s="1"/>
  <c r="D4" i="2"/>
  <c r="D5" i="2"/>
  <c r="V5" i="2" s="1"/>
  <c r="D6" i="2"/>
  <c r="D7" i="2"/>
  <c r="V7" i="2" s="1"/>
  <c r="D8" i="2"/>
  <c r="D9" i="2"/>
  <c r="C10" i="2" s="1"/>
  <c r="D10" i="2"/>
  <c r="C11" i="2" s="1"/>
  <c r="D11" i="2"/>
  <c r="C12" i="2" s="1"/>
  <c r="D12" i="2"/>
  <c r="D13" i="2"/>
  <c r="C13" i="2" s="1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22" i="2" l="1"/>
  <c r="U22" i="2" s="1"/>
  <c r="V22" i="2"/>
  <c r="K22" i="2"/>
  <c r="T22" i="2" s="1"/>
  <c r="C4" i="2"/>
  <c r="B5" i="2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U9" i="2" s="1"/>
  <c r="U8" i="2"/>
  <c r="B13" i="2"/>
  <c r="K9" i="2"/>
  <c r="C14" i="2"/>
  <c r="C5" i="2"/>
  <c r="U5" i="2" s="1"/>
  <c r="L15" i="2"/>
  <c r="L4" i="2"/>
  <c r="U4" i="2" s="1"/>
  <c r="B6" i="2"/>
  <c r="T6" i="2" s="1"/>
  <c r="B16" i="2"/>
  <c r="U3" i="2"/>
  <c r="C6" i="2"/>
  <c r="C16" i="2"/>
  <c r="L13" i="2"/>
  <c r="T3" i="2"/>
  <c r="K4" i="2"/>
  <c r="T4" i="2" s="1"/>
  <c r="B7" i="2"/>
  <c r="B17" i="2"/>
  <c r="K17" i="2"/>
  <c r="V8" i="2"/>
  <c r="B8" i="2"/>
  <c r="T8" i="2"/>
  <c r="T5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U7" i="2" s="1"/>
  <c r="L12" i="2"/>
  <c r="K7" i="2"/>
  <c r="T7" i="2" s="1"/>
  <c r="V6" i="2"/>
  <c r="L6" i="2"/>
  <c r="L21" i="2"/>
  <c r="V21" i="2"/>
  <c r="V20" i="2"/>
  <c r="C3" i="2"/>
  <c r="V19" i="2"/>
  <c r="B3" i="2"/>
  <c r="V18" i="2"/>
  <c r="V17" i="2"/>
  <c r="V13" i="2"/>
  <c r="V10" i="2"/>
  <c r="V11" i="2"/>
  <c r="V16" i="2"/>
  <c r="V15" i="2"/>
  <c r="V14" i="2"/>
  <c r="V12" i="2"/>
  <c r="T9" i="2" l="1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<sst xmlns="http://schemas.openxmlformats.org/spreadsheetml/2006/main" count="90" uniqueCount="31">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</sst>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2"/>
  <sheetViews>
    <sheetView tabSelected="1" workbookViewId="0">
      <selection activeCell="W20" sqref="W20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5.1042533752918473</v>
      </c>
      <c r="C20" s="2">
        <f t="shared" si="10"/>
        <v>1.1484113287991067</v>
      </c>
      <c r="D20" s="6">
        <f t="shared" si="14"/>
        <v>98.51</v>
      </c>
      <c r="E20" s="18">
        <v>303.99</v>
      </c>
      <c r="F20" s="9">
        <v>30.92</v>
      </c>
      <c r="G20" s="13">
        <v>66.17</v>
      </c>
      <c r="H20" s="9">
        <v>1.42</v>
      </c>
      <c r="I20" s="14">
        <v>48.2</v>
      </c>
      <c r="J20" s="17" t="s">
        <v>27</v>
      </c>
      <c r="K20" s="2">
        <f t="shared" si="11"/>
        <v>8.9892241379310338</v>
      </c>
      <c r="L20" s="2">
        <f t="shared" si="12"/>
        <v>1.1788793103448276</v>
      </c>
      <c r="M20" s="6">
        <f t="shared" si="13"/>
        <v>4.6399999999999997</v>
      </c>
      <c r="N20" s="18">
        <v>14.29</v>
      </c>
      <c r="O20" s="9">
        <v>1.19</v>
      </c>
      <c r="P20" s="13">
        <v>3.17</v>
      </c>
      <c r="Q20" s="9">
        <v>0.28000000000000003</v>
      </c>
      <c r="R20" s="14">
        <v>3.05</v>
      </c>
      <c r="S20" s="17" t="s">
        <v>27</v>
      </c>
      <c r="T20" s="2">
        <f t="shared" si="0"/>
        <v>0.56799999999999995</v>
      </c>
      <c r="U20" s="2">
        <f t="shared" si="1"/>
        <v>0.97399999999999998</v>
      </c>
      <c r="V20" s="6">
        <f t="shared" si="2"/>
        <v>21.231000000000002</v>
      </c>
      <c r="W20" s="18">
        <f t="shared" si="3"/>
        <v>21.273</v>
      </c>
      <c r="X20" s="9">
        <f t="shared" si="4"/>
        <v>25.983000000000001</v>
      </c>
      <c r="Y20" s="13">
        <f t="shared" si="5"/>
        <v>20.873999999999999</v>
      </c>
      <c r="Z20" s="9">
        <f t="shared" si="6"/>
        <v>5.0709999999999997</v>
      </c>
      <c r="AA20" s="14">
        <f t="shared" si="7"/>
        <v>15.803000000000001</v>
      </c>
    </row>
    <row r="21" spans="1:27" ht="14.25" customHeight="1" x14ac:dyDescent="0.2">
      <c r="A21" s="17" t="s">
        <v>25</v>
      </c>
      <c r="B21" s="2">
        <f t="shared" si="9"/>
        <v>5.5751191928151682</v>
      </c>
      <c r="C21" s="2">
        <f t="shared" si="10"/>
        <v>1.0922496950881475</v>
      </c>
      <c r="D21" s="6">
        <f t="shared" ref="D21" si="15">SUM(F21:H21)</f>
        <v>90.189999999999984</v>
      </c>
      <c r="E21" s="18">
        <v>310</v>
      </c>
      <c r="F21" s="18">
        <v>30.97</v>
      </c>
      <c r="G21" s="13">
        <v>57.73</v>
      </c>
      <c r="H21" s="18">
        <v>1.49</v>
      </c>
      <c r="I21" s="14">
        <v>45.9</v>
      </c>
      <c r="J21" s="17" t="s">
        <v>25</v>
      </c>
      <c r="K21" s="2">
        <f t="shared" si="11"/>
        <v>10.640306122448978</v>
      </c>
      <c r="L21" s="2">
        <f t="shared" si="12"/>
        <v>1.1836734693877551</v>
      </c>
      <c r="M21" s="6">
        <f t="shared" si="13"/>
        <v>3.92</v>
      </c>
      <c r="N21" s="18">
        <v>14.51</v>
      </c>
      <c r="O21" s="18">
        <v>1.21</v>
      </c>
      <c r="P21" s="13">
        <v>2.42</v>
      </c>
      <c r="Q21" s="18">
        <v>0.28999999999999998</v>
      </c>
      <c r="R21" s="14">
        <v>1.94</v>
      </c>
      <c r="S21" s="17" t="s">
        <v>25</v>
      </c>
      <c r="T21" s="2">
        <f t="shared" ref="T21" si="16">ROUND(B21/K21,3)</f>
        <v>0.52400000000000002</v>
      </c>
      <c r="U21" s="2">
        <f t="shared" ref="U21" si="17">ROUND(C21/L21,3)</f>
        <v>0.92300000000000004</v>
      </c>
      <c r="V21" s="6">
        <f t="shared" ref="V21" si="18">ROUND(D21/M21,3)</f>
        <v>23.007999999999999</v>
      </c>
      <c r="W21" s="18">
        <f t="shared" ref="W21" si="19">ROUND(E21/N21,3)</f>
        <v>21.364999999999998</v>
      </c>
      <c r="X21" s="18">
        <f t="shared" ref="X21" si="20">ROUND(F21/O21,3)</f>
        <v>25.594999999999999</v>
      </c>
      <c r="Y21" s="13">
        <f t="shared" ref="Y21" si="21">ROUND(G21/P21,3)</f>
        <v>23.855</v>
      </c>
      <c r="Z21" s="18">
        <f t="shared" ref="Z21" si="22">ROUND(H21/Q21,3)</f>
        <v>5.1379999999999999</v>
      </c>
      <c r="AA21" s="14">
        <f t="shared" ref="AA21" si="23">ROUND(I21/R21,3)</f>
        <v>23.66</v>
      </c>
    </row>
    <row r="22" spans="1:27" ht="14.25" customHeight="1" x14ac:dyDescent="0.2">
      <c r="A22" s="17" t="s">
        <v>30</v>
      </c>
      <c r="B22" s="2">
        <f t="shared" ref="B22" si="24">D$2/D22</f>
        <v>7.1301758366420867</v>
      </c>
      <c r="C22" s="2">
        <f t="shared" ref="C22" si="25">D21/D22</f>
        <v>1.2789279636982416</v>
      </c>
      <c r="D22" s="6">
        <f t="shared" ref="D22" si="26">SUM(F22:H22)</f>
        <v>70.52</v>
      </c>
      <c r="E22" s="9">
        <v>294.91000000000003</v>
      </c>
      <c r="F22" s="9">
        <v>30.52</v>
      </c>
      <c r="G22" s="13">
        <v>38.43</v>
      </c>
      <c r="H22" s="9">
        <v>1.57</v>
      </c>
      <c r="I22" s="14">
        <v>27.83</v>
      </c>
      <c r="J22" s="17" t="s">
        <v>30</v>
      </c>
      <c r="K22" s="2">
        <f t="shared" ref="K22" si="27">M$2/M22</f>
        <v>13.116352201257861</v>
      </c>
      <c r="L22" s="2">
        <f t="shared" ref="L22" si="28">M21/M22</f>
        <v>1.2327044025157234</v>
      </c>
      <c r="M22" s="6">
        <f t="shared" ref="M22" si="29">SUM(O22:Q22)</f>
        <v>3.1799999999999997</v>
      </c>
      <c r="N22" s="9">
        <v>13.81</v>
      </c>
      <c r="O22" s="9">
        <v>1.1399999999999999</v>
      </c>
      <c r="P22" s="13">
        <v>1.76</v>
      </c>
      <c r="Q22" s="9">
        <v>0.28000000000000003</v>
      </c>
      <c r="R22" s="14">
        <v>1.34</v>
      </c>
      <c r="S22" s="17" t="s">
        <v>30</v>
      </c>
      <c r="T22" s="2">
        <f t="shared" ref="T22" si="30">ROUND(B22/K22,3)</f>
        <v>0.54400000000000004</v>
      </c>
      <c r="U22" s="2">
        <f t="shared" ref="U22" si="31">ROUND(C22/L22,3)</f>
        <v>1.0369999999999999</v>
      </c>
      <c r="V22" s="6">
        <f t="shared" ref="V22" si="32">ROUND(D22/M22,3)</f>
        <v>22.175999999999998</v>
      </c>
      <c r="W22" s="9">
        <f t="shared" ref="W22" si="33">ROUND(E22/N22,3)</f>
        <v>21.355</v>
      </c>
      <c r="X22" s="9">
        <f t="shared" ref="X22" si="34">ROUND(F22/O22,3)</f>
        <v>26.771999999999998</v>
      </c>
      <c r="Y22" s="13">
        <f t="shared" ref="Y22" si="35">ROUND(G22/P22,3)</f>
        <v>21.835000000000001</v>
      </c>
      <c r="Z22" s="9">
        <f t="shared" ref="Z22" si="36">ROUND(H22/Q22,3)</f>
        <v>5.6070000000000002</v>
      </c>
      <c r="AA22" s="14">
        <f t="shared" ref="AA22" si="37">ROUND(I22/R22,3)</f>
        <v>20.768999999999998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2026-08-29T01:47:59Z</dcterms:modified>
</cp:coreProperties>
</file>